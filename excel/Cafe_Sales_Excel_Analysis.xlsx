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afe-sales-analysis\"/>
    </mc:Choice>
  </mc:AlternateContent>
  <xr:revisionPtr revIDLastSave="0" documentId="13_ncr:40009_{774251C1-3C6A-48AA-A5FD-BF80103954B3}" xr6:coauthVersionLast="47" xr6:coauthVersionMax="47" xr10:uidLastSave="{00000000-0000-0000-0000-000000000000}"/>
  <bookViews>
    <workbookView xWindow="-110" yWindow="-110" windowWidth="19420" windowHeight="10420" activeTab="3"/>
  </bookViews>
  <sheets>
    <sheet name="Data" sheetId="1" r:id="rId1"/>
    <sheet name="Analysis" sheetId="4" r:id="rId2"/>
    <sheet name="Pivot Tables" sheetId="3" r:id="rId3"/>
    <sheet name="Dashboard" sheetId="2" r:id="rId4"/>
  </sheets>
  <calcPr calcId="0"/>
  <pivotCaches>
    <pivotCache cacheId="7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4" l="1"/>
  <c r="B40" i="4"/>
  <c r="B41" i="4"/>
  <c r="B42" i="4"/>
  <c r="B43" i="4"/>
  <c r="B44" i="4"/>
  <c r="B45" i="4"/>
  <c r="B38" i="4"/>
  <c r="A38" i="4" a="1"/>
  <c r="A38" i="4" s="1"/>
  <c r="B26" i="4"/>
  <c r="B27" i="4"/>
  <c r="B28" i="4"/>
  <c r="B29" i="4"/>
  <c r="B30" i="4"/>
  <c r="B31" i="4"/>
  <c r="B32" i="4"/>
  <c r="B25" i="4"/>
  <c r="A25" i="4" a="1"/>
  <c r="A25" i="4" s="1"/>
  <c r="B14" i="4"/>
  <c r="B15" i="4"/>
  <c r="B16" i="4"/>
  <c r="B17" i="4"/>
  <c r="B18" i="4"/>
  <c r="B19" i="4"/>
  <c r="B20" i="4"/>
  <c r="B13" i="4"/>
  <c r="A13" i="4" a="1"/>
  <c r="A13" i="4" s="1"/>
  <c r="B8" i="4"/>
  <c r="B9" i="4"/>
  <c r="B7" i="4"/>
  <c r="K4" i="2" s="1"/>
  <c r="B6" i="4"/>
  <c r="G4" i="2" s="1"/>
  <c r="B5" i="4"/>
  <c r="D4" i="2" s="1"/>
  <c r="B4" i="4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<sst xmlns="http://schemas.openxmlformats.org/spreadsheetml/2006/main" count="31951" uniqueCount="10044">
  <si>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</si>
  <si>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</si>
  <si>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</si>
  <si>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</si>
  <si>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</si>
  <si>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</si>
  <si>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</si>
  <si>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</si>
  <si>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</si>
  <si>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</si>
  <si>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</si>
  <si>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</si>
  <si>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</si>
  <si>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</si>
  <si>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</si>
  <si>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</si>
  <si>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</si>
  <si>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</si>
  <si>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</si>
  <si>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</si>
  <si>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</si>
  <si>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</si>
  <si>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</si>
  <si>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</si>
  <si>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</si>
  <si>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</si>
  <si>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</si>
  <si>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</si>
  <si>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</si>
  <si>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</si>
  <si>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</si>
  <si>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</si>
  <si>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</si>
  <si>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</si>
  <si>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</si>
  <si>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</si>
  <si>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</si>
  <si>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</si>
  <si>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</si>
  <si>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</si>
  <si>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</si>
  <si>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</si>
  <si>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</si>
  <si>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</si>
  <si>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</si>
  <si>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</si>
  <si>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</si>
  <si>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</si>
  <si>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</si>
  <si>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</si>
  <si>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</si>
  <si>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</si>
  <si>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</si>
  <si>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</si>
  <si>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</si>
  <si>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</si>
  <si>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</si>
  <si>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</si>
  <si>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</si>
  <si>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</si>
  <si>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</si>
  <si>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</si>
  <si>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</si>
  <si>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</si>
  <si>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</si>
  <si>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</si>
  <si>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</si>
  <si>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</si>
  <si>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</si>
  <si>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</si>
  <si>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</si>
  <si>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</si>
  <si>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</si>
  <si>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</si>
  <si>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</si>
  <si>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</si>
  <si>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</si>
  <si>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</si>
  <si>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</si>
  <si>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</si>
  <si>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</si>
  <si>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</si>
  <si>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</si>
  <si>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</si>
  <si>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</si>
  <si>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</si>
  <si>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</si>
  <si>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</si>
  <si>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</si>
  <si>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</si>
  <si>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</si>
  <si>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</si>
  <si>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</si>
  <si>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</si>
  <si>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</si>
  <si>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</si>
  <si>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</si>
  <si>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</si>
  <si>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</si>
  <si>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</si>
  <si>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</si>
  <si>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</si>
  <si>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</si>
  <si>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</si>
  <si>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</si>
  <si>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</si>
  <si>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</si>
  <si>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</si>
  <si>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</si>
  <si>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</si>
  <si>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</si>
  <si>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</si>
  <si>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</si>
  <si>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</si>
  <si>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</si>
  <si>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</si>
  <si>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</si>
  <si>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</si>
  <si>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</si>
  <si>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</si>
  <si>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</si>
  <si>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</si>
  <si>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</si>
  <si>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</si>
  <si>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</si>
  <si>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</si>
  <si>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</si>
  <si>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</si>
  <si>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</si>
  <si>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</si>
  <si>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</si>
  <si>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</si>
  <si>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</si>
  <si>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</si>
  <si>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</si>
  <si>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</si>
  <si>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</si>
  <si>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</si>
  <si>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</si>
  <si>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</si>
  <si>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</si>
  <si>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</si>
  <si>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</si>
  <si>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</si>
  <si>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</si>
  <si>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</si>
  <si>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</si>
  <si>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</si>
  <si>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</si>
  <si>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</si>
  <si>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</si>
  <si>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</si>
  <si>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</si>
  <si>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</si>
  <si>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</si>
  <si>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</si>
  <si>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</si>
  <si>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</si>
  <si>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</si>
  <si>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</si>
  <si>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</si>
  <si>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</si>
  <si>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</si>
  <si>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</si>
  <si>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</si>
  <si>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</si>
  <si>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</si>
  <si>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</si>
  <si>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</si>
  <si>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</si>
  <si>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</si>
  <si>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</si>
  <si>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</si>
  <si>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</si>
  <si>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</si>
  <si>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</si>
  <si>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</si>
  <si>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</si>
  <si>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</si>
  <si>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</si>
  <si>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</si>
  <si>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</si>
  <si>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</si>
  <si>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</si>
  <si>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</si>
  <si>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</si>
  <si>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</si>
  <si>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</si>
  <si>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</si>
  <si>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</si>
  <si>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</si>
  <si>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</si>
  <si>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</si>
  <si>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</si>
  <si>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</si>
  <si>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</si>
  <si>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</si>
  <si>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</si>
  <si>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</si>
  <si>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</si>
  <si>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</si>
  <si>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</si>
  <si>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</si>
  <si>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</si>
  <si>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</si>
  <si>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</si>
  <si>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</si>
  <si>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</si>
  <si>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</si>
  <si>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</si>
  <si>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</si>
  <si>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</si>
  <si>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</si>
  <si>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</si>
  <si>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</si>
  <si>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</si>
  <si>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</si>
  <si>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</si>
  <si>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</si>
  <si>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</si>
  <si>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</si>
  <si>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</si>
  <si>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</si>
  <si>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</si>
  <si>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</si>
  <si>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</si>
  <si>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</si>
  <si>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</si>
  <si>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</si>
  <si>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</si>
  <si>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</si>
  <si>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</si>
  <si>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</si>
  <si>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</si>
  <si>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</si>
  <si>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</si>
  <si>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</si>
  <si>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</si>
  <si>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</si>
  <si>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</si>
  <si>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</si>
  <si>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</si>
  <si>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</si>
  <si>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</si>
  <si>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</si>
  <si>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</si>
  <si>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</si>
  <si>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</si>
  <si>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</si>
  <si>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</si>
  <si>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</si>
  <si>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</si>
  <si>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</si>
  <si>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</si>
  <si>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</si>
  <si>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</si>
  <si>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</si>
  <si>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</si>
  <si>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</si>
  <si>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</si>
  <si>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</si>
  <si>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</si>
  <si>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</si>
  <si>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</si>
  <si>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</si>
  <si>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</si>
  <si>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</si>
  <si>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</si>
  <si>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</si>
  <si>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</si>
  <si>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</si>
  <si>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</si>
  <si>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</si>
  <si>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</si>
  <si>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</si>
  <si>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</si>
  <si>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</si>
  <si>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</si>
  <si>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</si>
  <si>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</si>
  <si>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</si>
  <si>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</si>
  <si>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</si>
  <si>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</si>
  <si>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</si>
  <si>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</si>
  <si>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</si>
  <si>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</si>
  <si>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</si>
  <si>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</si>
  <si>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</si>
  <si>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</si>
  <si>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</si>
  <si>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</si>
  <si>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</si>
  <si>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</si>
  <si>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</si>
  <si>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</si>
  <si>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</si>
  <si>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</si>
  <si>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</si>
  <si>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</si>
  <si>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</si>
  <si>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</si>
  <si>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</si>
  <si>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</si>
  <si>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</si>
  <si>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</si>
  <si>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</si>
  <si>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</si>
  <si>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</si>
  <si>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</si>
  <si>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</si>
  <si>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</si>
  <si>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</si>
  <si>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</si>
  <si>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</si>
  <si>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</si>
  <si>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</si>
  <si>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</si>
  <si>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</si>
  <si>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</si>
  <si>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</si>
  <si>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</si>
  <si>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</si>
  <si>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</si>
  <si>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</si>
  <si>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</si>
  <si>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</si>
  <si>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</si>
  <si>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</si>
  <si>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</si>
  <si>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</si>
  <si>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</si>
  <si>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</si>
  <si>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</si>
  <si>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</si>
  <si>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</si>
  <si>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</si>
  <si>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</si>
  <si>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</si>
  <si>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</si>
  <si>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</si>
  <si>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</si>
  <si>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</si>
  <si>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</si>
  <si>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</si>
  <si>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</si>
  <si>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</si>
  <si>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</si>
  <si>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</si>
  <si>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</si>
  <si>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</si>
  <si>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</si>
  <si>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</si>
  <si>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</si>
  <si>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</si>
  <si>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</si>
  <si>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</si>
  <si>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</si>
  <si>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</si>
  <si>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</si>
  <si>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</si>
  <si>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</si>
  <si>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</si>
  <si>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</si>
  <si>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</si>
  <si>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</si>
  <si>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</si>
  <si>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</si>
  <si>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</si>
  <si>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</si>
  <si>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</si>
  <si>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</si>
  <si>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</si>
  <si>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</si>
  <si>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</si>
  <si>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</si>
  <si>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</si>
  <si>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</si>
  <si>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</si>
  <si>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</si>
  <si>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</si>
  <si>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</si>
  <si>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</si>
  <si>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</si>
  <si>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</si>
  <si>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</si>
  <si>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</si>
  <si>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</si>
  <si>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</si>
  <si>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</si>
  <si>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</si>
  <si>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</si>
  <si>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</si>
  <si>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</si>
  <si>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</si>
  <si>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</si>
  <si>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</si>
  <si>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</si>
  <si>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</si>
  <si>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</si>
  <si>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</si>
  <si>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</si>
  <si>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</si>
  <si>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</si>
  <si>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</si>
  <si>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</si>
  <si>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</si>
  <si>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</si>
  <si>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</si>
  <si>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</si>
  <si>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</si>
  <si>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</si>
  <si>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</si>
  <si>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</si>
  <si>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</si>
  <si>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</si>
  <si>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</si>
  <si>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</si>
  <si>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</si>
  <si>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</si>
  <si>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</si>
  <si>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</si>
  <si>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</si>
  <si>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</si>
  <si>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</si>
  <si>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</si>
  <si>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</si>
  <si>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</si>
  <si>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</si>
  <si>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</si>
  <si>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</si>
  <si>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</si>
  <si>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</si>
  <si>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</si>
  <si>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</si>
  <si>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</si>
  <si>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</si>
  <si>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</si>
  <si>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</si>
  <si>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</si>
  <si>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</si>
  <si>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</si>
  <si>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</si>
  <si>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</si>
  <si>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</si>
  <si>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</si>
  <si>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</si>
  <si>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</si>
  <si>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</si>
  <si>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</si>
  <si>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</si>
  <si>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</si>
  <si>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</si>
  <si>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</si>
  <si>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</si>
  <si>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</si>
  <si>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</si>
  <si>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</si>
  <si>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</si>
  <si>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</si>
  <si>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</si>
  <si>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</si>
  <si>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</si>
  <si>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</si>
  <si>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</si>
  <si>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</si>
  <si>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</si>
  <si>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</si>
  <si>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</si>
  <si>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</si>
  <si>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</si>
  <si>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</si>
  <si>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</si>
  <si>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</si>
  <si>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</si>
  <si>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</si>
  <si>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</si>
  <si>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</si>
  <si>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</si>
  <si>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</si>
  <si>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</si>
  <si>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</si>
  <si>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</si>
  <si>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</si>
  <si>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</si>
  <si>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</si>
  <si>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</si>
  <si>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</si>
  <si>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</si>
  <si>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</si>
  <si>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</si>
  <si>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</si>
  <si>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</si>
  <si>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</si>
  <si>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</si>
  <si>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</si>
  <si>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</si>
  <si>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</si>
  <si>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</si>
  <si>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</si>
  <si>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</si>
  <si>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</si>
  <si>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</si>
  <si>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</si>
  <si>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</si>
  <si>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</si>
  <si>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</si>
  <si>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</si>
  <si>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</si>
  <si>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</si>
  <si>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</si>
  <si>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</si>
  <si>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</si>
  <si>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</si>
  <si>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</si>
  <si>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</si>
  <si>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</si>
  <si>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</si>
  <si>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</si>
  <si>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</si>
  <si>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</si>
  <si>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</si>
  <si>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</si>
  <si>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</si>
  <si>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</si>
  <si>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</si>
  <si>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</si>
  <si>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</si>
  <si>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</si>
  <si>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</si>
  <si>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</si>
  <si>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</si>
  <si>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</si>
  <si>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</si>
  <si>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</si>
  <si>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</si>
  <si>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</si>
  <si>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</si>
  <si>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</si>
  <si>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</si>
  <si>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</si>
  <si>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</si>
  <si>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</si>
  <si>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</si>
  <si>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</si>
  <si>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</si>
  <si>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</si>
  <si>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</si>
  <si>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</si>
  <si>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</si>
  <si>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</si>
  <si>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</si>
  <si>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</si>
  <si>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</si>
  <si>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</si>
  <si>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</si>
  <si>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</si>
  <si>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</si>
  <si>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</si>
  <si>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</si>
  <si>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</si>
  <si>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</si>
  <si>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</si>
  <si>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</si>
  <si>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</si>
  <si>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</si>
  <si>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</si>
  <si>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</si>
  <si>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</si>
  <si>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</si>
  <si>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</si>
  <si>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</si>
  <si>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</si>
  <si>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</si>
  <si>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</si>
  <si>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</si>
  <si>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</si>
  <si>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</si>
  <si>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</si>
  <si>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</si>
  <si>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</si>
  <si>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</si>
  <si>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</si>
  <si>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</si>
  <si>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</si>
  <si>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</si>
  <si>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</si>
  <si>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</si>
  <si>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</si>
  <si>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</si>
  <si>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</si>
  <si>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</si>
  <si>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</si>
  <si>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</si>
  <si>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</si>
  <si>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</si>
  <si>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</si>
  <si>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</si>
  <si>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</si>
  <si>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</si>
  <si>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</si>
  <si>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</si>
  <si>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</si>
  <si>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</si>
  <si>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</si>
  <si>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</si>
  <si>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</si>
  <si>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</si>
  <si>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</si>
  <si>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</si>
  <si>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</si>
  <si>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</si>
  <si>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</si>
  <si>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</si>
  <si>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</si>
  <si>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</si>
  <si>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</si>
  <si>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</si>
  <si>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</si>
  <si>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</si>
  <si>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</si>
  <si>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</si>
  <si>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</si>
  <si>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</si>
  <si>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</si>
  <si>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</si>
  <si>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</si>
  <si>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</si>
  <si>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</si>
  <si>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</si>
  <si>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</si>
  <si>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</si>
  <si>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</si>
  <si>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</si>
  <si>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</si>
  <si>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</si>
  <si>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</si>
  <si>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</si>
  <si>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</si>
  <si>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</si>
  <si>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</si>
  <si>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</si>
  <si>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</si>
  <si>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</si>
  <si>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</si>
  <si>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</si>
  <si>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</si>
  <si>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</si>
  <si>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</si>
  <si>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</si>
  <si>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</si>
  <si>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</si>
  <si>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</si>
  <si>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</si>
  <si>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</si>
  <si>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</si>
  <si>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</si>
  <si>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</si>
  <si>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</si>
  <si>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</si>
  <si>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</si>
  <si>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</si>
  <si>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</si>
  <si>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</si>
  <si>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</si>
  <si>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</si>
  <si>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</si>
  <si>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</si>
  <si>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</si>
  <si>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</si>
  <si>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</si>
  <si>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</si>
  <si>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</si>
  <si>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</si>
  <si>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</si>
  <si>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</si>
  <si>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</si>
  <si>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</si>
  <si>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</si>
  <si>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</si>
  <si>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</si>
  <si>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</si>
  <si>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</si>
  <si>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</si>
  <si>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</si>
  <si>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</si>
  <si>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</si>
  <si>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</si>
  <si>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</si>
  <si>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</si>
  <si>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</si>
  <si>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</si>
  <si>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</si>
  <si>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</si>
  <si>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</si>
  <si>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</si>
  <si>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</si>
  <si>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</si>
  <si>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</si>
  <si>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</si>
  <si>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</si>
  <si>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</si>
  <si>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</si>
  <si>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</si>
  <si>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</si>
  <si>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</si>
  <si>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</si>
  <si>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</si>
  <si>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</si>
  <si>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</si>
  <si>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</si>
  <si>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</si>
  <si>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</si>
  <si>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</si>
  <si>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</si>
  <si>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</si>
  <si>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</si>
  <si>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</si>
  <si>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</si>
  <si>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</si>
  <si>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</si>
  <si>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</si>
  <si>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</si>
  <si>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</si>
  <si>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</si>
  <si>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</si>
  <si>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</si>
  <si>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</si>
  <si>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</si>
  <si>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</si>
  <si>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</si>
  <si>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</si>
  <si>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</si>
  <si>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</si>
  <si>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</si>
  <si>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</si>
  <si>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</si>
  <si>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</si>
  <si>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</si>
  <si>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</si>
  <si>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</si>
  <si>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</si>
  <si>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</si>
  <si>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</si>
  <si>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</si>
  <si>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</si>
  <si>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</si>
  <si>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</si>
  <si>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</si>
  <si>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</si>
  <si>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</si>
  <si>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</si>
  <si>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</si>
  <si>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</si>
  <si>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</si>
  <si>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</si>
  <si>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</si>
  <si>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</si>
  <si>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</si>
  <si>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</si>
  <si>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</si>
  <si>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</si>
  <si>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</si>
  <si>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</si>
  <si>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</si>
  <si>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</si>
  <si>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</si>
  <si>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</si>
  <si>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</si>
  <si>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</si>
  <si>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</si>
  <si>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</si>
  <si>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</si>
  <si>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</si>
  <si>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</si>
  <si>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</si>
  <si>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</si>
  <si>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</si>
  <si>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</si>
  <si>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</si>
  <si>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</si>
  <si>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</si>
  <si>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</si>
  <si>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</si>
  <si>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</si>
  <si>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</si>
  <si>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</si>
  <si>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</si>
  <si>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</si>
  <si>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</si>
  <si>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</si>
  <si>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</si>
  <si>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</si>
  <si>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</si>
  <si>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</si>
  <si>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</si>
  <si>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</si>
  <si>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</si>
  <si>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</si>
  <si>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</si>
  <si>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</si>
  <si>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</si>
  <si>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</si>
  <si>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</si>
  <si>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</si>
  <si>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</si>
  <si>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</si>
  <si>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</si>
  <si>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</si>
  <si>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</si>
  <si>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</si>
  <si>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</si>
  <si>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</si>
  <si>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</si>
  <si>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</si>
  <si>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</si>
  <si>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</si>
  <si>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</si>
  <si>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</si>
  <si>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</si>
  <si>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</si>
  <si>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</si>
  <si>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</si>
  <si>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</si>
  <si>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</si>
  <si>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</si>
  <si>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</si>
  <si>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</si>
  <si>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</si>
  <si>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</si>
  <si>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</si>
  <si>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</si>
  <si>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</si>
  <si>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</si>
  <si>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</si>
  <si>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</si>
  <si>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</si>
  <si>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</si>
  <si>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</si>
  <si>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</si>
  <si>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</si>
  <si>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</si>
  <si>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</si>
  <si>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</si>
  <si>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</si>
  <si>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</si>
  <si>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</si>
  <si>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</si>
  <si>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</si>
  <si>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</si>
  <si>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</si>
  <si>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</si>
  <si>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</si>
  <si>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</si>
  <si>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</si>
  <si>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</si>
  <si>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</si>
  <si>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</si>
  <si>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</si>
  <si>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</si>
  <si>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</si>
  <si>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</si>
  <si>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</si>
  <si>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</si>
  <si>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</si>
  <si>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</si>
  <si>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</si>
  <si>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</si>
  <si>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</si>
  <si>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</si>
  <si>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</si>
  <si>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</si>
  <si>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</si>
  <si>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</si>
  <si>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</si>
  <si>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</si>
  <si>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</si>
  <si>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</si>
  <si>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</si>
  <si>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</si>
  <si>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</si>
  <si>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</si>
  <si>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</si>
  <si>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</si>
  <si>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</si>
  <si>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</si>
  <si>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</si>
  <si>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</si>
  <si>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</si>
  <si>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</si>
  <si>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</si>
  <si>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</si>
  <si>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</si>
  <si>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</si>
  <si>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</si>
  <si>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</si>
  <si>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</si>
  <si>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</si>
  <si>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</si>
  <si>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</si>
  <si>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</si>
  <si>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</si>
  <si>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</si>
  <si>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</si>
  <si>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</si>
  <si>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</si>
  <si>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</si>
  <si>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</si>
  <si>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</si>
  <si>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</si>
  <si>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</si>
  <si>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</si>
  <si>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</si>
  <si>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</si>
  <si>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</si>
  <si>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</si>
  <si>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</si>
  <si>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</si>
  <si>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</si>
  <si>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</si>
  <si>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</si>
  <si>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</si>
  <si>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</si>
  <si>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</si>
  <si>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</si>
  <si>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</si>
  <si>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</si>
  <si>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</si>
  <si>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</si>
  <si>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</si>
  <si>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</si>
  <si>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</si>
  <si>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</si>
  <si>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</si>
  <si>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</si>
  <si>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</si>
  <si>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</si>
  <si>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</si>
  <si>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</si>
  <si>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</si>
  <si>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</si>
  <si>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</si>
  <si>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</si>
  <si>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</si>
  <si>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</si>
  <si>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</si>
  <si>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</si>
  <si>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</si>
  <si>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</si>
  <si>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</si>
  <si>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</si>
  <si>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</si>
  <si>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</si>
  <si>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</si>
  <si>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</si>
  <si>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</si>
  <si>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</si>
  <si>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</si>
  <si>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</si>
  <si>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</si>
  <si>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</si>
  <si>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</si>
  <si>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</si>
  <si>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</si>
  <si>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</si>
  <si>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</si>
  <si>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</si>
  <si>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</si>
  <si>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</si>
  <si>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</si>
  <si>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</si>
  <si>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</si>
  <si>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</si>
  <si>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</si>
  <si>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</si>
  <si>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</si>
  <si>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</si>
  <si>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</si>
  <si>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</si>
  <si>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</si>
  <si>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</si>
  <si>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</si>
  <si>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</si>
  <si>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</si>
  <si>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</si>
  <si>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</si>
  <si>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</si>
  <si>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</si>
  <si>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</si>
  <si>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</si>
  <si>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</si>
  <si>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</si>
  <si>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</si>
  <si>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</si>
  <si>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</si>
  <si>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</si>
  <si>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</si>
  <si>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</si>
  <si>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</si>
  <si>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</si>
  <si>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</si>
  <si>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</si>
  <si>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</si>
  <si>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</si>
  <si>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</si>
  <si>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</si>
  <si>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</si>
  <si>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</si>
  <si>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</si>
  <si>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</si>
  <si>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</si>
  <si>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</si>
  <si>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</si>
  <si>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</si>
  <si>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</si>
  <si>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</si>
  <si>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</si>
  <si>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</si>
  <si>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</si>
  <si>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</si>
  <si>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</si>
  <si>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</si>
  <si>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</si>
  <si>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</si>
  <si>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</si>
  <si>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</si>
  <si>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</si>
  <si>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</si>
  <si>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</si>
  <si>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</si>
  <si>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</si>
  <si>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</si>
  <si>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</si>
  <si>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</si>
  <si>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</si>
  <si>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</si>
  <si>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</si>
  <si>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</si>
  <si>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</si>
  <si>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</si>
  <si>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</si>
  <si>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</si>
  <si>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</si>
  <si>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</si>
  <si>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</si>
  <si>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</si>
  <si>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</si>
  <si>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</si>
  <si>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</si>
  <si>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</si>
  <si>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</si>
  <si>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</si>
  <si>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</si>
  <si>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</si>
  <si>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</si>
  <si>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</si>
  <si>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</si>
  <si>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</si>
  <si>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</si>
  <si>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</si>
  <si>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</si>
  <si>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</si>
  <si>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</si>
  <si>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</si>
  <si>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</si>
  <si>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</si>
  <si>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</si>
  <si>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</si>
  <si>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</si>
  <si>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</si>
  <si>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</si>
  <si>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</si>
  <si>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</si>
  <si>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</si>
  <si>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</si>
  <si>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</si>
  <si>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</si>
  <si>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</si>
  <si>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</si>
  <si>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</si>
  <si>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</si>
  <si>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</si>
  <si>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</si>
  <si>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</si>
  <si>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</si>
  <si>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</si>
  <si>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</si>
  <si>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</si>
  <si>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</si>
  <si>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</si>
  <si>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</si>
  <si>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</si>
  <si>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</si>
  <si>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</si>
  <si>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</si>
  <si>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</si>
  <si>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</si>
  <si>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</si>
  <si>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</si>
  <si>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</si>
  <si>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</si>
  <si>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</si>
  <si>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</si>
  <si>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</si>
  <si>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</si>
  <si>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</si>
  <si>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</si>
  <si>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</si>
  <si>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</si>
  <si>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</si>
  <si>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</si>
  <si>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</si>
  <si>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</si>
  <si>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</si>
  <si>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</si>
  <si>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</si>
  <si>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</si>
  <si>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</si>
  <si>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</si>
  <si>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</si>
  <si>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</si>
  <si>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</si>
  <si>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</si>
  <si>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</si>
  <si>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</si>
  <si>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</si>
  <si>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</si>
  <si>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</si>
  <si>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</si>
  <si>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</si>
  <si>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</si>
  <si>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</si>
  <si>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</si>
  <si>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</si>
  <si>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</si>
  <si>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</si>
  <si>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</si>
  <si>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</si>
  <si>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</si>
  <si>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</si>
  <si>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</si>
  <si>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</si>
  <si>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</si>
  <si>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</si>
  <si>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</si>
  <si>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</si>
  <si>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</si>
  <si>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</si>
  <si>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</si>
  <si>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</si>
  <si>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</si>
  <si>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</si>
  <si>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</si>
  <si>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</si>
  <si>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</si>
  <si>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</si>
  <si>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</si>
  <si>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</si>
  <si>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</si>
  <si>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</si>
  <si>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</si>
  <si>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</si>
  <si>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</si>
  <si>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</si>
  <si>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</si>
  <si>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</si>
  <si>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</si>
  <si>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</si>
  <si>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</si>
  <si>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</si>
  <si>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</si>
  <si>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</si>
  <si>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</si>
  <si>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</si>
  <si>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</si>
  <si>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</si>
  <si>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</si>
  <si>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</si>
  <si>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</si>
  <si>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</si>
  <si>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</si>
  <si>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</si>
  <si>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</si>
  <si>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</si>
  <si>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</si>
  <si>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</si>
  <si>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</si>
  <si>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</si>
  <si>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</si>
  <si>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</si>
  <si>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</si>
  <si>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</si>
  <si>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</si>
  <si>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</si>
  <si>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</si>
  <si>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</si>
  <si>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</si>
  <si>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</si>
  <si>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</si>
  <si>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</si>
  <si>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</si>
  <si>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</si>
  <si>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</si>
  <si>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</si>
  <si>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</si>
  <si>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</si>
  <si>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</si>
  <si>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</si>
  <si>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</si>
  <si>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</si>
  <si>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</si>
  <si>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</si>
  <si>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</si>
  <si>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</si>
  <si>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</si>
  <si>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</si>
  <si>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</si>
  <si>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</si>
  <si>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</si>
  <si>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</si>
  <si>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</si>
  <si>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</si>
  <si>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</si>
  <si>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</si>
  <si>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</si>
  <si>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</si>
  <si>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</si>
  <si>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</si>
  <si>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</si>
  <si>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</si>
  <si>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</si>
  <si>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</si>
  <si>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</si>
  <si>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</si>
  <si>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</si>
  <si>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</si>
  <si>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</si>
  <si>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</si>
  <si>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</si>
  <si>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</si>
  <si>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</si>
  <si>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</si>
  <si>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</si>
  <si>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</si>
  <si>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</si>
  <si>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</si>
  <si>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</si>
  <si>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</si>
  <si>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</si>
  <si>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</si>
  <si>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</si>
  <si>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</si>
  <si>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</si>
  <si>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</si>
  <si>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</si>
  <si>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</si>
  <si>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</si>
  <si>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</si>
  <si>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</si>
  <si>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</si>
  <si>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</si>
  <si>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</si>
  <si>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</si>
  <si>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</si>
  <si>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</si>
  <si>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</si>
  <si>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</si>
  <si>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</si>
  <si>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</si>
  <si>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</si>
  <si>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</si>
  <si>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</si>
  <si>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</si>
  <si>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</si>
  <si>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</si>
  <si>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</si>
  <si>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</si>
  <si>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</si>
  <si>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</si>
  <si>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</si>
  <si>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</si>
  <si>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</si>
  <si>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</si>
  <si>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</si>
  <si>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</si>
  <si>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</si>
  <si>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</si>
  <si>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</si>
  <si>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</si>
  <si>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</si>
  <si>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</si>
  <si>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</si>
  <si>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</si>
  <si>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</si>
  <si>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</si>
  <si>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</si>
  <si>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</si>
  <si>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</si>
  <si>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</si>
  <si>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</si>
  <si>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</si>
  <si>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</si>
  <si>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</si>
  <si>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</si>
  <si>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</si>
  <si>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</si>
  <si>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</si>
  <si>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</si>
  <si>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</si>
  <si>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</si>
  <si>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</si>
  <si>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</si>
  <si>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</si>
  <si>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</si>
  <si>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</si>
  <si>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</si>
  <si>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</si>
  <si>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</si>
  <si>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</si>
  <si>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</si>
  <si>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</si>
  <si>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</si>
  <si>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</si>
  <si>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</si>
  <si>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</si>
  <si>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</si>
  <si>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</si>
  <si>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</si>
  <si>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</si>
  <si>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</si>
  <si>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</si>
  <si>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</si>
  <si>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</si>
  <si>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</si>
  <si>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</si>
  <si>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</si>
  <si>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</si>
  <si>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</si>
  <si>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</si>
  <si>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</si>
  <si>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</si>
  <si>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</si>
  <si>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</si>
  <si>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</si>
  <si>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</si>
  <si>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</si>
  <si>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</si>
  <si>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</si>
  <si>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</si>
  <si>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</si>
  <si>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</si>
  <si>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</si>
  <si>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</si>
  <si>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</si>
  <si>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</si>
  <si>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</si>
  <si>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</si>
  <si>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</si>
  <si>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</si>
  <si>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</si>
  <si>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</si>
  <si>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</si>
  <si>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</si>
  <si>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</si>
  <si>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</si>
  <si>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</si>
  <si>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</si>
  <si>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</si>
  <si>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</si>
  <si>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</si>
  <si>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</si>
  <si>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</si>
  <si>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</si>
  <si>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</si>
  <si>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</si>
  <si>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</si>
  <si>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</si>
  <si>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</si>
  <si>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</si>
  <si>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</si>
  <si>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</si>
  <si>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</si>
  <si>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</si>
  <si>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</si>
  <si>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</si>
  <si>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</si>
  <si>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</si>
  <si>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</si>
  <si>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</si>
  <si>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</si>
  <si>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</si>
  <si>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</si>
  <si>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</si>
  <si>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</si>
  <si>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</si>
  <si>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</si>
  <si>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</si>
  <si>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</si>
  <si>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</si>
  <si>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</si>
  <si>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</si>
  <si>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</si>
  <si>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</si>
  <si>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</si>
  <si>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</si>
  <si>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</si>
  <si>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</si>
  <si>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</si>
  <si>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</si>
  <si>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</si>
  <si>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</si>
  <si>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</si>
  <si>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</si>
  <si>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</si>
  <si>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</si>
  <si>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</si>
  <si>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</si>
  <si>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</si>
  <si>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</si>
  <si>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</si>
  <si>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</si>
  <si>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</si>
  <si>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</si>
  <si>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</si>
  <si>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</si>
  <si>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</si>
  <si>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</si>
  <si>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</si>
  <si>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</si>
  <si>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</si>
  <si>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</si>
  <si>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</si>
  <si>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</si>
  <si>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</si>
  <si>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</si>
  <si>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</si>
  <si>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</si>
  <si>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</si>
  <si>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</si>
  <si>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</si>
  <si>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</si>
  <si>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</si>
  <si>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</si>
  <si>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</si>
  <si>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</si>
  <si>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</si>
  <si>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</si>
  <si>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</si>
  <si>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</si>
  <si>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</si>
  <si>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</si>
  <si>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</si>
  <si>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</si>
  <si>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</si>
  <si>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</si>
  <si>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</si>
  <si>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</si>
  <si>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</si>
  <si>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</si>
  <si>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</si>
  <si>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</si>
  <si>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</si>
  <si>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</si>
  <si>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</si>
  <si>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</si>
  <si>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</si>
  <si>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</si>
  <si>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</si>
  <si>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</si>
  <si>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</si>
  <si>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</si>
  <si>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</si>
  <si>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</si>
  <si>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</si>
  <si>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</si>
  <si>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</si>
  <si>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</si>
  <si>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</si>
  <si>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</si>
  <si>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</si>
  <si>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</si>
  <si>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</si>
  <si>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</si>
  <si>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</si>
  <si>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</si>
  <si>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</si>
  <si>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</si>
  <si>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</si>
  <si>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</si>
  <si>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</si>
  <si>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</si>
  <si>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</si>
  <si>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</si>
  <si>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</si>
  <si>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</si>
  <si>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</si>
  <si>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</si>
  <si>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</si>
  <si>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</si>
  <si>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</si>
  <si>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</si>
  <si>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</si>
  <si>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</si>
  <si>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</si>
  <si>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</si>
  <si>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</si>
  <si>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</si>
  <si>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</si>
  <si>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</si>
  <si>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</si>
  <si>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</si>
  <si>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</si>
  <si>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</si>
  <si>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</si>
  <si>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</si>
  <si>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</si>
  <si>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</si>
  <si>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</si>
  <si>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</si>
  <si>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</si>
  <si>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</si>
  <si>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</si>
  <si>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</si>
  <si>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</si>
  <si>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</si>
  <si>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</si>
  <si>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</si>
  <si>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</si>
  <si>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</si>
  <si>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</si>
  <si>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</si>
  <si>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</si>
  <si>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</si>
  <si>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</si>
  <si>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</si>
  <si>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</si>
  <si>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</si>
  <si>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</si>
  <si>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</si>
  <si>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</si>
  <si>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</si>
  <si>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</si>
  <si>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</si>
  <si>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</si>
  <si>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</si>
  <si>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</si>
  <si>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</si>
  <si>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</si>
  <si>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</si>
  <si>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</si>
  <si>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</si>
  <si>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</si>
  <si>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</si>
  <si>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</si>
  <si>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</si>
  <si>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</si>
  <si>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</si>
  <si>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</si>
  <si>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</si>
  <si>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</si>
  <si>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</si>
  <si>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</si>
  <si>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</si>
  <si>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</si>
  <si>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</si>
  <si>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</si>
  <si>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</si>
  <si>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</si>
  <si>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</si>
  <si>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</si>
  <si>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</si>
  <si>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</si>
  <si>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</si>
  <si>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</si>
  <si>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</si>
  <si>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</si>
  <si>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</si>
  <si>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</si>
  <si>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</si>
  <si>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</si>
  <si>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</si>
  <si>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</si>
  <si>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</si>
  <si>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</si>
  <si>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</si>
  <si>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</si>
  <si>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</si>
  <si>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</si>
  <si>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</si>
  <si>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</si>
  <si>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</si>
  <si>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</si>
  <si>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</si>
  <si>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</si>
  <si>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</si>
  <si>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</si>
  <si>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</si>
  <si>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</si>
  <si>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</si>
  <si>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</si>
  <si>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</si>
  <si>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</si>
  <si>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</si>
  <si>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</si>
  <si>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</si>
  <si>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</si>
  <si>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</si>
  <si>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</si>
  <si>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</si>
  <si>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</si>
  <si>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</si>
  <si>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</si>
  <si>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</si>
  <si>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</si>
  <si>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</si>
  <si>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</si>
  <si>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</si>
  <si>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</si>
  <si>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</si>
  <si>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</si>
  <si>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</si>
  <si>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</si>
  <si>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</si>
  <si>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</si>
  <si>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</si>
  <si>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</si>
  <si>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</si>
  <si>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</si>
  <si>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</si>
  <si>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</si>
  <si>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</si>
  <si>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</si>
  <si>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</si>
  <si>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</si>
  <si>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</si>
  <si>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</si>
  <si>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</si>
  <si>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</si>
  <si>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</si>
  <si>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</si>
  <si>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</si>
  <si>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</si>
  <si>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</si>
  <si>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</si>
  <si>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</si>
  <si>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</si>
  <si>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</si>
  <si>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</si>
  <si>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</si>
  <si>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</si>
  <si>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</si>
  <si>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</si>
  <si>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</si>
  <si>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</si>
  <si>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</si>
  <si>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</si>
  <si>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</si>
  <si>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</si>
  <si>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</si>
  <si>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</si>
  <si>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</si>
  <si>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</si>
  <si>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</si>
  <si>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</si>
  <si>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</si>
  <si>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</si>
  <si>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</si>
  <si>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</si>
  <si>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</si>
  <si>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</si>
  <si>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</si>
  <si>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</si>
  <si>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</si>
  <si>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</si>
  <si>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</si>
  <si>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</si>
  <si>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</si>
  <si>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</si>
  <si>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</si>
  <si>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</si>
  <si>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</si>
  <si>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</si>
  <si>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</si>
  <si>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</si>
  <si>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</si>
  <si>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</si>
  <si>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</si>
  <si>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</si>
  <si>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</si>
  <si>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</si>
  <si>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</si>
  <si>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</si>
  <si>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</si>
  <si>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</si>
  <si>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</si>
  <si>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</si>
  <si>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</si>
  <si>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</si>
  <si>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</si>
  <si>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</si>
  <si>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</si>
  <si>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</si>
  <si>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</si>
  <si>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</si>
  <si>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</si>
  <si>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</si>
  <si>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</si>
  <si>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</si>
  <si>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</si>
  <si>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</si>
  <si>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</si>
  <si>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</si>
  <si>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</si>
  <si>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</si>
  <si>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</si>
  <si>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</si>
  <si>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</si>
  <si>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</si>
  <si>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</si>
  <si>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</si>
  <si>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</si>
  <si>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</si>
  <si>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</si>
  <si>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</si>
  <si>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</si>
  <si>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</si>
  <si>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</si>
  <si>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</si>
  <si>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</si>
  <si>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</si>
  <si>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</si>
  <si>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</si>
  <si>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</si>
  <si>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</si>
  <si>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</si>
  <si>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</si>
  <si>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</si>
  <si>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</si>
  <si>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</si>
  <si>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</si>
  <si>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</si>
  <si>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</si>
  <si>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</si>
  <si>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</si>
  <si>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</si>
  <si>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</si>
  <si>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</si>
  <si>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</si>
  <si>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</si>
  <si>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</si>
  <si>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</si>
  <si>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</si>
  <si>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</si>
  <si>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</si>
  <si>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</si>
  <si>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</si>
  <si>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</si>
  <si>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</si>
  <si>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</si>
  <si>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</si>
  <si>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</si>
  <si>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</si>
  <si>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</si>
  <si>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</si>
  <si>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</si>
  <si>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</si>
  <si>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</si>
  <si>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</si>
  <si>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</si>
  <si>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</si>
  <si>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</si>
  <si>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</si>
  <si>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</si>
  <si>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</si>
  <si>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</si>
  <si>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</si>
  <si>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</si>
  <si>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</si>
  <si>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</si>
  <si>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</si>
  <si>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</si>
  <si>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</si>
  <si>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</si>
  <si>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</si>
  <si>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</si>
  <si>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</si>
  <si>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</si>
  <si>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</si>
  <si>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</si>
  <si>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</si>
  <si>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</si>
  <si>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</si>
  <si>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</si>
  <si>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</si>
  <si>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</si>
  <si>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</si>
  <si>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</si>
  <si>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</si>
  <si>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</si>
  <si>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</si>
  <si>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</si>
  <si>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</si>
  <si>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</si>
  <si>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</si>
  <si>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</si>
  <si>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</si>
  <si>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</si>
  <si>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</si>
  <si>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</si>
  <si>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</si>
  <si>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</si>
  <si>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</si>
  <si>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</si>
  <si>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</si>
  <si>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</si>
  <si>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</si>
  <si>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</si>
  <si>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</si>
  <si>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</si>
  <si>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</si>
  <si>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</si>
  <si>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</si>
  <si>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</si>
  <si>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</si>
  <si>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</si>
  <si>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</si>
  <si>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</si>
  <si>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</si>
  <si>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</si>
  <si>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</si>
  <si>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</si>
  <si>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</si>
  <si>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</si>
  <si>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</si>
  <si>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</si>
  <si>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</si>
  <si>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</si>
  <si>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</si>
  <si>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</si>
  <si>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</si>
  <si>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</si>
  <si>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</si>
  <si>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</si>
  <si>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</si>
  <si>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</si>
  <si>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</si>
  <si>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</si>
  <si>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</si>
  <si>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</si>
  <si>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</si>
  <si>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</si>
  <si>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</si>
  <si>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</si>
  <si>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</si>
  <si>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</si>
  <si>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</si>
  <si>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</si>
  <si>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</si>
  <si>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</si>
  <si>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</si>
  <si>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</si>
  <si>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</si>
  <si>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</si>
  <si>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</si>
  <si>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</si>
  <si>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</si>
  <si>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</si>
  <si>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</si>
  <si>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</si>
  <si>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</si>
  <si>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</si>
  <si>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</si>
  <si>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</si>
  <si>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</si>
  <si>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</si>
  <si>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</si>
  <si>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</si>
  <si>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</si>
  <si>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</si>
  <si>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</si>
  <si>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</si>
  <si>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</si>
  <si>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</si>
  <si>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</si>
  <si>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</si>
  <si>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</si>
  <si>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</si>
  <si>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</si>
  <si>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</si>
  <si>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</si>
  <si>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</si>
  <si>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</si>
  <si>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</si>
  <si>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</si>
  <si>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</si>
  <si>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</si>
  <si>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</si>
  <si>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</si>
  <si>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</si>
  <si>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</si>
  <si>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</si>
  <si>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</si>
  <si>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</si>
  <si>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</si>
  <si>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</si>
  <si>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</si>
  <si>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</si>
  <si>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</si>
  <si>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</si>
  <si>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</si>
  <si>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</si>
  <si>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</si>
  <si>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</si>
  <si>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</si>
  <si>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</si>
  <si>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</si>
  <si>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</si>
  <si>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</si>
  <si>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</si>
  <si>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</si>
  <si>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</si>
  <si>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</si>
  <si>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</si>
  <si>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</si>
  <si>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</si>
  <si>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</si>
  <si>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</si>
  <si>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</si>
  <si>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</si>
  <si>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</si>
  <si>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</si>
  <si>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</si>
  <si>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</si>
  <si>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</si>
  <si>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</si>
  <si>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</si>
  <si>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</si>
  <si>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</si>
  <si>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</si>
  <si>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</si>
  <si>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</si>
  <si>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</si>
  <si>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</si>
  <si>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</si>
  <si>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</si>
  <si>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</si>
  <si>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</si>
  <si>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</si>
  <si>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</si>
  <si>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</si>
  <si>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</si>
  <si>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</si>
  <si>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</si>
  <si>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</si>
  <si>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</si>
  <si>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</si>
  <si>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</si>
  <si>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</si>
  <si>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</si>
  <si>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</si>
  <si>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</si>
  <si>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</si>
  <si>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</si>
  <si>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</si>
  <si>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</si>
  <si>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</si>
  <si>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</si>
  <si>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</si>
  <si>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</si>
  <si>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</si>
  <si>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</si>
  <si>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</si>
  <si>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</si>
  <si>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</si>
  <si>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</si>
  <si>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</si>
  <si>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</si>
  <si>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</si>
  <si>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</si>
  <si>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</si>
  <si>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</si>
  <si>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</si>
  <si>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</si>
  <si>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</si>
  <si>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</si>
  <si>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</si>
  <si>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</si>
  <si>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</si>
  <si>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</si>
  <si>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</si>
  <si>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</si>
  <si>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</si>
  <si>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</si>
  <si>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</si>
  <si>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</si>
  <si>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</si>
  <si>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</si>
  <si>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</si>
  <si>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</si>
  <si>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</si>
  <si>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</si>
  <si>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</si>
  <si>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</si>
  <si>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</si>
  <si>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</si>
  <si>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</si>
  <si>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</si>
  <si>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</si>
  <si>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</si>
  <si>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</si>
  <si>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</si>
  <si>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</si>
  <si>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</si>
  <si>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</si>
  <si>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</si>
  <si>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</si>
  <si>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</si>
  <si>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</si>
  <si>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</si>
  <si>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</si>
  <si>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</si>
  <si>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</si>
  <si>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</si>
  <si>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</si>
  <si>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</si>
  <si>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</si>
  <si>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</si>
  <si>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</si>
  <si>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</si>
  <si>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</si>
  <si>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</si>
  <si>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</si>
  <si>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</si>
  <si>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</si>
  <si>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</si>
  <si>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</si>
  <si>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</si>
  <si>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</si>
  <si>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</si>
  <si>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</si>
  <si>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</si>
  <si>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</si>
  <si>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</si>
  <si>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</si>
  <si>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</si>
  <si>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</si>
  <si>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</si>
  <si>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</si>
  <si>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</si>
  <si>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</si>
  <si>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</si>
  <si>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</si>
  <si>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</si>
  <si>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</si>
  <si>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</si>
  <si>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</si>
  <si>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</si>
  <si>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</si>
  <si>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</si>
  <si>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</si>
  <si>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</si>
  <si>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</si>
  <si>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</si>
  <si>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</si>
  <si>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</si>
  <si>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</si>
  <si>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</si>
  <si>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</si>
  <si>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</si>
  <si>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</si>
  <si>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</si>
  <si>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</si>
  <si>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</si>
  <si>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</si>
  <si>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</si>
  <si>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</si>
  <si>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</si>
  <si>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</si>
  <si>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</si>
  <si>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</si>
  <si>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</si>
  <si>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</si>
  <si>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</si>
  <si>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</si>
  <si>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</si>
  <si>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</si>
  <si>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</si>
  <si>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</si>
  <si>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</si>
  <si>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</si>
  <si>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</si>
  <si>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</si>
  <si>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</si>
  <si>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</si>
  <si>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</si>
  <si>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</si>
  <si>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</si>
  <si>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</si>
  <si>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</si>
  <si>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</si>
  <si>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</si>
  <si>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</si>
  <si>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</si>
  <si>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</si>
  <si>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</si>
  <si>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</si>
  <si>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</si>
  <si>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</si>
  <si>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</si>
  <si>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</si>
  <si>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</si>
  <si>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</si>
  <si>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</si>
  <si>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</si>
  <si>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</si>
  <si>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</si>
  <si>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</si>
  <si>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</si>
  <si>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</si>
  <si>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</si>
  <si>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</si>
  <si>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</si>
  <si>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</si>
  <si>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</si>
  <si>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</si>
  <si>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</si>
  <si>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</si>
  <si>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</si>
  <si>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</si>
  <si>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</si>
  <si>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</si>
  <si>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</si>
  <si>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</si>
  <si>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</si>
  <si>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</si>
  <si>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</si>
  <si>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</si>
  <si>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</si>
  <si>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</si>
  <si>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</si>
  <si>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</si>
  <si>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</si>
  <si>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</si>
  <si>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</si>
  <si>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</si>
  <si>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</si>
  <si>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</si>
  <si>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</si>
  <si>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</si>
  <si>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</si>
  <si>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</si>
  <si>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</si>
  <si>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</si>
  <si>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</si>
  <si>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</si>
  <si>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</si>
  <si>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</si>
  <si>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</si>
  <si>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</si>
  <si>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</si>
  <si>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</si>
  <si>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</si>
  <si>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</si>
  <si>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</si>
  <si>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</si>
  <si>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</si>
  <si>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</si>
  <si>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</si>
  <si>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</si>
  <si>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</si>
  <si>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</si>
  <si>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</si>
  <si>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</si>
  <si>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</si>
  <si>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</si>
  <si>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</si>
  <si>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</si>
  <si>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</si>
  <si>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</si>
  <si>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</si>
  <si>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</si>
  <si>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</si>
  <si>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</si>
  <si>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</si>
  <si>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</si>
  <si>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</si>
  <si>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</si>
  <si>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</si>
  <si>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</si>
  <si>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</si>
  <si>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</si>
  <si>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</si>
  <si>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</si>
  <si>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</si>
  <si>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</si>
  <si>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</si>
  <si>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</si>
  <si>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</si>
  <si>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</si>
  <si>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</si>
  <si>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</si>
  <si>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</si>
  <si>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</si>
  <si>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</si>
  <si>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</si>
  <si>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</si>
  <si>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</si>
  <si>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</si>
  <si>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</si>
  <si>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</si>
  <si>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</si>
  <si>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</si>
  <si>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</si>
  <si>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</si>
  <si>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</si>
  <si>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</si>
  <si>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</si>
  <si>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</si>
  <si>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</si>
  <si>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</si>
  <si>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</si>
  <si>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</si>
  <si>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</si>
  <si>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</si>
  <si>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</si>
  <si>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</si>
  <si>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</si>
  <si>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</si>
  <si>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</si>
  <si>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</si>
  <si>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</si>
  <si>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</si>
  <si>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</si>
  <si>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</si>
  <si>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</si>
  <si>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</si>
  <si>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</si>
  <si>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</si>
  <si>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</si>
  <si>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</si>
  <si>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</si>
  <si>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</si>
  <si>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</si>
  <si>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</si>
  <si>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</si>
  <si>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</si>
  <si>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</si>
  <si>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</si>
  <si>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</si>
  <si>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</si>
  <si>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</si>
  <si>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</si>
  <si>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</si>
  <si>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</si>
  <si>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</si>
  <si>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</si>
  <si>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</si>
  <si>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</si>
  <si>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</si>
  <si>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</si>
  <si>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</si>
  <si>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</si>
  <si>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</si>
  <si>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</si>
  <si>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</si>
  <si>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</si>
  <si>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</si>
  <si>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</si>
  <si>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</si>
  <si>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</si>
  <si>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</si>
  <si>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</si>
  <si>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</si>
  <si>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</si>
  <si>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</si>
  <si>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</si>
  <si>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</si>
  <si>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</si>
  <si>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</si>
  <si>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</si>
  <si>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</si>
  <si>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</si>
  <si>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</si>
  <si>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</si>
  <si>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</si>
  <si>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</si>
  <si>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</si>
  <si>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</si>
  <si>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</si>
  <si>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</si>
  <si>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</si>
  <si>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</si>
  <si>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</si>
  <si>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</si>
  <si>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</si>
  <si>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</si>
  <si>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</si>
  <si>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</si>
  <si>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</si>
  <si>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</si>
  <si>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</si>
  <si>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</si>
  <si>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</si>
  <si>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</si>
  <si>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</si>
  <si>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</si>
  <si>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</si>
  <si>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</si>
  <si>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</si>
  <si>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</si>
  <si>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</si>
  <si>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</si>
  <si>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</si>
  <si>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</si>
  <si>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</si>
  <si>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</si>
  <si>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</si>
  <si>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</si>
  <si>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</si>
  <si>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</si>
  <si>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</si>
  <si>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</si>
  <si>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</si>
  <si>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</si>
  <si>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</si>
  <si>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</si>
  <si>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</si>
  <si>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</si>
  <si>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</si>
  <si>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</si>
  <si>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</si>
  <si>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</si>
  <si>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</si>
  <si>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</si>
  <si>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</si>
  <si>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</si>
  <si>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</si>
  <si>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</si>
  <si>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</si>
  <si>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</si>
  <si>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</si>
  <si>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</si>
  <si>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</si>
  <si>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</si>
  <si>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</si>
  <si>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</si>
  <si>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</si>
  <si>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</si>
  <si>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</si>
  <si>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</si>
  <si>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</si>
  <si>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</si>
  <si>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</si>
  <si>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</si>
  <si>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</si>
  <si>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</si>
  <si>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</si>
  <si>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</si>
  <si>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</si>
  <si>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</si>
  <si>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</si>
  <si>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</si>
  <si>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</si>
  <si>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</si>
  <si>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</si>
  <si>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</si>
  <si>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</si>
  <si>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</si>
  <si>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</si>
  <si>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</si>
  <si>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</si>
  <si>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</si>
  <si>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</si>
  <si>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</si>
  <si>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</si>
  <si>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</si>
  <si>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</si>
  <si>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</si>
  <si>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</si>
  <si>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</si>
  <si>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</si>
  <si>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</si>
  <si>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</si>
  <si>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</si>
  <si>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</si>
  <si>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</si>
  <si>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</si>
  <si>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</si>
  <si>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</si>
  <si>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</si>
  <si>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</si>
  <si>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</si>
  <si>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</si>
  <si>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</si>
  <si>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</si>
  <si>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</si>
  <si>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</si>
  <si>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</si>
  <si>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</si>
  <si>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</si>
  <si>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</si>
  <si>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</si>
  <si>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</si>
  <si>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</si>
  <si>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</si>
  <si>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</si>
  <si>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</si>
  <si>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</si>
  <si>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</si>
  <si>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</si>
  <si>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</si>
  <si>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</si>
  <si>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</si>
  <si>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</si>
  <si>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</si>
  <si>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</si>
  <si>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</si>
  <si>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</si>
  <si>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</si>
  <si>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</si>
  <si>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</si>
  <si>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</si>
  <si>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</si>
  <si>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</si>
  <si>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</si>
  <si>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</si>
  <si>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</si>
  <si>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</si>
  <si>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</si>
  <si>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</si>
  <si>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</si>
  <si>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</si>
  <si>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</si>
  <si>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</si>
  <si>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</si>
  <si>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</si>
  <si>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</si>
  <si>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</si>
  <si>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</si>
  <si>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</si>
  <si>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</si>
  <si>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</si>
  <si>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</si>
  <si>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</si>
  <si>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</si>
  <si>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</si>
  <si>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</si>
  <si>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</si>
  <si>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</si>
  <si>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</si>
  <si>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</si>
  <si>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</si>
  <si>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</si>
  <si>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</si>
  <si>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</si>
  <si>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</si>
  <si>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</si>
  <si>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</si>
  <si>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</si>
  <si>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</si>
  <si>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</si>
  <si>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</si>
  <si>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</si>
  <si>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</si>
  <si>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</si>
  <si>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</si>
  <si>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</si>
  <si>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</si>
  <si>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</si>
  <si>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</si>
  <si>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</si>
  <si>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</si>
  <si>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</si>
  <si>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</si>
  <si>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</si>
  <si>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</si>
  <si>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</si>
  <si>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</si>
  <si>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</si>
  <si>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</si>
  <si>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</si>
  <si>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</si>
  <si>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</si>
  <si>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</si>
  <si>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</si>
  <si>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</si>
  <si>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</si>
  <si>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</si>
  <si>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</si>
  <si>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</si>
  <si>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</si>
  <si>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</si>
  <si>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</si>
  <si>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</si>
  <si>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</si>
  <si>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</si>
  <si>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</si>
  <si>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</si>
  <si>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</si>
  <si>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</si>
  <si>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</si>
  <si>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</si>
  <si>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</si>
  <si>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</si>
  <si>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</si>
  <si>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</si>
  <si>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</si>
  <si>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</si>
  <si>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</si>
  <si>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</si>
  <si>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</si>
  <si>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</si>
  <si>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</si>
  <si>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</si>
  <si>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</si>
  <si>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</si>
  <si>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</si>
  <si>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</si>
  <si>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</si>
  <si>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</si>
  <si>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</si>
  <si>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</si>
  <si>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</si>
  <si>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</si>
  <si>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</si>
  <si>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</si>
  <si>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</si>
  <si>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</si>
  <si>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</si>
  <si>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</si>
  <si>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</si>
  <si>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</si>
  <si>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</si>
  <si>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</si>
  <si>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</si>
  <si>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</si>
  <si>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</si>
  <si>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</si>
  <si>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</si>
  <si>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</si>
  <si>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</si>
  <si>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</si>
  <si>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</si>
  <si>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</si>
  <si>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</si>
  <si>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</si>
  <si>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</si>
  <si>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</si>
  <si>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</si>
  <si>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</si>
  <si>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</si>
  <si>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</si>
  <si>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</si>
  <si>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</si>
  <si>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</si>
  <si>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</si>
  <si>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</si>
  <si>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</si>
  <si>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</si>
  <si>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</si>
  <si>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</si>
  <si>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</si>
  <si>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</si>
  <si>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</si>
  <si>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</si>
  <si>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</si>
  <si>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</si>
  <si>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</si>
  <si>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</si>
  <si>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</si>
  <si>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</si>
  <si>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</si>
  <si>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</si>
  <si>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</si>
  <si>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</si>
  <si>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</si>
  <si>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</si>
  <si>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</si>
  <si>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</si>
  <si>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</si>
  <si>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</si>
  <si>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</si>
  <si>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</si>
  <si>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</si>
  <si>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</si>
  <si>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</si>
  <si>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</si>
  <si>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</si>
  <si>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</si>
  <si>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</si>
  <si>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</si>
  <si>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</si>
  <si>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</si>
  <si>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</si>
  <si>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</si>
  <si>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</si>
  <si>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</si>
  <si>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</si>
  <si>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</si>
  <si>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</si>
  <si>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</si>
  <si>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</si>
  <si>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</si>
  <si>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</si>
  <si>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</si>
  <si>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</si>
  <si>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</si>
  <si>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</si>
  <si>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</si>
  <si>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</si>
  <si>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</si>
  <si>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</si>
  <si>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</si>
  <si>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</si>
  <si>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</si>
  <si>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</si>
  <si>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</si>
  <si>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</si>
  <si>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</si>
  <si>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</si>
  <si>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</si>
  <si>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</si>
  <si>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</si>
  <si>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</si>
  <si>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</si>
  <si>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</si>
  <si>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</si>
  <si>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</si>
  <si>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</si>
  <si>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</si>
  <si>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</si>
  <si>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</si>
  <si>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</si>
  <si>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</si>
  <si>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</si>
  <si>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</si>
  <si>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</si>
  <si>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</si>
  <si>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</si>
  <si>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</si>
  <si>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</si>
  <si>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</si>
  <si>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</si>
  <si>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</si>
  <si>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</si>
  <si>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</si>
  <si>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</si>
  <si>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</si>
  <si>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</si>
  <si>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</si>
  <si>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</si>
  <si>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</si>
  <si>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</si>
  <si>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</si>
  <si>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</si>
  <si>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</si>
  <si>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</si>
  <si>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</si>
  <si>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</si>
  <si>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</si>
  <si>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</si>
  <si>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</si>
  <si>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</si>
  <si>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</si>
  <si>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</si>
  <si>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</si>
  <si>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</si>
  <si>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</si>
  <si>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</si>
  <si>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</si>
  <si>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</si>
  <si>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</si>
  <si>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</si>
  <si>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</si>
  <si>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</si>
  <si>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</si>
  <si>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</si>
  <si>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</si>
  <si>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</si>
  <si>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</si>
  <si>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</si>
  <si>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</si>
  <si>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</si>
  <si>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</si>
  <si>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</si>
  <si>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</si>
  <si>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</si>
  <si>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</si>
  <si>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</si>
  <si>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</si>
  <si>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</si>
  <si>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</si>
  <si>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</si>
  <si>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</si>
  <si>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</si>
  <si>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</si>
  <si>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</si>
  <si>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</si>
  <si>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</si>
  <si>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</si>
  <si>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</si>
  <si>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</si>
  <si>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</si>
  <si>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</si>
  <si>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</si>
  <si>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</si>
  <si>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</si>
  <si>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</si>
  <si>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</si>
  <si>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</si>
  <si>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</si>
  <si>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</si>
  <si>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</si>
  <si>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</si>
  <si>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</si>
  <si>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</si>
  <si>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</si>
  <si>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</si>
  <si>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</si>
  <si>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</si>
  <si>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</si>
  <si>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</si>
  <si>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</si>
  <si>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</si>
  <si>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</si>
  <si>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</si>
  <si>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</si>
  <si>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</si>
  <si>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</si>
  <si>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</si>
  <si>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</si>
  <si>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</si>
  <si>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</si>
  <si>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</si>
  <si>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</si>
  <si>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</si>
  <si>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</si>
  <si>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</si>
  <si>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</si>
  <si>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</si>
  <si>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</si>
  <si>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</si>
  <si>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</si>
  <si>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</si>
  <si>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</si>
  <si>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</si>
  <si>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</si>
  <si>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</si>
  <si>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</si>
  <si>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</si>
  <si>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</si>
  <si>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</si>
  <si>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</si>
  <si>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</si>
  <si>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</si>
  <si>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</si>
  <si>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</si>
  <si>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</si>
  <si>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</si>
  <si>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</si>
  <si>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</si>
  <si>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</si>
  <si>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</si>
  <si>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</si>
  <si>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</si>
  <si>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</si>
  <si>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</si>
  <si>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</si>
  <si>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</si>
  <si>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</si>
  <si>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</si>
  <si>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</si>
  <si>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</si>
  <si>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</si>
  <si>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</si>
  <si>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</si>
  <si>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</si>
  <si>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</si>
  <si>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</si>
  <si>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</si>
  <si>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</si>
  <si>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</si>
  <si>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</si>
  <si>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</si>
  <si>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</si>
  <si>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</si>
  <si>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</si>
  <si>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</si>
  <si>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</si>
  <si>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</si>
  <si>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</si>
  <si>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</si>
  <si>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</si>
  <si>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</si>
  <si>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</si>
  <si>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</si>
  <si>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</si>
  <si>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</si>
  <si>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</si>
  <si>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</si>
  <si>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</si>
  <si>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</si>
  <si>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</si>
  <si>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</si>
  <si>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</si>
  <si>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</si>
  <si>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</si>
  <si>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</si>
  <si>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</si>
  <si>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</si>
  <si>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</si>
  <si>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</si>
  <si>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</si>
  <si>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</si>
  <si>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</si>
  <si>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</si>
  <si>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</si>
  <si>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</si>
  <si>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</si>
  <si>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</si>
  <si>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</si>
  <si>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</si>
  <si>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</si>
  <si>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</si>
  <si>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</si>
  <si>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</si>
  <si>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</si>
  <si>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</si>
  <si>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</si>
  <si>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</si>
  <si>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</si>
  <si>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</si>
  <si>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</si>
  <si>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</si>
  <si>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</si>
  <si>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</si>
  <si>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</si>
  <si>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</si>
  <si>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</si>
  <si>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</si>
  <si>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</si>
  <si>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</si>
  <si>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</si>
  <si>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</si>
  <si>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</si>
  <si>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</si>
  <si>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</si>
  <si>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</si>
  <si>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</si>
  <si>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</si>
  <si>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</si>
  <si>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</si>
  <si>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</si>
  <si>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</si>
  <si>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</si>
  <si>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</si>
  <si>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</si>
  <si>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</si>
  <si>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</si>
  <si>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</si>
  <si>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</si>
  <si>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</si>
  <si>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</si>
  <si>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</si>
  <si>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</si>
  <si>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</si>
  <si>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</si>
  <si>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</si>
  <si>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</si>
  <si>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</si>
  <si>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</si>
  <si>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</si>
  <si>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</si>
  <si>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</si>
  <si>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</si>
  <si>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</si>
  <si>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</si>
  <si>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</si>
  <si>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</si>
  <si>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</si>
  <si>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</si>
  <si>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</si>
  <si>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</si>
  <si>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</si>
  <si>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</si>
  <si>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</si>
  <si>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</si>
  <si>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</si>
  <si>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</si>
  <si>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</si>
  <si>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</si>
  <si>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</si>
  <si>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</si>
  <si>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</si>
  <si>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</si>
  <si>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</si>
  <si>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</si>
  <si>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</si>
  <si>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</si>
  <si>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</si>
  <si>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</si>
  <si>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</si>
  <si>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</si>
  <si>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</si>
  <si>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</si>
  <si>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</si>
  <si>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</si>
  <si>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</si>
  <si>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</si>
  <si>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</si>
  <si>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</si>
  <si>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</si>
  <si>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</si>
  <si>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</si>
  <si>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</si>
  <si>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</si>
  <si>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</si>
  <si>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</si>
  <si>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</si>
  <si>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</si>
  <si>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</si>
  <si>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</si>
  <si>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</si>
  <si>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</si>
  <si>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</si>
  <si>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</si>
  <si>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</si>
  <si>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</si>
  <si>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</si>
  <si>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</si>
  <si>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</si>
  <si>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</si>
  <si>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</si>
  <si>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</si>
  <si>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</si>
  <si>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</si>
  <si>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</si>
  <si>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</si>
  <si>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</si>
  <si>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</si>
  <si>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</si>
  <si>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</si>
  <si>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</si>
  <si>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</si>
  <si>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</si>
  <si>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</si>
  <si>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</si>
  <si>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</si>
  <si>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</si>
  <si>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</si>
  <si>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</si>
  <si>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</si>
  <si>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</si>
  <si>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</si>
  <si>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</si>
  <si>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</si>
  <si>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</si>
  <si>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</si>
  <si>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</si>
  <si>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</si>
  <si>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</si>
  <si>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</si>
  <si>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</si>
  <si>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</si>
  <si>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</si>
  <si>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</si>
  <si>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</si>
  <si>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</si>
  <si>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</si>
  <si>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</si>
  <si>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</si>
  <si>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</si>
  <si>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</si>
  <si>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</si>
  <si>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</si>
  <si>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</si>
  <si>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</si>
  <si>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</si>
  <si>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</si>
  <si>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</si>
  <si>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</si>
  <si>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</si>
  <si>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</si>
  <si>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</si>
  <si>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</si>
  <si>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</si>
  <si>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</si>
  <si>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</si>
  <si>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</si>
  <si>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</si>
  <si>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</si>
  <si>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</si>
  <si>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</si>
  <si>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</si>
  <si>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</si>
  <si>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</si>
  <si>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</si>
  <si>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</si>
  <si>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</si>
  <si>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</si>
  <si>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</si>
  <si>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</si>
  <si>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</si>
  <si>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</si>
  <si>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</si>
  <si>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</si>
  <si>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</si>
  <si>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</si>
  <si>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</si>
  <si>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</si>
  <si>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</si>
  <si>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</si>
  <si>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</si>
  <si>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</si>
  <si>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</si>
  <si>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</si>
  <si>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</si>
  <si>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</si>
  <si>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</si>
  <si>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</si>
  <si>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</si>
  <si>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</si>
  <si>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</si>
  <si>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</si>
  <si>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</si>
  <si>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</si>
  <si>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</si>
  <si>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</si>
  <si>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</si>
  <si>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</si>
  <si>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</si>
  <si>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</si>
  <si>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</si>
  <si>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</si>
  <si>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</si>
  <si>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</si>
  <si>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</si>
  <si>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</si>
  <si>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</si>
  <si>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</si>
  <si>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</si>
  <si>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</si>
  <si>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</si>
  <si>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</si>
  <si>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</si>
  <si>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</si>
  <si>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</si>
  <si>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</si>
  <si>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</si>
  <si>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</si>
  <si>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</si>
  <si>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</si>
  <si>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</si>
  <si>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</si>
  <si>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</si>
  <si>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</si>
  <si>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</si>
  <si>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</si>
  <si>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</si>
  <si>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</si>
  <si>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</si>
  <si>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</si>
  <si>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</si>
  <si>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</si>
  <si>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</si>
  <si>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</si>
  <si>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</si>
  <si>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</si>
  <si>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</si>
  <si>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</si>
  <si>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</si>
  <si>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</si>
  <si>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</si>
  <si>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</si>
  <si>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</si>
  <si>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</si>
  <si>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</si>
  <si>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</si>
  <si>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</si>
  <si>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</si>
  <si>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</si>
  <si>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</si>
  <si>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</si>
  <si>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</si>
  <si>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</si>
  <si>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</si>
  <si>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</si>
  <si>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</si>
  <si>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</si>
  <si>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</si>
  <si>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</si>
  <si>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</si>
  <si>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</si>
  <si>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</si>
  <si>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</si>
  <si>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</si>
  <si>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</si>
  <si>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</si>
  <si>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</si>
  <si>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</si>
  <si>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</si>
  <si>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</si>
  <si>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</si>
  <si>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</si>
  <si>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</si>
  <si>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</si>
  <si>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</si>
  <si>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</si>
  <si>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</si>
  <si>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</si>
  <si>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</si>
  <si>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</si>
  <si>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</si>
  <si>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</si>
  <si>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</si>
  <si>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</si>
  <si>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</si>
  <si>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</si>
  <si>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</si>
  <si>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</si>
  <si>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</si>
  <si>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</si>
  <si>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</si>
  <si>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</si>
  <si>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</si>
  <si>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</si>
  <si>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</si>
  <si>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</si>
  <si>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</si>
  <si>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</si>
  <si>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</si>
  <si>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</si>
  <si>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</si>
  <si>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</si>
  <si>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</si>
  <si>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</si>
  <si>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</si>
  <si>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</si>
  <si>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</si>
  <si>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</si>
  <si>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</si>
  <si>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</si>
  <si>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</si>
  <si>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</si>
  <si>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</si>
  <si>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</si>
  <si>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</si>
  <si>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</si>
  <si>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</si>
  <si>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</si>
  <si>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</si>
  <si>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</si>
  <si>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</si>
  <si>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</si>
  <si>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</si>
  <si>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</si>
  <si>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</si>
  <si>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</si>
  <si>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</si>
  <si>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</si>
  <si>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</si>
  <si>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</si>
  <si>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</si>
  <si>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</si>
  <si>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</si>
  <si>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</si>
  <si>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</si>
  <si>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</si>
  <si>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</si>
  <si>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</si>
  <si>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</si>
  <si>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</si>
  <si>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</si>
  <si>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</si>
  <si>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</si>
  <si>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</si>
  <si>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</si>
  <si>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</si>
  <si>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</si>
  <si>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</si>
  <si>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</si>
  <si>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</si>
  <si>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</si>
  <si>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</si>
  <si>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</si>
  <si>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</si>
  <si>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</si>
  <si>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</si>
  <si>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</si>
  <si>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</si>
  <si>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</si>
  <si>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</si>
  <si>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</si>
  <si>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</si>
  <si>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</si>
  <si>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</si>
  <si>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</si>
  <si>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</si>
  <si>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</si>
  <si>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</si>
  <si>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</si>
  <si>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</si>
  <si>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</si>
  <si>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</si>
  <si>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</si>
  <si>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</si>
  <si>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</si>
  <si>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</si>
  <si>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</si>
  <si>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</si>
  <si>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</si>
  <si>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</si>
  <si>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</si>
  <si>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</si>
  <si>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</si>
  <si>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</si>
  <si>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</si>
  <si>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</si>
  <si>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</si>
  <si>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</si>
  <si>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</si>
  <si>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</si>
  <si>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</si>
  <si>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</si>
  <si>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</si>
  <si>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</si>
  <si>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</si>
  <si>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</si>
  <si>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</si>
  <si>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</si>
  <si>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</si>
  <si>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</si>
  <si>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</si>
  <si>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</si>
  <si>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</si>
  <si>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</si>
  <si>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</si>
  <si>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</si>
  <si>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</si>
  <si>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</si>
  <si>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</si>
  <si>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</si>
  <si>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</si>
  <si>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</si>
  <si>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</si>
  <si>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</si>
  <si>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</si>
  <si>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</si>
  <si>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</si>
  <si>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</si>
  <si>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</si>
  <si>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</si>
  <si>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</si>
  <si>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</si>
  <si>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</si>
  <si>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</si>
  <si>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</si>
  <si>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</si>
  <si>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</si>
  <si>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</si>
  <si>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</si>
  <si>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</si>
  <si>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</si>
  <si>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</si>
  <si>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</si>
  <si>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</si>
  <si>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</si>
  <si>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</si>
  <si>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</si>
  <si>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</si>
  <si>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</si>
  <si>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</si>
  <si>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</si>
  <si>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</si>
  <si>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</si>
  <si>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</si>
  <si>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</si>
  <si>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</si>
  <si>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</si>
  <si>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</si>
  <si>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</si>
  <si>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</si>
  <si>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</si>
  <si>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</si>
  <si>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</si>
  <si>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</si>
  <si>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</si>
  <si>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</si>
  <si>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</si>
  <si>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</si>
  <si>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</si>
  <si>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</si>
  <si>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</si>
  <si>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</si>
  <si>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</si>
  <si>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</si>
  <si>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</si>
  <si>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</si>
  <si>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</si>
  <si>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</si>
  <si>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</si>
  <si>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</si>
  <si>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</si>
  <si>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</si>
  <si>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</si>
  <si>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</si>
  <si>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</si>
  <si>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</si>
  <si>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</si>
  <si>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</si>
  <si>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</si>
  <si>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</si>
  <si>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</si>
  <si>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</si>
  <si>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</si>
  <si>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</si>
  <si>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</si>
  <si>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</si>
  <si>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</si>
  <si>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</si>
  <si>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</si>
  <si>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</si>
  <si>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</si>
  <si>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</si>
  <si>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</si>
  <si>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</si>
  <si>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</si>
  <si>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</si>
  <si>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</si>
  <si>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</si>
  <si>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</si>
  <si>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</si>
  <si>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</si>
  <si>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</si>
  <si>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</si>
  <si>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</si>
  <si>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</si>
  <si>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</si>
  <si>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</si>
  <si>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</si>
  <si>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</si>
  <si>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</si>
  <si>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</si>
  <si>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</si>
  <si>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</si>
  <si>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</si>
  <si>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</si>
  <si>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</si>
  <si>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</si>
  <si>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</si>
  <si>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</si>
  <si>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</si>
  <si>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</si>
  <si>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</si>
  <si>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</si>
  <si>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</si>
  <si>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</si>
  <si>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</si>
  <si>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</si>
  <si>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</si>
  <si>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</si>
  <si>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</si>
  <si>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</si>
  <si>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</si>
  <si>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</si>
  <si>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</si>
  <si>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</si>
  <si>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</si>
  <si>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</si>
  <si>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</si>
  <si>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</si>
  <si>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</si>
  <si>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</si>
  <si>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</si>
  <si>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</si>
  <si>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</si>
  <si>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</si>
  <si>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</si>
  <si>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</si>
  <si>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</si>
  <si>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</si>
  <si>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</si>
  <si>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</si>
  <si>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</si>
  <si>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</si>
  <si>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</si>
  <si>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</si>
  <si>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</si>
  <si>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</si>
  <si>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</si>
  <si>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</si>
  <si>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</si>
  <si>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</si>
  <si>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</si>
  <si>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</si>
  <si>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</si>
  <si>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</si>
  <si>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</si>
  <si>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</si>
  <si>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</si>
  <si>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</si>
  <si>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</si>
  <si>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</si>
  <si>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</si>
  <si>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</si>
  <si>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</si>
  <si>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</si>
  <si>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</si>
  <si>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</si>
  <si>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</si>
  <si>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</si>
  <si>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</si>
  <si>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</si>
  <si>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</si>
  <si>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</si>
  <si>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</si>
  <si>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</si>
  <si>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</si>
  <si>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</si>
  <si>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</si>
  <si>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</si>
  <si>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</si>
  <si>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</si>
  <si>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</si>
  <si>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</si>
  <si>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</si>
  <si>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</si>
  <si>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</si>
  <si>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</si>
  <si>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</si>
  <si>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</si>
  <si>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</si>
  <si>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</si>
  <si>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</si>
  <si>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</si>
  <si>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</si>
  <si>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</si>
  <si>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</si>
  <si>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</si>
  <si>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</si>
  <si>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</si>
  <si>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</si>
  <si>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</si>
  <si>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</si>
  <si>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</si>
  <si>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</si>
  <si>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</si>
  <si>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</si>
  <si>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</si>
  <si>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</si>
  <si>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</si>
  <si>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</si>
  <si>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</si>
  <si>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</si>
  <si>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</si>
  <si>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</si>
  <si>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</si>
  <si>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</si>
  <si>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</si>
  <si>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</si>
  <si>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</si>
  <si>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</si>
  <si>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</si>
  <si>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</si>
  <si>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</si>
  <si>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</si>
  <si>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</si>
  <si>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</si>
  <si>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</si>
  <si>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</si>
  <si>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</si>
  <si>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</si>
  <si>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</si>
  <si>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</si>
  <si>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</si>
  <si>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</si>
  <si>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</si>
  <si>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</si>
  <si>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</si>
  <si>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</si>
  <si>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</si>
  <si>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</si>
  <si>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</si>
  <si>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</si>
  <si>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</si>
  <si>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</si>
  <si>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</si>
  <si>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</si>
  <si>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</si>
  <si>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</si>
  <si>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</si>
  <si>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</si>
  <si>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</si>
  <si>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</si>
  <si>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</si>
  <si>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</si>
  <si>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</si>
  <si>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</si>
  <si>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</si>
  <si>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</si>
  <si>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</si>
  <si>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</si>
  <si>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</si>
  <si>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</si>
  <si>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</si>
  <si>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</si>
  <si>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</si>
  <si>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</si>
  <si>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</si>
  <si>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</si>
  <si>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</si>
  <si>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</si>
  <si>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</si>
  <si>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</si>
  <si>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</si>
  <si>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</si>
  <si>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</si>
  <si>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</si>
  <si>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</si>
  <si>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</si>
  <si>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</si>
  <si>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</si>
  <si>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</si>
  <si>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</si>
  <si>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</si>
  <si>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</si>
  <si>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</si>
  <si>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</si>
  <si>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</si>
  <si>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</si>
  <si>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</si>
  <si>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</si>
  <si>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</si>
  <si>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</si>
  <si>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</si>
  <si>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</si>
  <si>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</si>
  <si>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</si>
  <si>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</si>
  <si>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</si>
  <si>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</si>
  <si>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</si>
  <si>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</si>
  <si>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</si>
  <si>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</si>
  <si>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</si>
  <si>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</si>
  <si>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</si>
  <si>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</si>
  <si>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</si>
  <si>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</si>
  <si>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</si>
  <si>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</si>
  <si>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</si>
  <si>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</si>
  <si>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</si>
  <si>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</si>
  <si>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</si>
  <si>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</si>
  <si>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</si>
  <si>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</si>
  <si>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</si>
  <si>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</si>
  <si>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</si>
  <si>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</si>
  <si>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</si>
  <si>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</si>
  <si>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</si>
  <si>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</si>
  <si>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</si>
  <si>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</si>
  <si>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</si>
  <si>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</si>
  <si>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</si>
  <si>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</si>
  <si>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</si>
  <si>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</si>
  <si>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</si>
  <si>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</si>
  <si>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</si>
  <si>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</si>
  <si>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</si>
  <si>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</si>
  <si>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</si>
  <si>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</si>
  <si>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</si>
  <si>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</si>
  <si>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</si>
  <si>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</si>
  <si>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</si>
  <si>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</si>
  <si>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</si>
  <si>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</si>
  <si>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</si>
  <si>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</si>
  <si>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</si>
  <si>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</si>
  <si>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</si>
  <si>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</si>
  <si>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</si>
  <si>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</si>
  <si>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</si>
  <si>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</si>
  <si>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</si>
  <si>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</si>
  <si>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</si>
  <si>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</si>
  <si>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</si>
  <si>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</si>
  <si>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</si>
  <si>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</si>
  <si>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</si>
  <si>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</si>
  <si>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</si>
  <si>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</si>
  <si>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</si>
  <si>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</si>
  <si>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</si>
  <si>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</si>
  <si>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</si>
  <si>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</si>
  <si>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</si>
  <si>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</si>
  <si>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</si>
  <si>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</si>
  <si>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</si>
  <si>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</si>
  <si>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</si>
  <si>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</si>
  <si>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</si>
  <si>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</si>
  <si>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</si>
  <si>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</si>
  <si>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</si>
  <si>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</si>
  <si>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</si>
  <si>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</si>
  <si>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</si>
  <si>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</si>
  <si>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</si>
  <si>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</si>
  <si>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</si>
  <si>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</si>
  <si>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</si>
  <si>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</si>
  <si>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</si>
  <si>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</si>
  <si>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</si>
  <si>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</si>
  <si>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</si>
  <si>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</si>
  <si>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</si>
  <si>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</si>
  <si>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</si>
  <si>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</si>
  <si>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</si>
  <si>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</si>
  <si>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</si>
  <si>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</si>
  <si>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</si>
  <si>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</si>
  <si>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</si>
  <si>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</si>
  <si>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</si>
  <si>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</si>
  <si>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</si>
  <si>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</si>
  <si>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</si>
  <si>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</si>
  <si>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</si>
  <si>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</si>
  <si>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</si>
  <si>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</si>
  <si>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</si>
  <si>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</si>
  <si>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</si>
  <si>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</si>
  <si>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</si>
  <si>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</si>
  <si>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</si>
  <si>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</si>
  <si>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</si>
  <si>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</si>
  <si>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</si>
  <si>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</si>
  <si>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</si>
  <si>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</si>
  <si>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</si>
  <si>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</si>
  <si>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</si>
  <si>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</si>
  <si>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</si>
  <si>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</si>
  <si>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</si>
  <si>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</si>
  <si>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</si>
  <si>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</si>
  <si>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</si>
  <si>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</si>
  <si>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</si>
  <si>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</si>
  <si>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</si>
  <si>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</si>
  <si>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</si>
  <si>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</si>
  <si>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</si>
  <si>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</si>
  <si>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</si>
  <si>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</si>
  <si>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</si>
  <si>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</si>
  <si>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</si>
  <si>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</si>
  <si>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</si>
  <si>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</si>
  <si>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</si>
  <si>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</si>
  <si>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</si>
  <si>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</si>
  <si>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</si>
  <si>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</si>
  <si>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</si>
  <si>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</si>
  <si>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</si>
  <si>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</si>
  <si>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</si>
  <si>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</si>
  <si>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</si>
  <si>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</si>
  <si>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</si>
  <si>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</si>
  <si>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</si>
  <si>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</si>
  <si>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</si>
  <si>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</si>
  <si>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</si>
  <si>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</si>
  <si>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</si>
  <si>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</si>
  <si>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</si>
  <si>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</si>
  <si>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</si>
  <si>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</si>
  <si>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</si>
  <si>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</si>
  <si>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</si>
  <si>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</si>
  <si>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</si>
  <si>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</si>
  <si>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</si>
  <si>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</si>
  <si>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</si>
  <si>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</si>
  <si>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</si>
  <si>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</si>
  <si>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</si>
  <si>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</si>
  <si>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</si>
  <si>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</si>
  <si>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</si>
  <si>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</si>
  <si>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</si>
  <si>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</si>
  <si>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</si>
  <si>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</si>
  <si>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</si>
  <si>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</si>
  <si>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</si>
  <si>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</si>
  <si>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</si>
  <si>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</si>
  <si>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</si>
  <si>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</si>
  <si>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</si>
  <si>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</si>
  <si>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</si>
  <si>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</si>
  <si>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</si>
  <si>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</si>
  <si>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</si>
  <si>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</si>
  <si>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</si>
  <si>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</si>
  <si>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</si>
  <si>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</si>
  <si>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</si>
  <si>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</si>
  <si>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</si>
  <si>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</si>
  <si>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</si>
  <si>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</si>
  <si>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</si>
  <si>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</si>
  <si>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</si>
  <si>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</si>
  <si>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</si>
  <si>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</si>
  <si>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</si>
  <si>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</si>
  <si>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</si>
  <si>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</si>
  <si>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</si>
  <si>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</si>
  <si>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</si>
  <si>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</si>
  <si>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</si>
  <si>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</si>
  <si>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</si>
  <si>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</si>
  <si>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</si>
  <si>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</si>
  <si>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</si>
  <si>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</si>
  <si>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</si>
  <si>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</si>
  <si>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</si>
  <si>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</si>
  <si>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</si>
  <si>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</si>
  <si>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</si>
  <si>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</si>
  <si>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</si>
  <si>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</si>
  <si>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</si>
  <si>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</si>
  <si>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</si>
  <si>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</si>
  <si>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</si>
  <si>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</si>
  <si>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</si>
  <si>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</si>
  <si>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</si>
  <si>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</si>
  <si>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</si>
  <si>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</si>
  <si>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</si>
  <si>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</si>
  <si>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</si>
  <si>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</si>
  <si>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</si>
  <si>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</si>
  <si>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</si>
  <si>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</si>
  <si>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</si>
  <si>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</si>
  <si>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</si>
  <si>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</si>
  <si>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</si>
  <si>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</si>
  <si>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</si>
  <si>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</si>
  <si>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</si>
  <si>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</si>
  <si>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</si>
  <si>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</si>
  <si>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</si>
  <si>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</si>
  <si>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</si>
  <si>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</si>
  <si>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</si>
  <si>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</si>
  <si>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</si>
  <si>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</si>
  <si>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</si>
  <si>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</si>
  <si>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</si>
  <si>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</si>
  <si>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</si>
  <si>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</si>
  <si>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</si>
  <si>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</si>
  <si>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</si>
  <si>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</si>
  <si>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</si>
  <si>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</si>
  <si>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</si>
  <si>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</si>
  <si>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</si>
  <si>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</si>
  <si>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</si>
  <si>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</si>
  <si>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</si>
  <si>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</si>
  <si>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</si>
  <si>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</si>
  <si>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</si>
  <si>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</si>
  <si>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</si>
  <si>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</si>
  <si>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</si>
  <si>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</si>
  <si>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</si>
  <si>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</si>
  <si>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</si>
  <si>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</si>
  <si>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</si>
  <si>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</si>
  <si>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</si>
  <si>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</si>
  <si>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</si>
  <si>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</si>
  <si>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</si>
  <si>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</si>
  <si>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</si>
  <si>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</si>
  <si>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</si>
  <si>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</si>
  <si>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</si>
  <si>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</si>
  <si>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</si>
  <si>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</si>
  <si>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</si>
  <si>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</si>
  <si>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</si>
  <si>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</si>
  <si>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</si>
  <si>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</si>
  <si>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</si>
  <si>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</si>
  <si>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</si>
  <si>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</si>
  <si>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</si>
  <si>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</si>
  <si>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</si>
  <si>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</si>
  <si>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</si>
  <si>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</si>
  <si>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</si>
  <si>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</si>
  <si>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</si>
  <si>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</si>
  <si>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</si>
  <si>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</si>
  <si>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</si>
  <si>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</si>
  <si>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</si>
  <si>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</si>
  <si>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</si>
  <si>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</si>
  <si>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</si>
  <si>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</si>
  <si>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</si>
  <si>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</si>
  <si>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</si>
  <si>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</si>
  <si>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</si>
  <si>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</si>
  <si>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</si>
  <si>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</si>
  <si>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</si>
  <si>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</si>
  <si>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</si>
  <si>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</si>
  <si>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</si>
  <si>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</si>
  <si>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</si>
  <si>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</si>
  <si>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</si>
  <si>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</si>
  <si>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</si>
  <si>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</si>
  <si>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</si>
  <si>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</si>
  <si>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</si>
  <si>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</si>
  <si>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</si>
  <si>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</si>
  <si>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</si>
  <si>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</si>
  <si>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</si>
  <si>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</si>
  <si>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</si>
  <si>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</si>
  <si>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</si>
  <si>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</si>
  <si>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</si>
  <si>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</si>
  <si>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</si>
  <si>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</si>
  <si>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</si>
  <si>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</si>
  <si>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</si>
  <si>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</si>
  <si>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</si>
  <si>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</si>
  <si>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</si>
  <si>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</si>
  <si>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</si>
  <si>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</si>
  <si>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</si>
  <si>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</si>
  <si>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</si>
  <si>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</si>
  <si>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</si>
  <si>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</si>
  <si>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</si>
  <si>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</si>
  <si>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</si>
  <si>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</si>
  <si>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</si>
  <si>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</si>
  <si>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</si>
  <si>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</si>
  <si>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</si>
  <si>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</si>
  <si>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</si>
  <si>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</si>
  <si>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</si>
  <si>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</si>
  <si>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</si>
  <si>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</si>
  <si>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</si>
  <si>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</si>
  <si>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</si>
  <si>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</si>
  <si>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</si>
  <si>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</si>
  <si>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</si>
  <si>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</si>
  <si>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</si>
  <si>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</si>
  <si>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</si>
  <si>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</si>
  <si>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</si>
  <si>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</si>
  <si>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</si>
  <si>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</si>
  <si>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</si>
  <si>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</si>
  <si>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</si>
  <si>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</si>
  <si>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</si>
  <si>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</si>
  <si>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</si>
  <si>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</si>
  <si>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</si>
  <si>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</si>
  <si>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</si>
  <si>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</si>
  <si>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</si>
  <si>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</si>
  <si>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</si>
  <si>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</si>
  <si>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</si>
  <si>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</si>
  <si>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</si>
  <si>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</si>
  <si>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</si>
  <si>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</si>
  <si>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</si>
  <si>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</si>
  <si>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</si>
  <si>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</si>
  <si>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</si>
  <si>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</si>
  <si>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</si>
  <si>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</si>
  <si>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</si>
  <si>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</si>
  <si>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</si>
  <si>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</si>
  <si>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</si>
  <si>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</si>
  <si>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</si>
  <si>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</si>
  <si>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</si>
  <si>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</si>
  <si>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</si>
  <si>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</si>
  <si>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</si>
  <si>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</si>
  <si>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</si>
  <si>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</si>
  <si>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</si>
  <si>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</si>
  <si>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</si>
  <si>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</si>
  <si>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</si>
  <si>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</si>
  <si>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</si>
  <si>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</si>
  <si>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</si>
  <si>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</si>
  <si>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</si>
  <si>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</si>
  <si>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</si>
  <si>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</si>
  <si>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</si>
  <si>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</si>
  <si>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</si>
  <si>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</si>
  <si>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</si>
  <si>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</si>
  <si>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</si>
  <si>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</si>
  <si>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</si>
  <si>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</si>
  <si>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</si>
  <si>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</si>
  <si>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</si>
  <si>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</si>
  <si>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</si>
  <si>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</si>
  <si>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</si>
  <si>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</si>
  <si>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</si>
  <si>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</si>
  <si>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</si>
  <si>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</si>
  <si>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</si>
  <si>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</si>
  <si>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</si>
  <si>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</si>
  <si>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</si>
  <si>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</si>
  <si>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</si>
  <si>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</si>
  <si>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</si>
  <si>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</si>
  <si>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</si>
  <si>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</si>
  <si>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</si>
  <si>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</si>
  <si>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</si>
  <si>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</si>
  <si>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</si>
  <si>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</si>
  <si>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</si>
  <si>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</si>
  <si>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</si>
  <si>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</si>
  <si>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</si>
  <si>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</si>
  <si>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</si>
  <si>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</si>
  <si>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</si>
  <si>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</si>
  <si>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</si>
  <si>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</si>
  <si>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</si>
  <si>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</si>
  <si>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</si>
  <si>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</si>
  <si>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</si>
  <si>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</si>
  <si>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</si>
  <si>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</si>
  <si>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</si>
  <si>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</si>
  <si>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</si>
  <si>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</si>
  <si>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</si>
  <si>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</si>
  <si>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</si>
  <si>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</si>
  <si>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</si>
  <si>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</si>
  <si>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</si>
  <si>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</si>
  <si>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</si>
  <si>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</si>
  <si>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</si>
  <si>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</si>
  <si>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</si>
  <si>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</si>
  <si>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</si>
  <si>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</si>
  <si>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</si>
  <si>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</si>
  <si>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</si>
  <si>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</si>
  <si>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</si>
  <si>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</si>
  <si>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</si>
  <si>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</si>
  <si>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</si>
  <si>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</si>
  <si>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</si>
  <si>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</si>
  <si>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</si>
  <si>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</si>
  <si>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</si>
  <si>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</si>
  <si>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</si>
  <si>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</si>
  <si>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</si>
  <si>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</si>
  <si>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</si>
  <si>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</si>
  <si>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</si>
  <si>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</si>
  <si>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</si>
  <si>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</si>
  <si>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</si>
  <si>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</si>
  <si>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</si>
  <si>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</si>
  <si>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</si>
  <si>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</si>
  <si>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</si>
  <si>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</si>
  <si>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</si>
  <si>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</si>
  <si>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</si>
  <si>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</si>
  <si>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</si>
  <si>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</si>
  <si>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</si>
  <si>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</si>
  <si>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</si>
  <si>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</si>
  <si>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</si>
  <si>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</si>
  <si>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</si>
  <si>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</si>
  <si>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</si>
  <si>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</si>
  <si>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</si>
  <si>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</si>
  <si>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</si>
  <si>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</si>
  <si>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</si>
  <si>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</si>
  <si>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</si>
  <si>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</si>
  <si>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</si>
  <si>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</si>
  <si>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</si>
  <si>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</si>
  <si>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</si>
  <si>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</si>
  <si>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</si>
  <si>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</si>
  <si>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</si>
  <si>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</si>
  <si>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</si>
  <si>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</si>
  <si>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</si>
  <si>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</si>
  <si>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</si>
  <si>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</si>
  <si>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</si>
  <si>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</si>
  <si>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</si>
  <si>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</si>
  <si>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</si>
  <si>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</si>
  <si>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</si>
  <si>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</si>
  <si>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</si>
  <si>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</si>
  <si>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</si>
  <si>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</si>
  <si>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</si>
  <si>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</si>
  <si>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</si>
  <si>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</si>
  <si>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</si>
  <si>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</si>
  <si>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</si>
  <si>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</si>
  <si>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</si>
  <si>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</si>
  <si>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</si>
  <si>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</si>
  <si>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</si>
  <si>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</si>
  <si>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</si>
  <si>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</si>
  <si>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</si>
  <si>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</si>
  <si>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</si>
  <si>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</si>
  <si>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</si>
  <si>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</si>
  <si>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</si>
  <si>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</si>
  <si>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</si>
  <si>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</si>
  <si>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</si>
  <si>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</si>
  <si>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</si>
  <si>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</si>
  <si>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</si>
  <si>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</si>
  <si>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</si>
  <si>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</si>
  <si>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</si>
  <si>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</si>
  <si>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</si>
  <si>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</si>
  <si>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</si>
  <si>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</si>
  <si>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</si>
  <si>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</si>
  <si>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</si>
  <si>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</si>
  <si>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</si>
  <si>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</si>
  <si>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</si>
  <si>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</si>
  <si>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</si>
  <si>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</si>
  <si>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</si>
  <si>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</si>
  <si>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</si>
  <si>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</si>
  <si>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</si>
  <si>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</si>
  <si>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</si>
  <si>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</si>
  <si>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</si>
  <si>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</si>
  <si>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</si>
  <si>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</si>
  <si>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</si>
  <si>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</si>
  <si>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</si>
  <si>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</si>
  <si>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</si>
  <si>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</si>
  <si>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</si>
  <si>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</si>
  <si>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</si>
  <si>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</si>
  <si>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</si>
  <si>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</si>
  <si>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</si>
  <si>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</si>
  <si>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</si>
  <si>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</si>
  <si>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</si>
  <si>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</si>
  <si>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</si>
  <si>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</si>
  <si>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</si>
  <si>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</si>
  <si>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</si>
  <si>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</si>
  <si>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</si>
  <si>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</si>
  <si>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</si>
  <si>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</si>
  <si>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</si>
  <si>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</si>
  <si>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</si>
  <si>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</si>
  <si>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</si>
  <si>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</si>
  <si>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</si>
  <si>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</si>
  <si>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</si>
  <si>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</si>
  <si>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</si>
  <si>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</si>
  <si>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</si>
  <si>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</si>
  <si>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</si>
  <si>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</si>
  <si>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</si>
  <si>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</si>
  <si>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</si>
  <si>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</si>
  <si>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</si>
  <si>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</si>
  <si>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</si>
  <si>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</si>
  <si>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</si>
  <si>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</si>
  <si>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</si>
  <si>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</si>
  <si>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</si>
  <si>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</si>
  <si>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</si>
  <si>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</si>
  <si>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</si>
  <si>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</si>
  <si>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</si>
  <si>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</si>
  <si>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</si>
  <si>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</si>
  <si>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</si>
  <si>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</si>
  <si>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</si>
  <si>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</si>
  <si>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</si>
  <si>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</si>
  <si>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</si>
  <si>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</si>
  <si>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</si>
  <si>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</si>
  <si>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</si>
  <si>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</si>
  <si>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</si>
  <si>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</si>
  <si>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</si>
  <si>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</si>
  <si>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</si>
  <si>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</si>
  <si>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</si>
  <si>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</si>
  <si>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</si>
  <si>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</si>
  <si>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</si>
  <si>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</si>
  <si>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</si>
  <si>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</si>
  <si>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</si>
  <si>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</si>
  <si>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</si>
  <si>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</si>
  <si>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</si>
  <si>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</si>
  <si>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</si>
  <si>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</si>
  <si>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</si>
  <si>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</si>
  <si>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</si>
  <si>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</si>
  <si>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</si>
  <si>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</si>
  <si>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</si>
  <si>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</si>
  <si>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</si>
  <si>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</si>
  <si>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</si>
  <si>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</si>
  <si>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</si>
  <si>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</si>
  <si>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</si>
  <si>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</si>
  <si>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</si>
  <si>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</si>
  <si>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</si>
  <si>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</si>
  <si>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</si>
  <si>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</si>
  <si>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</si>
  <si>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</si>
  <si>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</si>
  <si>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</si>
  <si>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</si>
  <si>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</si>
  <si>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</si>
  <si>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</si>
  <si>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</si>
  <si>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</si>
  <si>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</si>
  <si>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</si>
  <si>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</si>
  <si>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</si>
  <si>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</si>
  <si>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</si>
  <si>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</si>
  <si>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</si>
  <si>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</si>
  <si>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</si>
  <si>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</si>
  <si>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</si>
  <si>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</si>
  <si>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</si>
  <si>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</si>
  <si>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</si>
  <si>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</si>
  <si>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</si>
  <si>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</si>
  <si>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</si>
  <si>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</si>
  <si>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</si>
  <si>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</si>
  <si>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</si>
  <si>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</si>
  <si>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</si>
  <si>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</si>
  <si>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</si>
  <si>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</si>
  <si>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</si>
  <si>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</si>
  <si>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</si>
  <si>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</si>
  <si>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</si>
  <si>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</si>
  <si>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</si>
  <si>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</si>
  <si>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</si>
  <si>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</si>
  <si>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</si>
  <si>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</si>
  <si>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</si>
  <si>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</si>
  <si>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</si>
  <si>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</si>
  <si>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</si>
  <si>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</si>
  <si>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</si>
  <si>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</si>
  <si>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</si>
  <si>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</si>
  <si>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</si>
  <si>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</si>
  <si>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</si>
  <si>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</si>
  <si>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</si>
  <si>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</si>
  <si>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</si>
  <si>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</si>
  <si>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</si>
  <si>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</si>
  <si>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</si>
  <si>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</si>
  <si>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</si>
  <si>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</si>
  <si>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</si>
  <si>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</si>
  <si>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</si>
  <si>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</si>
  <si>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</si>
  <si>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</si>
  <si>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</si>
  <si>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</si>
  <si>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</si>
  <si>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</si>
  <si>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</si>
  <si>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</si>
  <si>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</si>
  <si>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</si>
  <si>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</si>
  <si>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</si>
  <si>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</si>
  <si>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</si>
  <si>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</si>
  <si>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</si>
  <si>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</si>
  <si>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</si>
  <si>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</si>
  <si>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</si>
  <si>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</si>
  <si>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</si>
  <si>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</si>
  <si>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</si>
  <si>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</si>
  <si>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</si>
  <si>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</si>
  <si>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</si>
  <si>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</si>
  <si>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</si>
  <si>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</si>
  <si>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</si>
  <si>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</si>
  <si>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</si>
  <si>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</si>
  <si>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</si>
  <si>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</si>
  <si>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</si>
  <si>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</si>
  <si>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</si>
  <si>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</si>
  <si>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</si>
  <si>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</si>
  <si>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</si>
  <si>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</si>
  <si>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</si>
  <si>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</si>
  <si>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</si>
  <si>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</si>
  <si>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</si>
  <si>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</si>
  <si>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</si>
  <si>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</si>
  <si>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</si>
  <si>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</si>
  <si>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</si>
  <si>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</si>
  <si>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</si>
  <si>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</si>
  <si>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</si>
  <si>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</si>
  <si>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</si>
  <si>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</si>
  <si>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</si>
  <si>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</si>
  <si>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</si>
  <si>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</si>
  <si>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</si>
  <si>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</si>
  <si>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</si>
  <si>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</si>
  <si>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</si>
  <si>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</si>
  <si>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</si>
  <si>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</si>
  <si>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</si>
  <si>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</si>
  <si>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</si>
  <si>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</si>
  <si>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</si>
  <si>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</si>
  <si>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</si>
  <si>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</si>
  <si>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</si>
  <si>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</si>
  <si>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</si>
  <si>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</si>
  <si>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</si>
  <si>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</si>
  <si>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</si>
  <si>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</si>
  <si>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</si>
  <si>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</si>
  <si>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</si>
  <si>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</si>
  <si>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</si>
  <si>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</si>
  <si>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</si>
  <si>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</si>
  <si>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</si>
  <si>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</si>
  <si>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</si>
  <si>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</si>
  <si>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</si>
  <si>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</si>
  <si>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</si>
  <si>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</si>
  <si>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</si>
  <si>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</si>
  <si>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</si>
  <si>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</si>
  <si>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</si>
  <si>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</si>
  <si>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</si>
  <si>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</si>
  <si>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</si>
  <si>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</si>
  <si>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</si>
  <si>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</si>
  <si>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</si>
  <si>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</si>
  <si>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</si>
  <si>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</si>
  <si>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</si>
  <si>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</si>
  <si>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</si>
  <si>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</si>
  <si>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</si>
  <si>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</si>
  <si>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</si>
  <si>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</si>
  <si>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</si>
  <si>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</si>
  <si>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</si>
  <si>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</si>
  <si>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</si>
  <si>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</si>
  <si>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</si>
  <si>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</si>
  <si>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</si>
  <si>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</si>
  <si>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</si>
  <si>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</si>
  <si>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</si>
  <si>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</si>
  <si>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</si>
  <si>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</si>
  <si>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</si>
  <si>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</si>
  <si>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</si>
  <si>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</si>
  <si>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</si>
  <si>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</si>
  <si>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</si>
  <si>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</si>
  <si>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</si>
  <si>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</si>
  <si>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</si>
  <si>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</si>
  <si>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</si>
  <si>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</si>
  <si>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</si>
  <si>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</si>
  <si>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</si>
  <si>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</si>
  <si>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</si>
  <si>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</si>
  <si>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</si>
  <si>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</si>
  <si>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</si>
  <si>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</si>
  <si>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</si>
  <si>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</si>
  <si>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</si>
  <si>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</si>
  <si>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</si>
  <si>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</si>
  <si>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</si>
  <si>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</si>
  <si>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</si>
  <si>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</si>
  <si>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</si>
  <si>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</si>
  <si>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</si>
  <si>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</si>
  <si>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</si>
  <si>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</si>
  <si>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</si>
  <si>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</si>
  <si>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</si>
  <si>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</si>
  <si>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</si>
  <si>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</si>
  <si>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</si>
  <si>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</si>
  <si>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</si>
  <si>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</si>
  <si>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</si>
  <si>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</si>
  <si>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</si>
  <si>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</si>
  <si>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</si>
  <si>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</si>
  <si>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</si>
  <si>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</si>
  <si>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</si>
  <si>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</si>
  <si>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</si>
  <si>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</si>
  <si>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</si>
  <si>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</si>
  <si>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</si>
  <si>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</si>
  <si>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</si>
  <si>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</si>
  <si>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</si>
  <si>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</si>
  <si>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</si>
  <si>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</si>
  <si>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</si>
  <si>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</si>
  <si>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</si>
  <si>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</si>
  <si>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</si>
  <si>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</si>
  <si>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</si>
  <si>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</si>
  <si>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</si>
  <si>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</si>
  <si>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</si>
  <si>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</si>
  <si>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</si>
  <si>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</si>
  <si>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</si>
  <si>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</si>
  <si>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</si>
  <si>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</si>
  <si>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</si>
  <si>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</si>
  <si>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</si>
  <si>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</si>
  <si>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</si>
  <si>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</si>
  <si>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</si>
  <si>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</si>
  <si>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</si>
  <si>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</si>
  <si>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</si>
  <si>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</si>
  <si>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</si>
  <si>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</si>
  <si>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</si>
  <si>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</si>
  <si>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</si>
  <si>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</si>
  <si>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</si>
  <si>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</si>
  <si>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</si>
  <si>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</si>
  <si>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</si>
  <si>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</si>
  <si>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</si>
  <si>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</si>
  <si>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</si>
  <si>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</si>
  <si>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</si>
  <si>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</si>
  <si>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</si>
  <si>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</si>
  <si>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</si>
  <si>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</si>
  <si>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</si>
  <si>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</si>
  <si>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</si>
  <si>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</si>
  <si>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</si>
  <si>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</si>
  <si>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</si>
  <si>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</si>
  <si>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</si>
  <si>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</si>
  <si>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</si>
  <si>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</si>
  <si>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</si>
  <si>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</si>
  <si>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</si>
  <si>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</si>
  <si>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</si>
  <si>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</si>
  <si>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</si>
  <si>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</si>
  <si>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</si>
  <si>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</si>
  <si>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</si>
  <si>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</si>
  <si>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</si>
  <si>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</si>
  <si>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</si>
  <si>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</si>
  <si>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</si>
  <si>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</si>
  <si>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</si>
  <si>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</si>
  <si>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</si>
  <si>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</si>
  <si>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</si>
  <si>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</si>
  <si>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</si>
  <si>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</si>
  <si>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</si>
  <si>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</si>
  <si>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</si>
  <si>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</si>
  <si>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</si>
  <si>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</si>
  <si>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</si>
  <si>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</si>
  <si>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</si>
  <si>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</si>
  <si>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</si>
  <si>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</si>
  <si>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</si>
  <si>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</si>
  <si>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</si>
  <si>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</si>
  <si>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</si>
  <si>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</si>
  <si>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</si>
  <si>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</si>
  <si>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</si>
  <si>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</si>
  <si>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</si>
  <si>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</si>
  <si>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</si>
  <si>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</si>
  <si>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</si>
  <si>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</si>
  <si>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</si>
  <si>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</si>
  <si>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</si>
  <si>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</si>
  <si>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</si>
  <si>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</si>
  <si>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</si>
  <si>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</si>
  <si>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</si>
  <si>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</si>
  <si>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</si>
  <si>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</si>
  <si>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</si>
  <si>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</si>
  <si>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</si>
  <si>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</si>
  <si>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</si>
  <si>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</si>
  <si>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</si>
  <si>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</si>
  <si>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</si>
  <si>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</si>
  <si>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</si>
  <si>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</si>
  <si>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</si>
  <si>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</si>
  <si>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</si>
  <si>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</si>
  <si>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</si>
  <si>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</si>
  <si>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</si>
  <si>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</si>
  <si>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</si>
  <si>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</si>
  <si>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</si>
  <si>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</si>
  <si>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</si>
  <si>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</si>
  <si>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</si>
  <si>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</si>
  <si>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</si>
  <si>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</si>
  <si>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</si>
  <si>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</si>
  <si>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</si>
  <si>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</si>
  <si>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</si>
  <si>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</si>
  <si>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</si>
  <si>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</si>
  <si>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</si>
  <si>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</si>
  <si>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</si>
  <si>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</si>
  <si>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</si>
  <si>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</si>
  <si>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</si>
  <si>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</si>
  <si>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</si>
  <si>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</si>
  <si>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</si>
  <si>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</si>
  <si>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</si>
  <si>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</si>
  <si>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</si>
  <si>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</si>
  <si>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</si>
  <si>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</si>
  <si>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</si>
  <si>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</si>
  <si>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</si>
  <si>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</si>
  <si>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</si>
  <si>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</si>
  <si>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</si>
  <si>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</si>
  <si>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</si>
  <si>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</si>
  <si>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</si>
  <si>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</si>
  <si>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</si>
  <si>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</si>
  <si>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</si>
  <si>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</si>
  <si>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</si>
  <si>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</si>
  <si>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</si>
  <si>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</si>
  <si>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</si>
  <si>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</si>
  <si>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</si>
  <si>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</si>
  <si>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</si>
  <si>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</si>
  <si>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</si>
  <si>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</si>
  <si>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</si>
  <si>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</si>
  <si>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</si>
  <si>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</si>
  <si>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</si>
  <si>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</si>
  <si>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</si>
  <si>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</si>
  <si>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</si>
  <si>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</si>
  <si>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</si>
  <si>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</si>
  <si>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</si>
  <si>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</si>
  <si>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</si>
  <si>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</si>
  <si>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</si>
  <si>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</si>
  <si>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</si>
  <si>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</si>
  <si>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</si>
  <si>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</si>
  <si>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</si>
  <si>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</si>
  <si>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</si>
  <si>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</si>
  <si>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</si>
  <si>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</si>
  <si>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</si>
  <si>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</si>
  <si>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</si>
  <si>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</si>
  <si>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</si>
  <si>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</si>
  <si>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</si>
  <si>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</si>
  <si>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</si>
  <si>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</si>
  <si>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</si>
  <si>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</si>
  <si>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</si>
  <si>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</si>
  <si>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</si>
  <si>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</si>
  <si>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</si>
  <si>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</si>
  <si>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</si>
  <si>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</si>
  <si>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</si>
  <si>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</si>
  <si>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</si>
  <si>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</si>
  <si>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</si>
  <si>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</si>
  <si>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</si>
  <si>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</si>
  <si>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</si>
  <si>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</si>
  <si>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</si>
  <si>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</si>
  <si>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</si>
  <si>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</si>
  <si>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</si>
  <si>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</si>
  <si>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</si>
  <si>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</si>
  <si>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</si>
  <si>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</si>
  <si>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</si>
  <si>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</si>
  <si>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</si>
  <si>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</si>
  <si>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</si>
  <si>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</si>
  <si>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</si>
  <si>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</si>
  <si>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</si>
  <si>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</si>
  <si>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</si>
  <si>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</si>
  <si>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</si>
  <si>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</si>
  <si>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</si>
  <si>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</si>
  <si>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</si>
  <si>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</si>
  <si>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</si>
  <si>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</si>
  <si>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</si>
  <si>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</si>
  <si>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</si>
  <si>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</si>
  <si>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</si>
  <si>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</si>
  <si>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</si>
  <si>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</si>
  <si>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</si>
  <si>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</si>
  <si>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</si>
  <si>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</si>
  <si>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</si>
  <si>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</si>
  <si>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</si>
  <si>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</si>
  <si>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</si>
  <si>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</si>
  <si>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</si>
  <si>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</si>
  <si>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</si>
  <si>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</si>
  <si>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</si>
  <si>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</si>
  <si>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</si>
  <si>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</si>
  <si>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</si>
  <si>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</si>
  <si>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</si>
  <si>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</si>
  <si>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</si>
  <si>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</si>
  <si>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</si>
  <si>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</si>
  <si>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</si>
  <si>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</si>
  <si>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</si>
  <si>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</si>
  <si>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</si>
  <si>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</si>
  <si>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</si>
  <si>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</si>
  <si>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</si>
  <si>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</si>
  <si>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</si>
  <si>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</si>
  <si>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</si>
  <si>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</si>
  <si>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</si>
  <si>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</si>
  <si>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</si>
  <si>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</si>
  <si>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</si>
  <si>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</si>
  <si>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</si>
  <si>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</si>
  <si>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</si>
  <si>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</si>
  <si>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</si>
  <si>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</si>
  <si>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</si>
  <si>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</si>
  <si>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</si>
  <si>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</si>
  <si>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</si>
  <si>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</si>
  <si>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</si>
  <si>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</si>
  <si>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</si>
  <si>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</si>
  <si>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</si>
  <si>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</si>
  <si>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</si>
  <si>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</si>
  <si>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</si>
  <si>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</si>
  <si>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</si>
  <si>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</si>
  <si>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</si>
  <si>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</si>
  <si>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</si>
  <si>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</si>
  <si>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</si>
  <si>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</si>
  <si>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</si>
  <si>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</si>
  <si>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</si>
  <si>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</si>
  <si>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</si>
  <si>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</si>
  <si>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</si>
  <si>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</si>
  <si>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</si>
  <si>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</si>
  <si>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</si>
  <si>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</si>
  <si>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</si>
  <si>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</si>
  <si>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</si>
  <si>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</si>
  <si>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</si>
  <si>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</si>
  <si>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</si>
  <si>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</si>
  <si>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</si>
  <si>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</si>
  <si>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</si>
  <si>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</si>
  <si>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</si>
  <si>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</si>
  <si>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</si>
  <si>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</si>
  <si>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</si>
  <si>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</si>
  <si>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</si>
  <si>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</si>
  <si>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</si>
  <si>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</si>
  <si>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</si>
  <si>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</si>
  <si>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</si>
  <si>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</si>
  <si>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</si>
  <si>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</si>
  <si>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</si>
  <si>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</si>
  <si>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</si>
  <si>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</si>
  <si>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</si>
  <si>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</si>
  <si>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</si>
  <si>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</si>
  <si>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</si>
  <si>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</si>
  <si>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</si>
  <si>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</si>
  <si>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</si>
  <si>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</si>
  <si>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</si>
  <si>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</si>
  <si>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</si>
  <si>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</si>
  <si>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</si>
  <si>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</si>
  <si>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</si>
  <si>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</si>
  <si>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</si>
  <si>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</si>
  <si>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</si>
  <si>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</si>
  <si>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</si>
  <si>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</si>
  <si>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</si>
  <si>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</si>
  <si>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</si>
  <si>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</si>
  <si>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</si>
  <si>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</si>
  <si>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</si>
  <si>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</si>
  <si>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</si>
  <si>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</si>
  <si>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</si>
  <si>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</si>
  <si>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</si>
  <si>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</si>
  <si>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</si>
  <si>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</si>
  <si>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</si>
  <si>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</si>
  <si>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</si>
  <si>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</si>
  <si>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</si>
  <si>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</si>
  <si>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</si>
  <si>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</si>
  <si>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</si>
  <si>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</si>
  <si>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</si>
  <si>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</si>
  <si>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</si>
  <si>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</si>
  <si>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</si>
  <si>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</si>
  <si>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</si>
  <si>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</si>
  <si>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</si>
  <si>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</si>
  <si>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</si>
  <si>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</si>
  <si>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</si>
  <si>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</si>
  <si>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</si>
  <si>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</si>
  <si>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</si>
  <si>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</si>
  <si>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</si>
  <si>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</si>
  <si>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</si>
  <si>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</si>
  <si>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</si>
  <si>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</si>
  <si>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</si>
  <si>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</si>
  <si>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</si>
  <si>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</si>
  <si>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</si>
  <si>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</si>
  <si>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</si>
  <si>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</si>
  <si>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</si>
  <si>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</si>
  <si>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</si>
  <si>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</si>
  <si>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</si>
  <si>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</si>
  <si>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</si>
  <si>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</si>
  <si>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</si>
  <si>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</si>
  <si>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</si>
  <si>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</si>
  <si>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</si>
  <si>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</si>
  <si>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</si>
  <si>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</si>
  <si>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</si>
  <si>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</si>
  <si>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</si>
  <si>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</si>
  <si>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</si>
  <si>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</si>
  <si>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</si>
  <si>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</si>
  <si>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</si>
  <si>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</si>
  <si>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</si>
  <si>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</si>
  <si>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</si>
  <si>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</si>
  <si>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</si>
  <si>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</si>
  <si>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</si>
  <si>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</si>
  <si>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</si>
  <si>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</si>
  <si>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</si>
  <si>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</si>
  <si>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</si>
  <si>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</si>
  <si>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</si>
  <si>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</si>
  <si>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</si>
  <si>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</si>
  <si>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</si>
  <si>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</si>
  <si>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</si>
  <si>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</si>
  <si>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</si>
  <si>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</si>
  <si>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</si>
  <si>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</si>
  <si>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</si>
  <si>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</si>
  <si>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</si>
  <si>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</si>
  <si>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</si>
  <si>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</si>
  <si>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</si>
  <si>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</si>
  <si>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</si>
  <si>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</si>
  <si>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</si>
  <si>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</si>
  <si>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</si>
  <si>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</si>
  <si>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</si>
  <si>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</si>
  <si>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</si>
  <si>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</si>
  <si>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</si>
  <si>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</si>
  <si>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</si>
  <si>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</si>
  <si>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</si>
  <si>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</si>
  <si>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</si>
  <si>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</si>
  <si>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</si>
  <si>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</si>
  <si>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</si>
  <si>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</si>
  <si>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</si>
  <si>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</si>
  <si>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</si>
  <si>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</si>
  <si>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</si>
  <si>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</si>
  <si>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</si>
  <si>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</si>
  <si>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</si>
  <si>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</si>
  <si>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</si>
  <si>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</si>
  <si>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</si>
  <si>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</si>
  <si>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</si>
  <si>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</si>
  <si>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</si>
  <si>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</si>
  <si>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</si>
  <si>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</si>
  <si>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</si>
  <si>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</si>
  <si>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</si>
  <si>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</si>
  <si>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</si>
  <si>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</si>
  <si>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</si>
  <si>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</si>
  <si>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</si>
  <si>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</si>
  <si>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</si>
  <si>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</si>
  <si>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</si>
  <si>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</si>
  <si>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</si>
  <si>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</si>
  <si>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</si>
  <si>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</si>
  <si>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</si>
  <si>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</si>
  <si>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</si>
  <si>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</si>
  <si>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</si>
  <si>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</si>
  <si>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</si>
  <si>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</si>
  <si>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</si>
  <si>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</si>
  <si>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</si>
  <si>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</si>
  <si>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</si>
  <si>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</si>
  <si>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</si>
  <si>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</si>
  <si>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</si>
  <si>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</si>
  <si>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</si>
  <si>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</si>
  <si>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</si>
  <si>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</si>
  <si>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</si>
  <si>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</si>
  <si>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</si>
  <si>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</si>
  <si>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</si>
  <si>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</si>
  <si>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</si>
  <si>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</si>
  <si>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</si>
  <si>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</si>
  <si>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</si>
  <si>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</si>
  <si>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</si>
  <si>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</si>
  <si>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</si>
  <si>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</si>
  <si>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</si>
  <si>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</si>
  <si>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</si>
  <si>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</si>
  <si>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</si>
  <si>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</si>
  <si>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</si>
  <si>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</si>
  <si>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</si>
  <si>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</si>
  <si>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</si>
  <si>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</si>
  <si>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</si>
  <si>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</si>
  <si>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</si>
  <si>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</si>
  <si>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</si>
  <si>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</si>
  <si>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</si>
  <si>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</si>
  <si>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</si>
  <si>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</si>
  <si>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</si>
  <si>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</si>
  <si>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</si>
  <si>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</si>
  <si>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</si>
  <si>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</si>
  <si>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</si>
  <si>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</si>
  <si>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</si>
  <si>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</si>
  <si>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</si>
  <si>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</si>
  <si>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</si>
  <si>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</si>
  <si>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</si>
  <si>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</si>
  <si>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</si>
  <si>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</si>
  <si>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</si>
  <si>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</si>
  <si>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</si>
  <si>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</si>
  <si>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</si>
  <si>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</si>
  <si>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</si>
  <si>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</si>
  <si>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</si>
  <si>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</si>
  <si>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</si>
  <si>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</si>
  <si>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</si>
  <si>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</si>
  <si>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</si>
  <si>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</si>
  <si>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</si>
  <si>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</si>
  <si>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</si>
  <si>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</si>
  <si>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</si>
  <si>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</si>
  <si>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</si>
  <si>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</si>
  <si>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</si>
  <si>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</si>
  <si>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</si>
  <si>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</si>
  <si>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</si>
  <si>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</si>
  <si>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</si>
  <si>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</si>
  <si>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</si>
  <si>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</si>
  <si>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</si>
  <si>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</si>
  <si>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</si>
  <si>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</si>
  <si>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</si>
  <si>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</si>
  <si>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</si>
  <si>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</si>
  <si>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</si>
  <si>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</si>
  <si>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</si>
  <si>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</si>
  <si>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</si>
  <si>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</si>
  <si>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</si>
  <si>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</si>
  <si>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</si>
  <si>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</si>
  <si>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</si>
  <si>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</si>
  <si>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</si>
  <si>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</si>
  <si>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</si>
  <si>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</si>
  <si>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</si>
  <si>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</si>
  <si>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</si>
  <si>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</si>
  <si>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</si>
  <si>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</si>
  <si>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</si>
  <si>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</si>
  <si>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</si>
  <si>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</si>
  <si>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</si>
  <si>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</si>
  <si>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</si>
  <si>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</si>
  <si>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</si>
  <si>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</si>
  <si>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</si>
  <si>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</si>
  <si>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</si>
  <si>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</si>
  <si>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</si>
  <si>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</si>
  <si>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</si>
  <si>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</si>
  <si>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</si>
  <si>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</si>
  <si>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</si>
  <si>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</si>
  <si>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</si>
  <si>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</si>
  <si>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</si>
  <si>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</si>
  <si>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</si>
  <si>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</si>
  <si>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</si>
  <si>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</si>
  <si>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</si>
  <si>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</si>
  <si>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</si>
  <si>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</si>
  <si>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</si>
  <si>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</si>
  <si>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</si>
  <si>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</si>
  <si>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</si>
  <si>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</si>
  <si>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</si>
  <si>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</si>
  <si>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</si>
  <si>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</si>
  <si>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</si>
  <si>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</si>
  <si>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</si>
  <si>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</si>
  <si>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</si>
  <si>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</si>
  <si>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</si>
  <si>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</si>
  <si>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</si>
  <si>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</si>
  <si>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</si>
  <si>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</si>
  <si>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</si>
  <si>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</si>
  <si>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</si>
  <si>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</si>
  <si>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</si>
  <si>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</si>
  <si>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</si>
  <si>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</si>
  <si>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</si>
  <si>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</si>
  <si>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</si>
  <si>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</si>
  <si>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</si>
  <si>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</si>
  <si>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</si>
  <si>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</si>
  <si>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</si>
  <si>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</si>
  <si>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</si>
  <si>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</si>
  <si>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</si>
  <si>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</si>
  <si>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</si>
  <si>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</si>
  <si>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</si>
  <si>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</si>
  <si>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</si>
  <si>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</si>
  <si>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</si>
  <si>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</si>
  <si>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</si>
  <si>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</si>
  <si>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</si>
  <si>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</si>
  <si>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</si>
  <si>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</si>
  <si>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</si>
  <si>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</si>
  <si>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</si>
  <si>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</si>
  <si>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</si>
  <si>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</si>
  <si>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</si>
  <si>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</si>
  <si>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</si>
  <si>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</si>
  <si>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</si>
  <si>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</si>
  <si>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</si>
  <si>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</si>
  <si>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</si>
  <si>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</si>
  <si>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</si>
  <si>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</si>
  <si>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</si>
  <si>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</si>
  <si>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</si>
  <si>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</si>
  <si>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</si>
  <si>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</si>
  <si>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</si>
  <si>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</si>
  <si>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</si>
  <si>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</si>
  <si>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</si>
  <si>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</si>
  <si>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</si>
  <si>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</si>
  <si>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</si>
  <si>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</si>
  <si>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</si>
  <si>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</si>
  <si>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</si>
  <si>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</si>
  <si>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</si>
  <si>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</si>
  <si>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</si>
  <si>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</si>
  <si>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</si>
  <si>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</si>
  <si>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</si>
  <si>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</si>
  <si>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</si>
  <si>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</si>
  <si>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</si>
  <si>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</si>
  <si>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</si>
  <si>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</si>
  <si>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</si>
  <si>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</si>
  <si>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</si>
  <si>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</si>
  <si>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</si>
  <si>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</si>
  <si>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</si>
  <si>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</si>
  <si>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</si>
  <si>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</si>
  <si>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</si>
  <si>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</si>
  <si>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</si>
  <si>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</si>
  <si>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</si>
  <si>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</si>
  <si>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</si>
  <si>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</si>
  <si>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</si>
  <si>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</si>
  <si>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</si>
  <si>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</si>
  <si>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</si>
  <si>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</si>
  <si>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</si>
  <si>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</si>
  <si>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</si>
  <si>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</si>
  <si>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</si>
  <si>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</si>
  <si>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</si>
  <si>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</si>
  <si>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</si>
  <si>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</si>
  <si>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</si>
  <si>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</si>
  <si>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</si>
  <si>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</si>
  <si>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</si>
  <si>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</si>
  <si>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</si>
  <si>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</si>
  <si>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</si>
  <si>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</si>
  <si>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</si>
  <si>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</si>
  <si>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</si>
  <si>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</si>
  <si>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</si>
  <si>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</si>
  <si>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</si>
  <si>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</si>
  <si>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</si>
  <si>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</si>
  <si>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</si>
  <si>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</si>
  <si>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</si>
  <si>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</si>
  <si>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</si>
  <si>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</si>
  <si>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</si>
  <si>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</si>
  <si>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</si>
  <si>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</si>
  <si>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</si>
  <si>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</si>
  <si>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</si>
  <si>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</si>
  <si>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</si>
  <si>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</si>
  <si>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</si>
  <si>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</si>
  <si>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</si>
  <si>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</si>
  <si>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</si>
  <si>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</si>
  <si>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</si>
  <si>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</si>
  <si>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</si>
  <si>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</si>
  <si>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</si>
  <si>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</si>
  <si>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</si>
  <si>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</si>
  <si>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</si>
  <si>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</si>
  <si>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</si>
  <si>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</si>
  <si>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</si>
  <si>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</si>
  <si>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</si>
  <si>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</si>
  <si>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</si>
  <si>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</si>
  <si>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</si>
  <si>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</si>
  <si>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</si>
  <si>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</si>
  <si>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</si>
  <si>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</si>
  <si>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</si>
  <si>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</si>
  <si>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</si>
  <si>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</si>
  <si>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</si>
  <si>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</si>
  <si>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</si>
  <si>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</si>
  <si>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</si>
  <si>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</si>
  <si>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</si>
  <si>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</si>
  <si>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</si>
  <si>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</si>
  <si>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</si>
  <si>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</si>
  <si>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</si>
  <si>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</si>
  <si>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</si>
  <si>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</si>
  <si>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</si>
  <si>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</si>
  <si>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</si>
  <si>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</si>
  <si>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</si>
  <si>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</si>
  <si>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</si>
  <si>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</si>
  <si>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</si>
  <si>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</si>
  <si>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</si>
  <si>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</si>
  <si>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</si>
  <si>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</si>
  <si>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</si>
  <si>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</si>
  <si>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</si>
  <si>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</si>
  <si>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</si>
  <si>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</si>
  <si>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</si>
  <si>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</si>
  <si>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</si>
  <si>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</si>
  <si>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</si>
  <si>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</si>
  <si>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</si>
  <si>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</si>
  <si>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</si>
  <si>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</si>
  <si>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</si>
  <si>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</si>
  <si>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</si>
  <si>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</si>
  <si>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</si>
  <si>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</si>
  <si>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</si>
  <si>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</si>
  <si>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</si>
  <si>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</si>
  <si>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</si>
  <si>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</si>
  <si>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</si>
  <si>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</si>
  <si>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</si>
  <si>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</si>
  <si>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</si>
  <si>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</si>
  <si>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</si>
  <si>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</si>
  <si>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</si>
  <si>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</si>
  <si>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</si>
  <si>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</si>
  <si>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</si>
  <si>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</si>
  <si>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</si>
  <si>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</si>
  <si>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</si>
  <si>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</si>
  <si>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</si>
  <si>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</si>
  <si>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</si>
  <si>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</si>
  <si>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</si>
  <si>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</si>
  <si>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</si>
  <si>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</si>
  <si>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</si>
  <si>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</si>
  <si>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</si>
  <si>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</si>
  <si>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</si>
  <si>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</si>
  <si>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</si>
  <si>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</si>
  <si>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</si>
  <si>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</si>
  <si>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</si>
  <si>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</si>
  <si>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</si>
  <si>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</si>
  <si>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</si>
  <si>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</si>
  <si>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</si>
  <si>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</si>
  <si>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</si>
  <si>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</si>
  <si>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</si>
  <si>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</si>
  <si>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</si>
  <si>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</si>
  <si>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</si>
  <si>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</si>
  <si>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</si>
  <si>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</si>
  <si>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</si>
  <si>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</si>
  <si>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</si>
  <si>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</si>
  <si>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</si>
  <si>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</si>
  <si>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</si>
  <si>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</si>
  <si>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</si>
  <si>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</si>
  <si>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</si>
  <si>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</si>
  <si>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</si>
  <si>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</si>
  <si>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</si>
  <si>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</si>
  <si>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</si>
  <si>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</si>
  <si>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</si>
  <si>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</si>
  <si>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</si>
  <si>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</si>
  <si>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</si>
  <si>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</si>
  <si>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</si>
  <si>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</si>
  <si>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</si>
  <si>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</si>
  <si>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</si>
  <si>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</si>
  <si>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</si>
  <si>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</si>
  <si>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</si>
  <si>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</si>
  <si>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</si>
  <si>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</si>
  <si>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</si>
  <si>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</si>
  <si>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</si>
  <si>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</si>
  <si>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</si>
  <si>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</si>
  <si>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</si>
  <si>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</si>
  <si>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</si>
  <si>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</si>
  <si>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</si>
  <si>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</si>
  <si>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</si>
  <si>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</si>
  <si>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</si>
  <si>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</si>
  <si>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</si>
  <si>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</si>
  <si>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</si>
  <si>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</si>
  <si>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</si>
  <si>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</si>
  <si>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</si>
  <si>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</si>
  <si>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</si>
  <si>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</si>
  <si>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</si>
  <si>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</si>
  <si>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</si>
  <si>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</si>
  <si>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</si>
  <si>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</si>
  <si>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</si>
  <si>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</si>
  <si>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</si>
  <si>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</si>
  <si>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</si>
  <si>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</si>
  <si>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</si>
  <si>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</si>
  <si>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</si>
  <si>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</si>
  <si>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</si>
  <si>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</si>
  <si>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</si>
  <si>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</si>
  <si>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</si>
  <si>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</si>
  <si>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</si>
  <si>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</si>
  <si>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</si>
  <si>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</si>
  <si>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</si>
  <si>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</si>
  <si>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</si>
  <si>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</si>
  <si>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</si>
  <si>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</si>
  <si>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</si>
  <si>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</si>
  <si>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</si>
  <si>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</si>
  <si>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</si>
  <si>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</si>
  <si>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</si>
  <si>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</si>
  <si>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</si>
  <si>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</si>
  <si>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</si>
  <si>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</si>
  <si>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</si>
  <si>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</si>
  <si>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</si>
  <si>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</si>
  <si>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</si>
  <si>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</si>
  <si>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</si>
  <si>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</si>
  <si>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</si>
  <si>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</si>
  <si>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</si>
  <si>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</si>
  <si>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</si>
  <si>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</si>
  <si>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</si>
  <si>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</si>
  <si>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</si>
  <si>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</si>
  <si>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</si>
  <si>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</si>
  <si>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</si>
  <si>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</si>
  <si>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</si>
  <si>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</si>
  <si>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</si>
  <si>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</si>
  <si>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</si>
  <si>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</si>
  <si>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</si>
  <si>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</si>
  <si>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</si>
  <si>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</si>
  <si>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</si>
  <si>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</si>
  <si>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</si>
  <si>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</si>
  <si>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</si>
  <si>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</si>
  <si>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</si>
  <si>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</si>
  <si>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</si>
  <si>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</si>
  <si>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</si>
  <si>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</si>
  <si>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</si>
  <si>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</si>
  <si>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</si>
  <si>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</si>
  <si>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</si>
  <si>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</si>
  <si>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</si>
  <si>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</si>
  <si>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</si>
  <si>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</si>
  <si>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</si>
  <si>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</si>
  <si>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</si>
  <si>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</si>
  <si>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</si>
  <si>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</si>
  <si>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</si>
  <si>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</si>
  <si>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</si>
  <si>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</si>
  <si>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</si>
  <si>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</si>
  <si>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</si>
  <si>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</si>
  <si>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</si>
  <si>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</si>
  <si>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</si>
  <si>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</si>
  <si>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</si>
  <si>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</si>
  <si>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</si>
  <si>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</si>
  <si>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</si>
  <si>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</si>
  <si>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</si>
  <si>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</si>
  <si>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</si>
  <si>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</si>
  <si>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</si>
  <si>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</si>
  <si>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</si>
  <si>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</si>
  <si>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</si>
  <si>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</si>
  <si>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</si>
  <si>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</si>
  <si>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</si>
  <si>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</si>
  <si>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</si>
  <si>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</si>
  <si>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</si>
  <si>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</si>
  <si>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</si>
  <si>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</si>
  <si>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</si>
  <si>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</si>
  <si>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</si>
  <si>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</si>
  <si>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</si>
  <si>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</si>
  <si>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</si>
  <si>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</si>
  <si>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</si>
  <si>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</si>
  <si>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</si>
  <si>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</si>
  <si>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</si>
  <si>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</si>
  <si>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</si>
  <si>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</si>
  <si>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</si>
  <si>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</si>
  <si>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</si>
  <si>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</si>
  <si>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</si>
  <si>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</si>
  <si>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</si>
  <si>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</si>
  <si>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</si>
  <si>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</si>
  <si>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</si>
  <si>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</si>
  <si>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</si>
  <si>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</si>
  <si>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</si>
  <si>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</si>
  <si>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</si>
  <si>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</si>
  <si>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</si>
  <si>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</si>
  <si>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</si>
  <si>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</si>
  <si>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</si>
  <si>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</si>
  <si>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</si>
  <si>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</si>
  <si>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</si>
  <si>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</si>
  <si>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</si>
  <si>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</si>
  <si>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</si>
  <si>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</si>
  <si>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</si>
  <si>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</si>
  <si>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</si>
  <si>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</si>
  <si>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</si>
  <si>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</si>
  <si>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</si>
  <si>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</si>
  <si>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</si>
  <si>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</si>
  <si>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</si>
  <si>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</si>
  <si>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</si>
  <si>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</si>
  <si>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</si>
  <si>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</si>
  <si>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</si>
  <si>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</si>
  <si>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</si>
  <si>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</si>
  <si>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</si>
  <si>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</si>
  <si>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</si>
  <si>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</si>
  <si>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</si>
  <si>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</si>
  <si>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</si>
  <si>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</si>
  <si>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</si>
  <si>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</si>
  <si>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</si>
  <si>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</si>
  <si>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</si>
  <si>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</si>
  <si>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</si>
  <si>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</si>
  <si>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</si>
  <si>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</si>
  <si>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</si>
  <si>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</si>
  <si>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</si>
  <si>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</si>
  <si>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</si>
  <si>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</si>
  <si>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</si>
  <si>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</si>
  <si>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</si>
  <si>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</si>
  <si>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</si>
  <si>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</si>
  <si>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</si>
  <si>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</si>
  <si>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</si>
  <si>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</si>
  <si>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</si>
  <si>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</si>
  <si>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</si>
  <si>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</si>
  <si>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</si>
  <si>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</si>
  <si>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</si>
  <si>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</si>
  <si>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</si>
  <si>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</si>
  <si>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</si>
  <si>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</si>
  <si>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</si>
  <si>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</si>
  <si>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</si>
  <si>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</si>
  <si>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</si>
  <si>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</si>
  <si>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</si>
  <si>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</si>
  <si>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</si>
  <si>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</si>
  <si>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</si>
  <si>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</si>
  <si>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</si>
  <si>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</si>
  <si>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</si>
  <si>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</si>
  <si>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</si>
  <si>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</si>
  <si>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</si>
  <si>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</si>
  <si>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</si>
  <si>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</si>
  <si>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</si>
  <si>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</si>
  <si>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</si>
  <si>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</si>
  <si>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</si>
  <si>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</si>
  <si>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</si>
  <si>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</si>
  <si>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</si>
  <si>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</si>
  <si>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</si>
  <si>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</si>
  <si>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</si>
  <si>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</si>
  <si>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</si>
  <si>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</si>
  <si>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</si>
  <si>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</si>
  <si>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</si>
  <si>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</si>
  <si>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</si>
  <si>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</si>
  <si>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</si>
  <si>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</si>
  <si>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</si>
  <si>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</si>
  <si>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</si>
  <si>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</si>
  <si>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</si>
  <si>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</si>
  <si>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</si>
  <si>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</si>
  <si>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</si>
  <si>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</si>
  <si>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</si>
  <si>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</si>
  <si>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</si>
  <si>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</si>
  <si>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</si>
  <si>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</si>
  <si>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</si>
  <si>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</si>
  <si>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</si>
  <si>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</si>
  <si>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</si>
  <si>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</si>
  <si>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</si>
  <si>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</si>
  <si>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</si>
  <si>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</si>
  <si>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</si>
  <si>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</si>
  <si>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</si>
  <si>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</si>
  <si>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</si>
  <si>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</si>
  <si>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</si>
  <si>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</si>
  <si>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</si>
  <si>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</si>
  <si>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</si>
  <si>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</si>
  <si>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</si>
  <si>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</si>
  <si>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</si>
  <si>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</si>
  <si>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</si>
  <si>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</si>
  <si>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</si>
  <si>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</si>
  <si>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</si>
  <si>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</si>
  <si>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</si>
  <si>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</si>
  <si>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</si>
  <si>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</si>
  <si>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</si>
  <si>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</si>
  <si>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</si>
  <si>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</si>
  <si>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</si>
  <si>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</si>
  <si>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</si>
  <si>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</si>
  <si>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</si>
  <si>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</si>
  <si>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</si>
  <si>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</si>
  <si>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</si>
  <si>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</si>
  <si>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</si>
  <si>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</si>
  <si>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</si>
  <si>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</si>
  <si>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</si>
  <si>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</si>
  <si>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</si>
  <si>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</si>
  <si>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</si>
  <si>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</si>
  <si>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</si>
  <si>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</si>
  <si>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</si>
  <si>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</si>
  <si>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</si>
  <si>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</si>
  <si>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</si>
  <si>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</si>
  <si>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</si>
  <si>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</si>
  <si>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</si>
  <si>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</si>
  <si>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</si>
  <si>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</si>
  <si>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</si>
  <si>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</si>
  <si>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</si>
  <si>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</si>
  <si>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</si>
  <si>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</si>
  <si>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</si>
  <si>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</si>
  <si>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</si>
  <si>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</si>
  <si>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</si>
  <si>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</si>
  <si>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</si>
  <si>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</si>
  <si>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</si>
  <si>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</si>
  <si>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</si>
  <si>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</si>
  <si>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</si>
  <si>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</si>
  <si>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</si>
  <si>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</si>
  <si>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</si>
  <si>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</si>
  <si>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</si>
  <si>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</si>
  <si>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</si>
  <si>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</si>
  <si>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</si>
  <si>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</si>
  <si>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</si>
  <si>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</si>
  <si>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</si>
  <si>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</si>
  <si>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</si>
  <si>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</si>
  <si>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</si>
  <si>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</si>
  <si>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</si>
  <si>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</si>
  <si>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</si>
  <si>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</si>
  <si>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</si>
  <si>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</si>
  <si>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</si>
  <si>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</si>
  <si>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</si>
  <si>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</si>
  <si>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</si>
  <si>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</si>
  <si>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</si>
  <si>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</si>
  <si>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</si>
  <si>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</si>
  <si>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</si>
  <si>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</si>
  <si>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</si>
  <si>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</si>
  <si>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</si>
  <si>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</si>
  <si>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</si>
  <si>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</si>
  <si>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</si>
  <si>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</si>
  <si>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</si>
  <si>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</si>
  <si>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</si>
  <si>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</si>
  <si>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</si>
  <si>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</si>
  <si>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</si>
  <si>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</si>
  <si>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</si>
  <si>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</si>
  <si>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</si>
  <si>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</si>
  <si>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</si>
  <si>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</si>
  <si>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</si>
  <si>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</si>
  <si>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</si>
  <si>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</si>
  <si>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</si>
  <si>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</si>
  <si>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</si>
  <si>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</si>
  <si>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</si>
  <si>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</si>
  <si>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</si>
  <si>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</si>
  <si>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</si>
  <si>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</si>
  <si>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</si>
  <si>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</si>
  <si>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</si>
  <si>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</si>
  <si>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</si>
  <si>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</si>
  <si>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</si>
  <si>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</si>
  <si>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</si>
  <si>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</si>
  <si>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</si>
  <si>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</si>
  <si>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</si>
  <si>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</si>
  <si>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</si>
  <si>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</si>
  <si>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</si>
  <si>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</si>
  <si>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</si>
  <si>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</si>
  <si>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</si>
  <si>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</si>
  <si>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</si>
  <si>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</si>
  <si>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</si>
  <si>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</si>
  <si>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</si>
  <si>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</si>
  <si>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</si>
  <si>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</si>
  <si>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</si>
  <si>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</si>
  <si>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</si>
  <si>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</si>
  <si>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</si>
  <si>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</si>
  <si>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</si>
  <si>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</si>
  <si>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</si>
  <si>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</si>
  <si>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</si>
  <si>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</si>
  <si>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</si>
  <si>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</si>
  <si>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</si>
  <si>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</si>
  <si>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</si>
  <si>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</si>
  <si>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</si>
  <si>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</si>
  <si>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</si>
  <si>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</si>
  <si>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</si>
  <si>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</si>
  <si>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</si>
  <si>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</si>
  <si>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</si>
  <si>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</si>
  <si>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</si>
  <si>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</si>
  <si>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</si>
  <si>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</si>
  <si>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</si>
  <si>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</si>
  <si>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</si>
  <si>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</si>
  <si>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</si>
  <si>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</si>
  <si>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</si>
  <si>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</si>
  <si>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</si>
  <si>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</si>
  <si>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</si>
  <si>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</si>
  <si>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</si>
  <si>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</si>
  <si>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</si>
  <si>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</si>
  <si>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</si>
  <si>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</si>
  <si>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</si>
  <si>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</si>
  <si>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</si>
  <si>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</si>
  <si>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</si>
  <si>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</si>
  <si>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</si>
  <si>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</si>
  <si>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</si>
  <si>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</si>
  <si>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</si>
  <si>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</si>
  <si>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</si>
  <si>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</si>
  <si>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</si>
  <si>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</si>
  <si>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</si>
  <si>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</si>
  <si>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</si>
  <si>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</si>
  <si>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</si>
  <si>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</si>
  <si>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</si>
  <si>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</si>
  <si>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</si>
  <si>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</si>
  <si>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</si>
  <si>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</si>
  <si>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</si>
  <si>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</si>
  <si>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</si>
  <si>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</si>
  <si>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</si>
  <si>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</si>
  <si>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</si>
  <si>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</si>
  <si>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</si>
  <si>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</si>
  <si>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</si>
  <si>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</si>
  <si>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</si>
  <si>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</si>
  <si>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</si>
  <si>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</si>
  <si>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</si>
  <si>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</si>
  <si>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</si>
  <si>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</si>
  <si>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</si>
  <si>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</si>
  <si>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</si>
  <si>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</si>
  <si>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</si>
  <si>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</si>
  <si>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</si>
  <si>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</si>
  <si>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</si>
  <si>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</si>
  <si>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</si>
  <si>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</si>
  <si>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</si>
  <si>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</si>
  <si>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</si>
  <si>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</si>
  <si>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</si>
  <si>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</si>
  <si>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</si>
  <si>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</si>
  <si>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</si>
  <si>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</si>
  <si>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</si>
  <si>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</si>
  <si>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</si>
  <si>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</si>
  <si>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</si>
  <si>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</si>
  <si>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</si>
  <si>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</si>
  <si>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</si>
  <si>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</si>
  <si>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</si>
  <si>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</si>
  <si>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</si>
  <si>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</si>
  <si>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</si>
  <si>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</si>
  <si>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</si>
  <si>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</si>
  <si>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</si>
  <si>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</si>
  <si>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</si>
  <si>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</si>
  <si>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</si>
  <si>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</si>
  <si>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</si>
  <si>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</si>
  <si>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</si>
  <si>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</si>
  <si>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</si>
  <si>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</si>
  <si>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</si>
  <si>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</si>
  <si>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</si>
  <si>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</si>
  <si>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</si>
  <si>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</si>
  <si>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</si>
  <si>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</si>
  <si>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</si>
  <si>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</si>
  <si>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</si>
  <si>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</si>
  <si>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</si>
  <si>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</si>
  <si>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</si>
  <si>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</si>
  <si>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</si>
  <si>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</si>
  <si>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</si>
  <si>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</si>
  <si>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</si>
  <si>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</si>
  <si>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</si>
  <si>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</si>
  <si>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</si>
  <si>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</si>
  <si>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</si>
  <si>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</si>
  <si>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</si>
  <si>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</si>
  <si>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</si>
  <si>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</si>
  <si>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</si>
  <si>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</si>
  <si>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</si>
  <si>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</si>
  <si>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</si>
  <si>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</si>
  <si>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</si>
  <si>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</si>
  <si>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</si>
  <si>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</si>
  <si>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</si>
  <si>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</si>
  <si>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</si>
  <si>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</si>
  <si>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</si>
  <si>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</si>
  <si>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</si>
  <si>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</si>
  <si>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</si>
  <si>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</si>
  <si>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</si>
  <si>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</si>
  <si>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</si>
  <si>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</si>
  <si>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</si>
  <si>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</si>
  <si>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</si>
  <si>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</si>
  <si>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</si>
  <si>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</si>
  <si>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</si>
  <si>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</si>
  <si>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</si>
  <si>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</si>
  <si>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</si>
  <si>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</si>
  <si>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</si>
  <si>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</si>
  <si>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</si>
  <si>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</si>
  <si>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</si>
  <si>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</si>
  <si>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</si>
  <si>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</si>
  <si>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</si>
  <si>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</si>
  <si>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</si>
  <si>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</si>
  <si>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</si>
  <si>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</si>
  <si>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</si>
  <si>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</si>
  <si>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</si>
  <si>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</si>
  <si>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</si>
  <si>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</si>
  <si>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</si>
  <si>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</si>
  <si>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</si>
  <si>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</si>
  <si>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</si>
  <si>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</si>
  <si>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</si>
  <si>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</si>
  <si>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</si>
  <si>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</si>
  <si>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</si>
  <si>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</si>
  <si>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</si>
  <si>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</si>
  <si>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</si>
  <si>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</si>
  <si>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</si>
  <si>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</si>
  <si>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</si>
  <si>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</si>
  <si>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</si>
  <si>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</si>
  <si>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</si>
  <si>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</si>
  <si>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</si>
  <si>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</si>
  <si>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</si>
  <si>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</si>
  <si>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</si>
  <si>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</si>
  <si>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</si>
  <si>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</si>
  <si>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</si>
  <si>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</si>
  <si>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</si>
  <si>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</si>
  <si>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</si>
  <si>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</si>
  <si>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</si>
  <si>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</si>
  <si>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</si>
  <si>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</si>
  <si>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</si>
  <si>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</si>
  <si>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</si>
  <si>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</si>
  <si>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</si>
  <si>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</si>
  <si>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</si>
  <si>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</si>
  <si>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</si>
  <si>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</si>
  <si>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</si>
  <si>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</si>
  <si>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</si>
  <si>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</si>
  <si>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</si>
  <si>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</si>
  <si>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</si>
  <si>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</si>
  <si>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</si>
  <si>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</si>
  <si>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</si>
  <si>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</si>
  <si>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</si>
  <si>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</si>
  <si>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</si>
  <si>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</si>
  <si>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</si>
  <si>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</si>
  <si>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</si>
  <si>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</si>
  <si>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</si>
  <si>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</si>
  <si>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</si>
  <si>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</si>
  <si>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</si>
  <si>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</si>
  <si>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</si>
  <si>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</si>
  <si>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</si>
  <si>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</si>
  <si>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</si>
  <si>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</si>
  <si>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</si>
  <si>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</si>
  <si>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</si>
  <si>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</si>
  <si>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</si>
  <si>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</si>
  <si>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</si>
  <si>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</si>
  <si>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</si>
  <si>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</si>
  <si>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</si>
  <si>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</si>
  <si>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</si>
  <si>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</si>
  <si>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</si>
  <si>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</si>
  <si>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</si>
  <si>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</si>
  <si>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</si>
  <si>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</si>
  <si>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</si>
  <si>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</si>
  <si>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</si>
  <si>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</si>
  <si>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</si>
  <si>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</si>
  <si>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</si>
  <si>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</si>
  <si>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</si>
  <si>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</si>
  <si>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</si>
  <si>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</si>
  <si>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</si>
  <si>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</si>
  <si>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</si>
  <si>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</si>
  <si>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</si>
  <si>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</si>
  <si>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</si>
  <si>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</si>
  <si>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</si>
  <si>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</si>
  <si>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</si>
  <si>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</si>
  <si>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</si>
  <si>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</si>
  <si>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</si>
  <si>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</si>
  <si>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</si>
  <si>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</si>
  <si>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</si>
  <si>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</si>
  <si>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</si>
  <si>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</si>
  <si>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</si>
  <si>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</si>
  <si>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</si>
  <si>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</si>
  <si>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</si>
  <si>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</si>
  <si>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</si>
  <si>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</si>
  <si>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</si>
  <si>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</si>
  <si>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</si>
  <si>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</si>
  <si>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</si>
  <si>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</si>
  <si>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</si>
  <si>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</si>
  <si>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</si>
  <si>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</si>
  <si>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</si>
  <si>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</si>
  <si>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</si>
  <si>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</si>
  <si>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</si>
  <si>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</si>
  <si>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</si>
  <si>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</si>
  <si>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</si>
  <si>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</si>
  <si>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</si>
  <si>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</si>
  <si>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</si>
  <si>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</si>
  <si>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</si>
  <si>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</si>
  <si>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</si>
  <si>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</si>
  <si>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</si>
  <si>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</si>
  <si>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</si>
  <si>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</si>
  <si>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</si>
  <si>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</si>
  <si>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</si>
  <si>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</si>
  <si>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</si>
  <si>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</si>
  <si>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</si>
  <si>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</si>
  <si>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</si>
  <si>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</si>
  <si>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</si>
  <si>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</si>
  <si>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</si>
  <si>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</si>
  <si>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</si>
  <si>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</si>
  <si>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</si>
  <si>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</si>
  <si>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</si>
  <si>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</si>
  <si>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</si>
  <si>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</si>
  <si>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</si>
  <si>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</si>
  <si>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</si>
  <si>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</si>
  <si>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</si>
  <si>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</si>
  <si>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</si>
  <si>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</si>
  <si>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</si>
  <si>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</si>
  <si>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</si>
  <si>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</si>
  <si>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</si>
  <si>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</si>
  <si>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</si>
  <si>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</si>
  <si>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</si>
  <si>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</si>
  <si>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</si>
  <si>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</si>
  <si>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</si>
  <si>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</si>
  <si>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</si>
  <si>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</si>
  <si>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</si>
  <si>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</si>
  <si>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</si>
  <si>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</si>
  <si>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</si>
  <si>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</si>
  <si>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</si>
  <si>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</si>
  <si>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</si>
  <si>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</si>
  <si>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</si>
  <si>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</si>
  <si>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</si>
  <si>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</si>
  <si>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</si>
  <si>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</si>
  <si>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</si>
  <si>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</si>
  <si>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</si>
  <si>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</si>
  <si>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</si>
  <si>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</si>
  <si>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</si>
  <si>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</si>
  <si>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</si>
  <si>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</si>
  <si>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</si>
  <si>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</si>
  <si>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</si>
  <si>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</si>
  <si>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</si>
  <si>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</si>
  <si>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</si>
  <si>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</si>
  <si>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</si>
  <si>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</si>
  <si>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</si>
  <si>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</si>
  <si>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</si>
  <si>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</si>
  <si>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</si>
  <si>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</si>
  <si>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</si>
  <si>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</si>
  <si>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</si>
  <si>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</si>
  <si>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</si>
  <si>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</si>
  <si>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</si>
  <si>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</si>
  <si>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</si>
  <si>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</si>
  <si>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</si>
  <si>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</si>
  <si>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</si>
  <si>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</si>
  <si>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</si>
  <si>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</si>
  <si>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</si>
  <si>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</si>
  <si>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</si>
  <si>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</si>
  <si>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</si>
  <si>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</si>
  <si>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</si>
  <si>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</si>
  <si>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</si>
  <si>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</si>
  <si>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</si>
  <si>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</si>
  <si>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</si>
  <si>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</si>
  <si>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</si>
  <si>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</si>
  <si>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</si>
  <si>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</si>
  <si>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</si>
  <si>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</si>
  <si>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</si>
  <si>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</si>
  <si>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</si>
  <si>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</si>
  <si>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</si>
  <si>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</si>
  <si>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</si>
  <si>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</si>
  <si>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</si>
  <si>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</si>
  <si>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</si>
  <si>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</si>
  <si>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</si>
  <si>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</si>
  <si>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</si>
  <si>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</si>
  <si>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</si>
  <si>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</si>
  <si>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</si>
  <si>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</si>
  <si>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</si>
  <si>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</si>
  <si>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</si>
  <si>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</si>
  <si>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</si>
  <si>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</si>
  <si>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</si>
  <si>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</si>
  <si>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</si>
  <si>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</si>
  <si>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</si>
  <si>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</si>
  <si>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</si>
  <si>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</si>
  <si>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</si>
  <si>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</si>
  <si>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</si>
  <si>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</si>
  <si>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</si>
  <si>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</si>
  <si>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</si>
  <si>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</si>
  <si>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</si>
  <si>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</si>
  <si>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</si>
  <si>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</si>
  <si>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</si>
  <si>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</si>
  <si>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</si>
  <si>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</si>
  <si>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</si>
  <si>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</si>
  <si>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</si>
  <si>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</si>
  <si>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</si>
  <si>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</si>
  <si>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</si>
  <si>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</si>
  <si>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</si>
  <si>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</si>
  <si>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</si>
  <si>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</si>
  <si>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</si>
  <si>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</si>
  <si>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</si>
  <si>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</si>
  <si>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</si>
  <si>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</si>
  <si>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</si>
  <si>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</si>
  <si>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</si>
  <si>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</si>
  <si>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</si>
  <si>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</si>
  <si>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</si>
  <si>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</si>
  <si>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</si>
  <si>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</si>
  <si>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</si>
  <si>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</si>
  <si>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</si>
  <si>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</si>
  <si>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</si>
  <si>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</si>
  <si>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</si>
  <si>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</si>
  <si>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</si>
  <si>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</si>
  <si>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</si>
  <si>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</si>
  <si>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</si>
  <si>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</si>
  <si>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</si>
  <si>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</si>
  <si>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</si>
  <si>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</si>
  <si>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</si>
  <si>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</si>
  <si>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</si>
  <si>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</si>
  <si>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</si>
  <si>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</si>
  <si>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</si>
  <si>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</si>
  <si>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</si>
  <si>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</si>
  <si>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</si>
  <si>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</si>
  <si>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</si>
  <si>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</si>
  <si>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</si>
  <si>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</si>
  <si>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</si>
  <si>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</si>
  <si>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</si>
  <si>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</si>
  <si>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</si>
  <si>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</si>
  <si>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</si>
  <si>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</si>
  <si>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</si>
  <si>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</si>
  <si>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</si>
  <si>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</si>
  <si>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</si>
  <si>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</si>
  <si>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</si>
  <si>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</si>
  <si>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</si>
  <si>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</si>
  <si>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</si>
  <si>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</si>
  <si>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</si>
  <si>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</si>
  <si>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</si>
  <si>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</si>
  <si>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</si>
  <si>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</si>
  <si>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</si>
  <si>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</si>
  <si>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</si>
  <si>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</si>
  <si>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</si>
  <si>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</si>
  <si>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</si>
  <si>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</si>
  <si>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</si>
  <si>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</si>
  <si>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</si>
  <si>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</si>
  <si>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</si>
  <si>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</si>
  <si>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</si>
  <si>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</si>
  <si>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</si>
  <si>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</si>
  <si>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</si>
  <si>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</si>
  <si>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</si>
  <si>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</si>
  <si>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</si>
  <si>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</si>
  <si>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</si>
  <si>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</si>
  <si>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</si>
  <si>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</si>
  <si>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</si>
  <si>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</si>
  <si>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</si>
  <si>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</si>
  <si>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</si>
  <si>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</si>
  <si>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</si>
  <si>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</si>
  <si>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</si>
  <si>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</si>
  <si>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</si>
  <si>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</si>
  <si>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</si>
  <si>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</si>
  <si>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</si>
  <si>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</si>
  <si>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</si>
  <si>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</si>
  <si>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</si>
  <si>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</si>
  <si>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</si>
  <si>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</si>
  <si>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</si>
  <si>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</si>
  <si>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</si>
  <si>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</si>
  <si>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</si>
  <si>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</si>
  <si>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</si>
  <si>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</si>
  <si>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</si>
  <si>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</si>
  <si>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</si>
  <si>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</si>
  <si>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</si>
  <si>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</si>
  <si>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</si>
  <si>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</si>
  <si>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</si>
  <si>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</si>
  <si>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</si>
  <si>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</si>
  <si>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</si>
  <si>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</si>
  <si>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</si>
  <si>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</si>
  <si>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</si>
  <si>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</si>
  <si>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</si>
  <si>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</si>
  <si>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</si>
  <si>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</si>
  <si>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</si>
  <si>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</si>
  <si>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</si>
  <si>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</si>
  <si>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</si>
  <si>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</si>
  <si>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</si>
  <si>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</si>
  <si>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</si>
  <si>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</si>
  <si>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</si>
  <si>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</si>
  <si>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</si>
  <si>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</si>
  <si>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</si>
  <si>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</si>
  <si>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</si>
  <si>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</si>
  <si>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</si>
  <si>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</si>
  <si>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</si>
  <si>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</si>
  <si>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</si>
  <si>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</si>
  <si>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</si>
  <si>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</si>
  <si>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</si>
  <si>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</si>
  <si>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</si>
  <si>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</si>
  <si>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</si>
  <si>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</si>
  <si>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</si>
  <si>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</si>
  <si>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</si>
  <si>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</si>
  <si>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</si>
  <si>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</si>
  <si>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</si>
  <si>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</si>
  <si>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</si>
  <si>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</si>
  <si>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</si>
  <si>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</si>
  <si>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</si>
  <si>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</si>
  <si>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</si>
  <si>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</si>
  <si>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</si>
  <si>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</si>
  <si>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</si>
  <si>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</si>
  <si>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</si>
  <si>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</si>
  <si>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</si>
  <si>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</si>
  <si>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</si>
  <si>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</si>
  <si>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</si>
  <si>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</si>
  <si>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</si>
  <si>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</si>
  <si>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</si>
  <si>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</si>
  <si>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</si>
  <si>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</si>
  <si>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</si>
  <si>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</si>
  <si>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</si>
  <si>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</si>
  <si>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</si>
  <si>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</si>
  <si>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</si>
  <si>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</si>
  <si>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</si>
  <si>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</si>
  <si>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</si>
  <si>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</si>
  <si>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</si>
  <si>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</si>
  <si>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</si>
  <si>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</si>
  <si>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</si>
  <si>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</si>
  <si>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</si>
  <si>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</si>
  <si>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</si>
  <si>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</si>
  <si>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</si>
  <si>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</si>
  <si>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</si>
  <si>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</si>
  <si>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</si>
  <si>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</si>
  <si>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</si>
  <si>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</si>
  <si>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</si>
  <si>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</si>
  <si>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</si>
  <si>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</si>
  <si>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</si>
  <si>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</si>
  <si>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</si>
  <si>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</si>
  <si>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</si>
  <si>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</si>
  <si>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</si>
  <si>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</si>
  <si>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</si>
  <si>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</si>
  <si>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</si>
  <si>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</si>
  <si>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</si>
  <si>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</si>
  <si>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</si>
  <si>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</si>
  <si>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</si>
  <si>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</si>
  <si>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</si>
  <si>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</si>
  <si>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</si>
  <si>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</si>
  <si>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</si>
  <si>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</si>
  <si>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</si>
  <si>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</si>
  <si>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</si>
  <si>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</si>
  <si>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</si>
  <si>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</si>
  <si>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</si>
  <si>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</si>
  <si>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</si>
  <si>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</si>
  <si>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</si>
  <si>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</si>
  <si>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</si>
  <si>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</si>
  <si>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</si>
  <si>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</si>
  <si>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</si>
  <si>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</si>
  <si>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</si>
  <si>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</si>
  <si>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</si>
  <si>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</si>
  <si>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</si>
  <si>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</si>
  <si>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</si>
  <si>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</si>
  <si>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</si>
  <si>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</si>
  <si>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</si>
  <si>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</si>
  <si>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</si>
  <si>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</si>
  <si>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</si>
  <si>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</si>
  <si>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</si>
  <si>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</si>
  <si>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</si>
  <si>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</si>
  <si>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</si>
  <si>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</si>
  <si>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</si>
  <si>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</si>
  <si>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</si>
  <si>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</si>
  <si>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</si>
  <si>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</si>
  <si>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</si>
  <si>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</si>
  <si>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</si>
  <si>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</si>
  <si>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</si>
  <si>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</si>
  <si>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</si>
  <si>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</si>
  <si>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</si>
  <si>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</si>
  <si>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</si>
  <si>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</si>
  <si>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</si>
  <si>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</si>
  <si>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</si>
  <si>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</si>
  <si>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</si>
  <si>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</si>
  <si>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</si>
  <si>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</si>
  <si>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</si>
  <si>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</si>
  <si>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</si>
  <si>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</si>
  <si>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</si>
  <si>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</si>
  <si>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</si>
  <si>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</si>
  <si>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</si>
  <si>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</si>
  <si>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</si>
  <si>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</si>
  <si>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</si>
  <si>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</si>
  <si>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</si>
  <si>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</si>
  <si>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</si>
  <si>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</si>
  <si>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</si>
  <si>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</si>
  <si>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</si>
  <si>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</si>
  <si>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</si>
  <si>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</si>
  <si>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</si>
  <si>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</si>
  <si>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</si>
  <si>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</si>
  <si>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</si>
  <si>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</si>
  <si>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</si>
  <si>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</si>
  <si>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</si>
  <si>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</si>
  <si>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</si>
  <si>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</si>
  <si>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</si>
  <si>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</si>
  <si>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</si>
  <si>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</si>
  <si>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</si>
  <si>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</si>
  <si>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</si>
  <si>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</si>
  <si>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</si>
  <si>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</si>
  <si>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</si>
  <si>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</si>
  <si>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</si>
  <si>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</si>
  <si>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</si>
  <si>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</si>
  <si>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</si>
  <si>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</si>
  <si>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</si>
  <si>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</si>
  <si>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</si>
  <si>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</si>
  <si>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</si>
  <si>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</si>
  <si>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</si>
  <si>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</si>
  <si>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</si>
  <si>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</si>
  <si>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</si>
  <si>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</si>
  <si>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</si>
  <si>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</si>
  <si>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</si>
  <si>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</si>
  <si>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</si>
  <si>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</si>
  <si>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</si>
  <si>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</si>
  <si>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</si>
  <si>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</si>
  <si>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</si>
  <si>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</si>
  <si>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</si>
  <si>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</si>
  <si>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</si>
  <si>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</si>
  <si>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</si>
  <si>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</si>
  <si>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</si>
  <si>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</si>
  <si>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</si>
  <si>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</si>
  <si>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</si>
  <si>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</si>
  <si>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</si>
  <si>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</si>
  <si>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</si>
  <si>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</si>
  <si>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</si>
  <si>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</si>
  <si>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</si>
  <si>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</si>
  <si>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</si>
  <si>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</si>
  <si>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</si>
  <si>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</si>
  <si>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</si>
  <si>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</si>
  <si>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</si>
  <si>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</si>
  <si>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</si>
  <si>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</si>
  <si>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</si>
  <si>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</si>
  <si>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</si>
  <si>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</si>
  <si>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</si>
  <si>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</si>
  <si>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</si>
  <si>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</si>
  <si>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</si>
  <si>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</si>
  <si>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</si>
  <si>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</si>
  <si>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</si>
  <si>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</si>
  <si>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</si>
  <si>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</si>
  <si>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</si>
  <si>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</si>
  <si>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</si>
  <si>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</si>
  <si>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</si>
  <si>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</si>
  <si>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</si>
  <si>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</si>
  <si>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</si>
  <si>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</si>
  <si>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</si>
  <si>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</si>
  <si>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</si>
  <si>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</si>
  <si>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</si>
  <si>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</si>
  <si>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</si>
  <si>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</si>
  <si>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</si>
  <si>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</si>
  <si>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</si>
  <si>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</si>
  <si>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</si>
  <si>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</si>
  <si>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</si>
  <si>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</si>
  <si>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</si>
  <si>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</si>
  <si>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</si>
  <si>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</si>
  <si>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</si>
  <si>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</si>
  <si>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</si>
  <si>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</si>
  <si>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</si>
  <si>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</si>
  <si>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</si>
  <si>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</si>
  <si>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</si>
  <si>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</si>
  <si>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</si>
  <si>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</si>
  <si>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</si>
  <si>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</si>
  <si>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</si>
  <si>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</si>
  <si>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</si>
  <si>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</si>
  <si>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</si>
  <si>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</si>
  <si>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</si>
  <si>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</si>
  <si>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</si>
  <si>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</si>
  <si>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</si>
  <si>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</si>
  <si>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</si>
  <si>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</si>
  <si>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</si>
  <si>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</si>
  <si>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</si>
  <si>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</si>
  <si>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</si>
  <si>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</si>
  <si>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</si>
  <si>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</si>
  <si>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</si>
  <si>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</si>
  <si>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</si>
  <si>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</si>
  <si>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</si>
  <si>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</si>
  <si>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</si>
  <si>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</si>
  <si>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</si>
  <si>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</si>
  <si>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</si>
  <si>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</si>
  <si>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</si>
  <si>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</si>
  <si>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</si>
  <si>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</si>
  <si>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</si>
  <si>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</si>
  <si>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</si>
  <si>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</si>
  <si>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</si>
  <si>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</si>
  <si>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</si>
  <si>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</si>
  <si>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</si>
  <si>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</si>
  <si>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</si>
  <si>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</si>
  <si>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</si>
  <si>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</si>
  <si>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</si>
  <si>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</si>
  <si>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</si>
  <si>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</si>
  <si>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</si>
  <si>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</si>
  <si>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</si>
  <si>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</si>
  <si>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</si>
  <si>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</si>
  <si>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</si>
  <si>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</si>
  <si>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</si>
  <si>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</si>
  <si>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</si>
  <si>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</si>
  <si>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</si>
  <si>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</si>
  <si>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</si>
  <si>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</si>
  <si>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</si>
  <si>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</si>
  <si>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</si>
  <si>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</si>
  <si>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</si>
  <si>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</si>
  <si>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</si>
  <si>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</si>
  <si>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</si>
  <si>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</si>
  <si>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</si>
  <si>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</si>
  <si>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</si>
  <si>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</si>
  <si>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</si>
  <si>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</si>
  <si>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</si>
  <si>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</si>
  <si>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</si>
  <si>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</si>
  <si>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</si>
  <si>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</si>
  <si>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</si>
  <si>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</si>
  <si>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</si>
  <si>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</si>
  <si>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</si>
  <si>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</si>
  <si>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</si>
  <si>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</si>
  <si>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</si>
  <si>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</si>
  <si>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</si>
  <si>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</si>
  <si>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</si>
  <si>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</si>
  <si>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</si>
  <si>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</si>
  <si>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</si>
  <si>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</si>
  <si>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</si>
  <si>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</si>
  <si>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</si>
  <si>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</si>
  <si>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</si>
  <si>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</si>
  <si>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</si>
  <si>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</si>
  <si>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</si>
  <si>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</si>
  <si>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</si>
  <si>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</si>
  <si>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</si>
  <si>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</si>
  <si>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</si>
  <si>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</si>
  <si>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</si>
  <si>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</si>
  <si>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</si>
  <si>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</si>
  <si>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</si>
  <si>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</si>
  <si>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</si>
  <si>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</si>
  <si>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</si>
  <si>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</si>
  <si>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</si>
  <si>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</si>
  <si>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</si>
  <si>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</si>
  <si>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</si>
  <si>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</si>
  <si>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</si>
  <si>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</si>
  <si>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</si>
  <si>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</si>
  <si>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</si>
  <si>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</si>
  <si>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</si>
  <si>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</si>
  <si>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</si>
  <si>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</si>
  <si>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</si>
  <si>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</si>
  <si>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</si>
  <si>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</si>
  <si>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</si>
  <si>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</si>
  <si>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</si>
  <si>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</si>
  <si>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</si>
  <si>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</si>
  <si>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</si>
  <si>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</si>
  <si>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</si>
  <si>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</si>
  <si>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</si>
  <si>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</si>
  <si>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</si>
  <si>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</si>
  <si>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</si>
  <si>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</si>
  <si>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</si>
  <si>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</si>
  <si>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</si>
  <si>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</si>
  <si>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</si>
  <si>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</si>
  <si>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</si>
  <si>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</si>
  <si>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</si>
  <si>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</si>
  <si>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</si>
  <si>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</si>
  <si>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</si>
  <si>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</si>
  <si>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</si>
  <si>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</si>
  <si>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</si>
  <si>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</si>
  <si>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</si>
  <si>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</si>
  <si>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</si>
  <si>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</si>
  <si>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</si>
  <si>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</si>
  <si>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</si>
  <si>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</si>
  <si>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</si>
  <si>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</si>
  <si>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</si>
  <si>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</si>
  <si>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</si>
  <si>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</si>
  <si>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</si>
  <si>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</si>
  <si>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</si>
  <si>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</si>
  <si>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</si>
  <si>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</si>
  <si>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</si>
  <si>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</si>
  <si>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</si>
  <si>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</si>
  <si>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</si>
  <si>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</si>
  <si>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</si>
  <si>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</si>
  <si>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</si>
  <si>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</si>
  <si>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</si>
  <si>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</si>
  <si>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</si>
  <si>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</si>
  <si>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</si>
  <si>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</si>
  <si>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</si>
  <si>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</si>
  <si>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</si>
  <si>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</si>
  <si>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</si>
  <si>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</si>
  <si>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</si>
  <si>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</si>
  <si>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</si>
  <si>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</si>
  <si>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</si>
  <si>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</si>
  <si>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</si>
  <si>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</si>
  <si>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</si>
  <si>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</si>
  <si>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</si>
  <si>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</si>
  <si>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</si>
  <si>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</si>
  <si>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</si>
  <si>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</si>
  <si>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</si>
  <si>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</si>
  <si>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</si>
  <si>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</si>
  <si>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</si>
  <si>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</si>
  <si>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</si>
  <si>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</si>
  <si>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</si>
  <si>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</si>
  <si>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</si>
  <si>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</si>
  <si>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</si>
  <si>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</si>
  <si>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</si>
  <si>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</si>
  <si>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</si>
  <si>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</si>
  <si>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</si>
  <si>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</si>
  <si>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</si>
  <si>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</si>
  <si>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</si>
  <si>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</si>
  <si>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</si>
  <si>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</si>
  <si>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</si>
  <si>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</si>
  <si>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</si>
  <si>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</si>
  <si>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</si>
  <si>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</si>
  <si>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</si>
  <si>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</si>
  <si>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</si>
  <si>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</si>
  <si>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</si>
  <si>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</si>
  <si>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</si>
  <si>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</si>
  <si>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</si>
  <si>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</si>
  <si>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</si>
  <si>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</si>
  <si>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</si>
  <si>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</si>
  <si>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</si>
  <si>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</si>
  <si>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</si>
  <si>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</si>
  <si>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</si>
  <si>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</si>
  <si>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</si>
  <si>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</si>
  <si>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</si>
  <si>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</si>
  <si>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</si>
  <si>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</si>
  <si>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</si>
  <si>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</si>
  <si>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</si>
  <si>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</si>
  <si>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</si>
  <si>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</si>
  <si>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</si>
  <si>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</si>
  <si>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</si>
  <si>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</si>
  <si>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</si>
  <si>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</si>
  <si>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</si>
  <si>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</si>
  <si>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</si>
  <si>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</si>
  <si>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</si>
  <si>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</si>
  <si>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</si>
  <si>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</si>
  <si>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</si>
  <si>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</si>
  <si>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</si>
  <si>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</si>
  <si>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</si>
  <si>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</si>
  <si>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</si>
  <si>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</si>
  <si>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</si>
  <si>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</si>
  <si>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</si>
  <si>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</si>
  <si>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</si>
  <si>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</si>
  <si>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</si>
  <si>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</si>
  <si>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</si>
  <si>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</si>
  <si>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</si>
  <si>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</si>
  <si>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</si>
  <si>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</si>
  <si>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</si>
  <si>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</si>
  <si>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</si>
  <si>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</si>
  <si>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</si>
  <si>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</si>
  <si>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</si>
  <si>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</si>
  <si>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</si>
  <si>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</si>
  <si>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</si>
  <si>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</si>
  <si>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</si>
  <si>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</si>
  <si>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</si>
  <si>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</si>
  <si>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</si>
  <si>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</si>
  <si>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</si>
  <si>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</si>
  <si>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</si>
  <si>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</si>
  <si>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</si>
  <si>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</si>
  <si>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</si>
  <si>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</si>
  <si>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</si>
  <si>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</si>
  <si>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</si>
  <si>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</si>
  <si>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</si>
  <si>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</si>
  <si>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</si>
  <si>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</si>
  <si>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</si>
  <si>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</si>
  <si>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</si>
  <si>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</si>
  <si>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</si>
  <si>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</si>
  <si>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</si>
  <si>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</si>
  <si>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</si>
  <si>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</si>
  <si>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</si>
  <si>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</si>
  <si>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</si>
  <si>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</si>
  <si>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</si>
  <si>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</si>
  <si>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</si>
  <si>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</si>
  <si>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</si>
  <si>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</si>
  <si>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</si>
  <si>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</si>
  <si>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</si>
  <si>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</si>
  <si>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</si>
  <si>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</si>
  <si>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</si>
  <si>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</si>
  <si>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</si>
  <si>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</si>
  <si>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</si>
  <si>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</si>
  <si>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</si>
  <si>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</si>
  <si>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</si>
  <si>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</si>
  <si>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</si>
  <si>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</si>
  <si>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</si>
  <si>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</si>
  <si>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</si>
  <si>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</si>
  <si>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</si>
  <si>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</si>
  <si>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</si>
  <si>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</si>
  <si>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</si>
  <si>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</si>
  <si>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</si>
  <si>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</si>
  <si>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</si>
  <si>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</si>
  <si>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</si>
  <si>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</si>
  <si>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</si>
  <si>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</si>
  <si>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</si>
  <si>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</si>
  <si>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</si>
  <si>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</si>
  <si>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</si>
  <si>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</si>
  <si>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</si>
  <si>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</si>
  <si>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</si>
  <si>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</si>
  <si>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</si>
  <si>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</si>
  <si>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</si>
  <si>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</si>
  <si>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</si>
  <si>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</si>
  <si>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</si>
  <si>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</si>
  <si>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</si>
  <si>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</si>
  <si>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</si>
  <si>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</si>
  <si>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</si>
  <si>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</si>
  <si>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</si>
  <si>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</si>
  <si>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</si>
  <si>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</si>
  <si>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</si>
  <si>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</si>
  <si>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</si>
  <si>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</si>
  <si>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</si>
  <si>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</si>
  <si>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</si>
  <si>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</si>
  <si>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</si>
  <si>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</si>
  <si>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</si>
  <si>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</si>
  <si>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</si>
  <si>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</si>
  <si>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</si>
  <si>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</si>
  <si>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</si>
  <si>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</si>
  <si>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</si>
  <si>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</si>
  <si>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</si>
  <si>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</si>
  <si>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</si>
  <si>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</si>
  <si>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</si>
  <si>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</si>
  <si>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</si>
  <si>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</si>
  <si>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</si>
  <si>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</si>
  <si>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</si>
  <si>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</si>
  <si>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</si>
  <si>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</si>
  <si>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</si>
  <si>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</si>
  <si>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</si>
  <si>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</si>
  <si>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</si>
  <si>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</si>
  <si>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</si>
  <si>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</si>
  <si>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</si>
  <si>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</si>
  <si>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</si>
  <si>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</si>
  <si>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</si>
  <si>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</si>
  <si>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</si>
  <si>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</si>
  <si>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</si>
  <si>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</si>
  <si>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</si>
  <si>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</si>
  <si>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</si>
  <si>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</si>
  <si>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</si>
  <si>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</si>
  <si>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</si>
  <si>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</si>
  <si>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</si>
  <si>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</si>
  <si>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</si>
  <si>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</si>
  <si>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</si>
  <si>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</si>
  <si>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</si>
  <si>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</si>
  <si>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</si>
  <si>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</si>
  <si>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</si>
  <si>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</si>
  <si>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</si>
  <si>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</si>
  <si>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</si>
  <si>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</si>
  <si>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</si>
  <si>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</si>
  <si>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</si>
  <si>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</si>
  <si>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</si>
  <si>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</si>
  <si>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</si>
  <si>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</si>
  <si>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</si>
  <si>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</si>
  <si>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</si>
  <si>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</si>
  <si>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</si>
  <si>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</si>
  <si>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</si>
  <si>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</si>
  <si>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</si>
  <si>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</si>
  <si>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</si>
  <si>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</si>
  <si>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</si>
  <si>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</si>
  <si>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</si>
  <si>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</si>
  <si>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</si>
  <si>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</si>
  <si>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</si>
  <si>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</si>
  <si>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</si>
  <si>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</si>
  <si>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</si>
  <si>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</si>
  <si>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</si>
  <si>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</si>
  <si>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</si>
  <si>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</si>
  <si>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</si>
  <si>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</si>
  <si>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</si>
  <si>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</si>
  <si>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</si>
  <si>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</si>
  <si>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</si>
  <si>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</si>
  <si>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</si>
  <si>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</si>
  <si>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</si>
  <si>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</si>
  <si>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</si>
  <si>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</si>
  <si>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</si>
  <si>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</si>
  <si>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</si>
  <si>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</si>
  <si>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</si>
  <si>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</si>
  <si>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</si>
  <si>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</si>
  <si>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</si>
  <si>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</si>
  <si>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</si>
  <si>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</si>
  <si>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</si>
  <si>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</si>
  <si>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</si>
  <si>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</si>
  <si>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</si>
  <si>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</si>
  <si>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</si>
  <si>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</si>
  <si>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</si>
  <si>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</si>
  <si>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</si>
  <si>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</si>
  <si>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</si>
  <si>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</si>
  <si>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</si>
  <si>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</si>
  <si>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</si>
  <si>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</si>
  <si>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</si>
  <si>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</si>
  <si>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</si>
  <si>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</si>
  <si>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</si>
  <si>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</si>
  <si>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</si>
  <si>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</si>
  <si>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</si>
  <si>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</si>
  <si>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</si>
  <si>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</si>
  <si>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</si>
  <si>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</si>
  <si>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</si>
  <si>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</si>
  <si>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</si>
  <si>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</si>
  <si>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</si>
  <si>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</si>
  <si>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</si>
  <si>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</si>
  <si>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</si>
  <si>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</si>
  <si>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</si>
  <si>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</si>
  <si>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</si>
  <si>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</si>
  <si>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</si>
  <si>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</si>
  <si>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</si>
  <si>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</si>
  <si>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</si>
  <si>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</si>
  <si>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</si>
  <si>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</si>
  <si>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</si>
  <si>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</si>
  <si>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</si>
  <si>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</si>
  <si>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</si>
  <si>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</si>
  <si>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</si>
  <si>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</si>
  <si>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</si>
  <si>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</si>
  <si>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</si>
  <si>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</si>
  <si>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</si>
  <si>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</si>
  <si>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</si>
  <si>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</si>
  <si>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</si>
  <si>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</si>
  <si>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</si>
  <si>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</si>
  <si>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</si>
  <si>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</si>
  <si>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</si>
  <si>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</si>
  <si>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</si>
  <si>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</si>
  <si>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</si>
  <si>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</si>
  <si>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</si>
  <si>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</si>
  <si>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</si>
  <si>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</si>
  <si>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</si>
  <si>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</si>
  <si>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</si>
  <si>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</si>
  <si>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</si>
  <si>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</si>
  <si>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</si>
  <si>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</si>
  <si>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</si>
  <si>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</si>
  <si>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</si>
  <si>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</si>
  <si>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</si>
  <si>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</si>
  <si>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</si>
  <si>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</si>
  <si>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</si>
  <si>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</si>
  <si>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</si>
  <si>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</si>
  <si>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</si>
  <si>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</si>
  <si>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</si>
  <si>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</si>
  <si>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</si>
  <si>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</si>
  <si>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</si>
  <si>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</si>
  <si>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</si>
  <si>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</si>
  <si>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</si>
  <si>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</si>
  <si>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</si>
  <si>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</si>
  <si>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</si>
  <si>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</si>
  <si>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</si>
  <si>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</si>
  <si>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</si>
  <si>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</si>
  <si>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</si>
  <si>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</si>
  <si>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</si>
  <si>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</si>
  <si>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</si>
  <si>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</si>
  <si>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</si>
  <si>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</si>
  <si>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</si>
  <si>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</si>
  <si>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</si>
  <si>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</si>
  <si>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</si>
  <si>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</si>
  <si>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</si>
  <si>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</si>
  <si>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</si>
  <si>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</si>
  <si>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</si>
  <si>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</si>
  <si>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</si>
  <si>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</si>
  <si>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</si>
  <si>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</si>
  <si>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</si>
  <si>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</si>
  <si>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</si>
  <si>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</si>
  <si>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</si>
  <si>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</si>
  <si>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</si>
  <si>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</si>
  <si>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</si>
  <si>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</si>
  <si>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</si>
  <si>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</si>
  <si>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</si>
  <si>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</si>
  <si>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</si>
  <si>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</si>
  <si>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</si>
  <si>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</si>
  <si>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</si>
  <si>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</si>
  <si>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</si>
  <si>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</si>
  <si>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</si>
  <si>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</si>
  <si>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</si>
  <si>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</si>
  <si>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</si>
  <si>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</si>
  <si>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</si>
  <si>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</si>
  <si>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</si>
  <si>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</si>
  <si>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</si>
  <si>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</si>
  <si>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</si>
  <si>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</si>
  <si>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</si>
  <si>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</si>
  <si>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</si>
  <si>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</si>
  <si>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</si>
  <si>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</si>
  <si>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</si>
  <si>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</si>
  <si>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</si>
  <si>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</si>
  <si>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</si>
  <si>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</si>
  <si>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</si>
  <si>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</si>
  <si>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</si>
  <si>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</si>
  <si>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</si>
  <si>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</si>
  <si>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</si>
  <si>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</si>
  <si>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</si>
  <si>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</si>
  <si>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</si>
  <si>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</si>
  <si>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</si>
  <si>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</si>
  <si>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</si>
  <si>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</si>
  <si>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</si>
  <si>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</si>
  <si>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</si>
  <si>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</si>
  <si>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</si>
  <si>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</si>
  <si>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</si>
  <si>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</si>
  <si>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</si>
  <si>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</si>
  <si>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</si>
  <si>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</si>
  <si>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</si>
  <si>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</si>
  <si>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</si>
  <si>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</si>
  <si>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</si>
  <si>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</si>
  <si>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</si>
  <si>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</si>
  <si>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</si>
  <si>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</si>
  <si>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</si>
  <si>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</si>
  <si>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</si>
  <si>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</si>
  <si>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</si>
  <si>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</si>
  <si>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</si>
  <si>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</si>
  <si>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</si>
  <si>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</si>
  <si>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</si>
  <si>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</si>
  <si>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</si>
  <si>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</si>
  <si>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</si>
  <si>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</si>
  <si>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</si>
  <si>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</si>
  <si>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</si>
  <si>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</si>
  <si>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</si>
  <si>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</si>
  <si>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</si>
  <si>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</si>
  <si>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</si>
  <si>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</si>
  <si>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</si>
  <si>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</si>
  <si>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</si>
  <si>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</si>
  <si>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</si>
  <si>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</si>
  <si>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</si>
  <si>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</si>
  <si>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</si>
  <si>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</si>
  <si>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</si>
  <si>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</si>
  <si>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</si>
  <si>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</si>
  <si>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</si>
  <si>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</si>
  <si>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</si>
  <si>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</si>
  <si>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</si>
  <si>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</si>
  <si>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</si>
  <si>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</si>
  <si>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</si>
  <si>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</si>
  <si>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</si>
  <si>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</si>
  <si>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</si>
  <si>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</si>
  <si>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</si>
  <si>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</si>
  <si>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</si>
  <si>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</si>
  <si>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</si>
  <si>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</si>
  <si>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</si>
  <si>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</si>
  <si>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</si>
  <si>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</si>
  <si>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</si>
  <si>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</si>
  <si>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</si>
  <si>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</si>
  <si>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</si>
  <si>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</si>
  <si>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</si>
  <si>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</si>
  <si>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</si>
  <si>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</si>
  <si>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</si>
  <si>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</si>
  <si>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</si>
  <si>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</si>
  <si>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</si>
  <si>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</si>
  <si>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</si>
  <si>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</si>
  <si>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</si>
  <si>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</si>
  <si>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</si>
  <si>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</si>
  <si>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</si>
  <si>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</si>
  <si>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</si>
  <si>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</si>
  <si>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</si>
  <si>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</si>
  <si>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</si>
  <si>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</si>
  <si>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</si>
  <si>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</si>
  <si>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</si>
  <si>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</si>
  <si>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</si>
  <si>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</si>
  <si>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</si>
  <si>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</si>
  <si>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</si>
  <si>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</si>
  <si>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</si>
  <si>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</si>
  <si>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</si>
  <si>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</si>
  <si>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</si>
  <si>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</si>
  <si>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</si>
  <si>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</si>
  <si>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</si>
  <si>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</si>
  <si>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</si>
  <si>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</si>
  <si>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</si>
  <si>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</si>
  <si>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</si>
  <si>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</si>
  <si>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</si>
  <si>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</si>
  <si>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</si>
  <si>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</si>
  <si>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</si>
  <si>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</si>
  <si>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</si>
  <si>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</si>
  <si>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</si>
  <si>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</si>
  <si>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</si>
  <si>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</si>
  <si>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</si>
  <si>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</si>
  <si>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</si>
  <si>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</si>
  <si>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</si>
  <si>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</si>
  <si>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</si>
  <si>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</si>
  <si>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</si>
  <si>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</si>
  <si>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</si>
  <si>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</si>
  <si>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</si>
  <si>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</si>
  <si>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</si>
  <si>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</si>
  <si>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</si>
  <si>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</si>
  <si>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</si>
  <si>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</si>
  <si>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</si>
  <si>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</si>
  <si>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</si>
  <si>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</si>
  <si>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</si>
  <si>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</si>
  <si>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</si>
  <si>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</si>
  <si>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</si>
  <si>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</si>
  <si>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</si>
  <si>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</si>
  <si>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</si>
  <si>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</si>
  <si>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</si>
  <si>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</si>
  <si>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</si>
  <si>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</si>
  <si>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</si>
  <si>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</si>
  <si>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</si>
  <si>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</si>
  <si>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</si>
  <si>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</si>
  <si>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</si>
  <si>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</si>
  <si>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</si>
  <si>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</si>
  <si>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</si>
  <si>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</si>
  <si>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</si>
  <si>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</si>
  <si>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</si>
  <si>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</si>
  <si>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</si>
  <si>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</si>
  <si>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</si>
  <si>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</si>
  <si>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</si>
  <si>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</si>
  <si>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</si>
  <si>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</si>
  <si>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</si>
  <si>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</si>
  <si>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</si>
  <si>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</si>
  <si>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</si>
  <si>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</si>
  <si>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</si>
  <si>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</si>
  <si>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</si>
  <si>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</si>
  <si>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</si>
  <si>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</si>
  <si>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</si>
  <si>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</si>
  <si>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</si>
  <si>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</si>
  <si>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</si>
  <si>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</si>
  <si>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</si>
  <si>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</si>
  <si>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</si>
  <si>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</si>
  <si>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</si>
  <si>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</si>
  <si>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</si>
  <si>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</si>
  <si>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</si>
  <si>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</si>
  <si>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</si>
  <si>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</si>
  <si>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</si>
  <si>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</si>
  <si>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</si>
  <si>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</si>
  <si>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</si>
  <si>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</si>
  <si>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</si>
  <si>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</si>
  <si>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</si>
  <si>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</si>
  <si>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</si>
  <si>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</si>
  <si>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</si>
  <si>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</si>
  <si>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</si>
  <si>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</si>
  <si>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</si>
  <si>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</si>
  <si>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</si>
  <si>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</si>
  <si>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</si>
  <si>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</si>
  <si>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</si>
  <si>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</si>
  <si>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</si>
  <si>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</si>
  <si>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</si>
  <si>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</si>
  <si>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</si>
  <si>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</si>
  <si>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</si>
  <si>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</si>
  <si>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</si>
  <si>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</si>
  <si>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</si>
  <si>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</si>
  <si>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</si>
  <si>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</si>
  <si>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</si>
  <si>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</si>
  <si>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</si>
  <si>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</si>
  <si>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</si>
  <si>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</si>
  <si>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</si>
  <si>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</si>
  <si>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</si>
  <si>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</si>
  <si>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</si>
  <si>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</si>
  <si>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</si>
  <si>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</si>
  <si>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</si>
  <si>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</si>
  <si>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</si>
  <si>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</si>
  <si>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</si>
  <si>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</si>
  <si>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</si>
  <si>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</si>
  <si>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</si>
  <si>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</si>
  <si>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</si>
  <si>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</si>
  <si>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</si>
  <si>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</si>
  <si>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</si>
  <si>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</si>
  <si>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</si>
  <si>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</si>
  <si>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</si>
  <si>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</si>
  <si>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</si>
  <si>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</si>
  <si>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</si>
  <si>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</si>
  <si>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</si>
  <si>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</si>
  <si>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</si>
  <si>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</si>
  <si>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</si>
  <si>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</si>
  <si>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</si>
  <si>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</si>
  <si>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</si>
  <si>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</si>
  <si>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</si>
  <si>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</si>
  <si>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</si>
  <si>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</si>
  <si>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</si>
  <si>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</si>
  <si>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</si>
  <si>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</si>
  <si>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</si>
  <si>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</si>
  <si>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</si>
  <si>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</si>
  <si>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</si>
  <si>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</si>
  <si>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</si>
  <si>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</si>
  <si>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</si>
  <si>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</si>
  <si>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</si>
  <si>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</si>
  <si>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</si>
  <si>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</si>
  <si>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</si>
  <si>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</si>
  <si>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</si>
  <si>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</si>
  <si>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</si>
  <si>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</si>
  <si>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</si>
  <si>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</si>
  <si>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</si>
  <si>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</si>
  <si>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</si>
  <si>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</si>
  <si>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</si>
  <si>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</si>
  <si>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</si>
  <si>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</si>
  <si>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</si>
  <si>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</si>
  <si>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</si>
  <si>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</si>
  <si>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</si>
  <si>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</si>
  <si>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</si>
  <si>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</si>
  <si>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</si>
  <si>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</si>
  <si>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</si>
  <si>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</si>
  <si>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</si>
  <si>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</si>
  <si>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</si>
  <si>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</si>
  <si>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</si>
  <si>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</si>
  <si>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</si>
  <si>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</si>
  <si>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</si>
  <si>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</si>
  <si>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</si>
  <si>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</si>
  <si>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</si>
  <si>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</si>
  <si>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</si>
  <si>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</si>
  <si>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</si>
  <si>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</si>
  <si>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</si>
  <si>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</si>
  <si>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</si>
  <si>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</si>
  <si>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</si>
  <si>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</si>
  <si>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</si>
  <si>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</si>
  <si>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</si>
  <si>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</si>
  <si>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</si>
  <si>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</si>
  <si>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</si>
  <si>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</si>
  <si>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</si>
  <si>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</si>
  <si>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</si>
  <si>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</si>
  <si>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</si>
  <si>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</si>
  <si>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</si>
  <si>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</si>
  <si>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</si>
  <si>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</si>
  <si>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</si>
  <si>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</si>
  <si>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</si>
  <si>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</si>
  <si>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</si>
  <si>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</si>
  <si>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</si>
  <si>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</si>
  <si>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</si>
  <si>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</si>
  <si>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</si>
  <si>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</si>
  <si>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</si>
  <si>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</si>
  <si>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</si>
  <si>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</si>
  <si>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</si>
  <si>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</si>
  <si>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</si>
  <si>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</si>
  <si>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</si>
  <si>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</si>
  <si>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</si>
  <si>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</si>
  <si>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</si>
  <si>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</si>
  <si>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</si>
  <si>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</si>
  <si>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</si>
  <si>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</si>
  <si>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</si>
  <si>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</si>
  <si>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</si>
  <si>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</si>
  <si>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</si>
  <si>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</si>
  <si>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</si>
  <si>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</si>
  <si>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</si>
  <si>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</si>
  <si>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</si>
  <si>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</si>
  <si>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</si>
  <si>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</si>
  <si>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</si>
  <si>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</si>
  <si>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</si>
  <si>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</si>
  <si>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</si>
  <si>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</si>
  <si>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</si>
  <si>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</si>
  <si>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</si>
  <si>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</si>
  <si>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</si>
  <si>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</si>
  <si>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</si>
  <si>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</si>
  <si>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</si>
  <si>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</si>
  <si>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</si>
  <si>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</si>
  <si>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</si>
  <si>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</si>
  <si>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</si>
  <si>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</si>
  <si>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</si>
  <si>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</si>
  <si>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</si>
  <si>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</si>
  <si>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</si>
  <si>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</si>
  <si>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</si>
  <si>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</si>
  <si>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</si>
  <si>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</si>
  <si>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</si>
  <si>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</si>
  <si>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</si>
  <si>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</si>
  <si>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</si>
  <si>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</si>
  <si>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</si>
  <si>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</si>
  <si>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</si>
  <si>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</si>
  <si>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</si>
  <si>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</si>
  <si>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</si>
  <si>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</si>
  <si>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</si>
  <si>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</si>
  <si>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</si>
  <si>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</si>
  <si>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</si>
  <si>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</si>
  <si>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</si>
  <si>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</si>
  <si>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</si>
  <si>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</si>
  <si>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</si>
  <si>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</si>
  <si>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</si>
  <si>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</si>
  <si>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</si>
  <si>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</si>
  <si>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</si>
  <si>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</si>
  <si>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</si>
  <si>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</si>
  <si>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</si>
  <si>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</si>
  <si>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</si>
  <si>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</si>
  <si>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</si>
  <si>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</si>
  <si>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</si>
  <si>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</si>
  <si>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</si>
  <si>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</si>
  <si>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</si>
  <si>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</si>
  <si>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</si>
  <si>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</si>
  <si>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</si>
  <si>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</si>
  <si>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</si>
  <si>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</si>
  <si>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</si>
  <si>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</si>
  <si>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</si>
  <si>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</si>
  <si>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</si>
  <si>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</si>
  <si>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</si>
  <si>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</si>
  <si>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</si>
  <si>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</si>
  <si>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</si>
  <si>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</si>
  <si>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</si>
  <si>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</si>
  <si>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</si>
  <si>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</si>
  <si>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</si>
  <si>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</si>
  <si>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</si>
  <si>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</si>
  <si>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</si>
  <si>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</si>
  <si>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</si>
  <si>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</si>
  <si>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</si>
  <si>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</si>
  <si>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</si>
  <si>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</si>
  <si>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</si>
  <si>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</si>
  <si>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</si>
  <si>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</si>
  <si>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</si>
  <si>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</si>
  <si>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</si>
  <si>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</si>
  <si>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</si>
  <si>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</si>
  <si>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</si>
  <si>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</si>
  <si>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</si>
  <si>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</si>
  <si>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</si>
  <si>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</si>
  <si>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</si>
  <si>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</si>
  <si>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</si>
  <si>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</si>
  <si>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</si>
  <si>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</si>
  <si>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</si>
  <si>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</si>
  <si>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</si>
  <si>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</si>
  <si>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</si>
  <si>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</si>
  <si>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</si>
  <si>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</si>
  <si>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</si>
  <si>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</si>
  <si>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</si>
  <si>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</si>
  <si>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</si>
  <si>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</si>
  <si>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</si>
  <si>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</si>
  <si>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</si>
  <si>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</si>
  <si>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</si>
  <si>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</si>
  <si>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</si>
  <si>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</si>
  <si>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</si>
  <si>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</si>
  <si>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</si>
  <si>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</si>
  <si>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</si>
  <si>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</si>
  <si>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</si>
  <si>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</si>
  <si>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</si>
  <si>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</si>
  <si>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</si>
  <si>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</si>
  <si>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</si>
  <si>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</si>
  <si>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</si>
  <si>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</si>
  <si>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</si>
  <si>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</si>
  <si>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</si>
  <si>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</si>
  <si>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</si>
  <si>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</si>
  <si>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</si>
  <si>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</si>
  <si>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</si>
  <si>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</si>
  <si>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</si>
  <si>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</si>
  <si>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</si>
  <si>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</si>
  <si>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</si>
  <si>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</si>
  <si>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</si>
  <si>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</si>
  <si>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</si>
  <si>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</si>
  <si>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</si>
  <si>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</si>
  <si>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</si>
  <si>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</si>
  <si>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</si>
  <si>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</si>
  <si>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</si>
  <si>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</si>
  <si>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</si>
  <si>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</si>
  <si>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</si>
  <si>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</si>
  <si>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</si>
  <si>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</si>
  <si>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</si>
  <si>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</si>
  <si>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</si>
  <si>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</si>
  <si>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</si>
  <si>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</si>
  <si>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</si>
  <si>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</si>
  <si>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</si>
  <si>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</si>
  <si>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</si>
  <si>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</si>
  <si>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</si>
  <si>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</si>
  <si>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</si>
  <si>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</si>
  <si>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</si>
  <si>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</si>
  <si>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</si>
  <si>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</si>
  <si>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</si>
  <si>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</si>
  <si>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</si>
  <si>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</si>
  <si>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</si>
  <si>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</si>
  <si>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</si>
  <si>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</si>
  <si>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</si>
  <si>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</si>
  <si>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</si>
  <si>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</si>
  <si>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</si>
  <si>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</si>
  <si>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</si>
  <si>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</si>
  <si>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</si>
  <si>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</si>
  <si>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</si>
  <si>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</si>
  <si>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</si>
  <si>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</si>
  <si>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</si>
  <si>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</si>
  <si>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</si>
  <si>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</si>
  <si>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</si>
  <si>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</si>
  <si>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</si>
  <si>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</si>
  <si>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</si>
  <si>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</si>
  <si>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</si>
  <si>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</si>
  <si>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</si>
  <si>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</si>
  <si>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</si>
  <si>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</si>
  <si>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</si>
  <si>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</si>
  <si>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</si>
  <si>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</si>
  <si>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</si>
  <si>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</si>
  <si>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</si>
  <si>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</si>
  <si>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</si>
  <si>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</si>
  <si>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</si>
  <si>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</si>
  <si>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</si>
  <si>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</si>
  <si>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</si>
  <si>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</si>
  <si>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</si>
  <si>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</si>
  <si>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</si>
  <si>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</si>
  <si>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</si>
  <si>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</si>
  <si>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</si>
  <si>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</si>
  <si>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</si>
  <si>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</si>
  <si>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</si>
  <si>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</si>
  <si>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</si>
  <si>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</si>
  <si>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</si>
  <si>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</si>
  <si>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</si>
  <si>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</si>
  <si>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</si>
  <si>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</si>
  <si>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</si>
  <si>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</si>
  <si>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</si>
  <si>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</si>
  <si>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</si>
  <si>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</si>
  <si>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</si>
  <si>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</si>
  <si>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</si>
  <si>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</si>
  <si>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</si>
  <si>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</si>
  <si>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</si>
  <si>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</si>
  <si>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</si>
  <si>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</si>
  <si>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</si>
  <si>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</si>
  <si>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</si>
  <si>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</si>
  <si>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</si>
  <si>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</si>
  <si>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</si>
  <si>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</si>
  <si>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</si>
  <si>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</si>
  <si>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</si>
  <si>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</si>
  <si>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</si>
  <si>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</si>
  <si>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</si>
  <si>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</si>
  <si>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</si>
  <si>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</si>
  <si>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</si>
  <si>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</si>
  <si>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</si>
  <si>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</si>
  <si>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</si>
  <si>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</si>
  <si>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</si>
  <si>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</si>
  <si>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</si>
  <si>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</si>
  <si>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</si>
  <si>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</si>
  <si>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</si>
  <si>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</si>
  <si>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</si>
  <si>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</si>
  <si>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</si>
  <si>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</si>
  <si>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</si>
  <si>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</si>
  <si>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</si>
  <si>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</si>
  <si>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</si>
  <si>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</si>
  <si>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</si>
  <si>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</si>
  <si>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</si>
  <si>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</si>
  <si>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</si>
  <si>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</si>
  <si>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</si>
  <si>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</si>
  <si>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</si>
  <si>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</si>
  <si>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</si>
  <si>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</si>
  <si>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</si>
  <si>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</si>
  <si>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</si>
  <si>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</si>
  <si>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</si>
  <si>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</si>
  <si>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</si>
  <si>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</si>
  <si>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</si>
  <si>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</si>
  <si>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</si>
  <si>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</si>
  <si>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</si>
  <si>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</si>
  <si>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</si>
  <si>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</si>
  <si>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</si>
  <si>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</si>
  <si>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</si>
  <si>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</si>
  <si>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</si>
  <si>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</si>
  <si>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</si>
  <si>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</si>
  <si>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</si>
  <si>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</si>
  <si>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</si>
  <si>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</si>
  <si>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</si>
  <si>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</si>
  <si>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</si>
  <si>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</si>
  <si>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</si>
  <si>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</si>
  <si>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</si>
  <si>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</si>
  <si>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</si>
  <si>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</si>
  <si>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</si>
  <si>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</si>
  <si>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</si>
  <si>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</si>
  <si>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</si>
  <si>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</si>
  <si>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</si>
  <si>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</si>
  <si>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</si>
  <si>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</si>
  <si>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</si>
  <si>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</si>
  <si>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</si>
  <si>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</si>
  <si>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</si>
  <si>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</si>
  <si>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</si>
  <si>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</si>
  <si>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</si>
  <si>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</si>
  <si>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</si>
  <si>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</si>
  <si>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</si>
  <si>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</si>
  <si>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</si>
  <si>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</si>
  <si>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</si>
  <si>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</si>
  <si>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</si>
  <si>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</si>
  <si>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</si>
  <si>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</si>
  <si>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</si>
  <si>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</si>
  <si>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</si>
  <si>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</si>
  <si>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</si>
  <si>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</si>
  <si>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</si>
  <si>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</si>
  <si>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</si>
  <si>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</si>
  <si>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</si>
  <si>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</si>
  <si>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</si>
  <si>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</si>
  <si>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</si>
  <si>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</si>
  <si>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</si>
  <si>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</si>
  <si>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</si>
  <si>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</si>
  <si>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</si>
  <si>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</si>
  <si>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</si>
  <si>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</si>
  <si>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</si>
  <si>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</si>
  <si>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</si>
  <si>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</si>
  <si>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</si>
  <si>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</si>
  <si>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</si>
  <si>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</si>
  <si>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</si>
  <si>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</si>
  <si>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</si>
  <si>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</si>
  <si>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</si>
  <si>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</si>
  <si>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</si>
  <si>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</si>
  <si>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</si>
  <si>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</si>
  <si>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</si>
  <si>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</si>
  <si>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</si>
  <si>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</si>
  <si>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</si>
  <si>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</si>
  <si>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</si>
  <si>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</si>
  <si>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</si>
  <si>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</si>
  <si>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</si>
  <si>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</si>
  <si>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</si>
  <si>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</si>
  <si>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</si>
  <si>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</si>
  <si>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</si>
  <si>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</si>
  <si>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</si>
  <si>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</si>
  <si>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</si>
  <si>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</si>
  <si>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</si>
  <si>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</si>
  <si>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</si>
  <si>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</si>
  <si>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</si>
  <si>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</si>
  <si>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</si>
  <si>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</si>
  <si>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</si>
  <si>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</si>
  <si>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</si>
  <si>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</si>
  <si>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</si>
  <si>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</si>
  <si>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</si>
  <si>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</si>
  <si>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</si>
  <si>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</si>
  <si>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</si>
  <si>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</si>
  <si>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</si>
  <si>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</si>
  <si>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</si>
  <si>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</si>
  <si>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</si>
  <si>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</si>
  <si>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</si>
  <si>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</si>
  <si>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</si>
  <si>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</si>
  <si>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</si>
  <si>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</si>
  <si>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</si>
  <si>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</si>
  <si>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</si>
  <si>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</si>
  <si>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</si>
  <si>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</si>
  <si>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</si>
  <si>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</si>
  <si>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</si>
  <si>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</si>
  <si>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</si>
  <si>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</si>
  <si>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</si>
  <si>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</si>
  <si>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</si>
  <si>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</si>
  <si>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</si>
  <si>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</si>
  <si>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</si>
  <si>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</si>
  <si>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</si>
  <si>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</si>
  <si>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</si>
  <si>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</si>
  <si>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</si>
  <si>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</si>
  <si>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</si>
  <si>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</si>
  <si>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</si>
  <si>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</si>
  <si>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</si>
  <si>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</si>
  <si>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</si>
  <si>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</si>
  <si>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</si>
  <si>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</si>
  <si>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</si>
  <si>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</si>
  <si>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</si>
  <si>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</si>
  <si>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</si>
  <si>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</si>
  <si>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</si>
  <si>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</si>
  <si>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</si>
  <si>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</si>
  <si>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</si>
  <si>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</si>
  <si>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</si>
  <si>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</si>
  <si>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</si>
  <si>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</si>
  <si>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</si>
  <si>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</si>
  <si>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</si>
  <si>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</si>
  <si>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</si>
  <si>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</si>
  <si>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</si>
  <si>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</si>
  <si>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</si>
  <si>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</si>
  <si>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</si>
  <si>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</si>
  <si>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</si>
  <si>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</si>
  <si>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</si>
  <si>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</si>
  <si>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</si>
  <si>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</si>
  <si>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</si>
  <si>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</si>
  <si>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</si>
  <si>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</si>
  <si>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</si>
  <si>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</si>
  <si>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</si>
  <si>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</si>
  <si>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</si>
  <si>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</si>
  <si>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</si>
  <si>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</si>
  <si>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</si>
  <si>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</si>
  <si>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</si>
  <si>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</si>
  <si>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</si>
  <si>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</si>
  <si>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</si>
  <si>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</si>
  <si>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</si>
  <si>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</si>
  <si>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</si>
  <si>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</si>
  <si>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</si>
  <si>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</si>
  <si>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</si>
  <si>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</si>
  <si>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</si>
  <si>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</si>
  <si>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</si>
  <si>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</si>
  <si>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</si>
  <si>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</si>
  <si>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</si>
  <si>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</si>
  <si>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</si>
  <si>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</si>
  <si>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</si>
  <si>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</si>
  <si>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</si>
  <si>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</si>
  <si>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</si>
  <si>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</si>
  <si>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</si>
  <si>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</si>
  <si>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</si>
  <si>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</si>
  <si>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</si>
  <si>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</si>
  <si>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</si>
  <si>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</si>
  <si>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</si>
  <si>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</si>
  <si>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</si>
  <si>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</si>
  <si>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</si>
  <si>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</si>
  <si>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</si>
  <si>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</si>
  <si>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</si>
  <si>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</si>
  <si>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</si>
  <si>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</si>
  <si>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</si>
  <si>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</si>
  <si>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</si>
  <si>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</si>
  <si>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</si>
  <si>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</si>
  <si>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</si>
  <si>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</si>
  <si>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</si>
  <si>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</si>
  <si>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</si>
  <si>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</si>
  <si>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</si>
  <si>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</si>
  <si>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</si>
  <si>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</si>
  <si>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</si>
  <si>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</si>
  <si>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</si>
  <si>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</si>
  <si>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</si>
  <si>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</si>
  <si>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</si>
  <si>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</si>
  <si>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</si>
  <si>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</si>
  <si>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</si>
  <si>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</si>
  <si>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</si>
  <si>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</si>
  <si>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</si>
  <si>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</si>
  <si>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</si>
  <si>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</si>
  <si>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</si>
  <si>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</si>
  <si>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</si>
  <si>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</si>
  <si>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</si>
  <si>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</si>
  <si>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</si>
  <si>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</si>
  <si>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</si>
  <si>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</si>
  <si>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</si>
  <si>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</si>
  <si>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</si>
  <si>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</si>
  <si>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</si>
  <si>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</si>
  <si>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</si>
  <si>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</si>
  <si>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</si>
  <si>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</si>
  <si>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</si>
  <si>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</si>
  <si>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</si>
  <si>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</si>
  <si>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</si>
  <si>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</si>
  <si>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</si>
  <si>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</si>
  <si>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</si>
  <si>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</si>
  <si>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</si>
  <si>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</si>
  <si>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</si>
  <si>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</si>
  <si>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</si>
  <si>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</si>
  <si>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</si>
  <si>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</si>
  <si>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</si>
  <si>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</si>
  <si>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</si>
  <si>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</si>
  <si>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</si>
  <si>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</si>
  <si>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</si>
  <si>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</si>
  <si>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</si>
  <si>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</si>
  <si>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</si>
  <si>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</si>
  <si>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</si>
  <si>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</si>
  <si>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</si>
  <si>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</si>
  <si>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</si>
  <si>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</si>
  <si>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</si>
  <si>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</si>
  <si>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</si>
  <si>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</si>
  <si>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</si>
  <si>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</si>
  <si>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</si>
  <si>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</si>
  <si>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</si>
  <si>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</si>
  <si>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</si>
  <si>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</si>
  <si>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</si>
  <si>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</si>
  <si>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</si>
  <si>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</si>
  <si>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</si>
  <si>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</si>
  <si>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</si>
  <si>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</si>
  <si>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</si>
  <si>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</si>
  <si>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</si>
  <si>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</si>
  <si>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</si>
  <si>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</si>
  <si>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</si>
  <si>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</si>
  <si>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</si>
  <si>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</si>
  <si>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</si>
  <si>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</si>
  <si>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</si>
  <si>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</si>
  <si>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</si>
  <si>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</si>
  <si>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</si>
  <si>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</si>
  <si>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</si>
  <si>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</si>
  <si>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</si>
  <si>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</si>
  <si>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</si>
  <si>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</si>
  <si>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</si>
  <si>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</si>
  <si>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</si>
  <si>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</si>
  <si>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</si>
  <si>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</si>
  <si>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</si>
  <si>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</si>
  <si>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</si>
  <si>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</si>
  <si>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</si>
  <si>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</si>
  <si>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</si>
  <si>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</si>
  <si>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</si>
  <si>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</si>
  <si>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</si>
  <si>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</si>
  <si>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</si>
  <si>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</si>
  <si>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</si>
  <si>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</si>
  <si>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</si>
  <si>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</si>
  <si>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</si>
  <si>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</si>
  <si>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</si>
  <si>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</si>
  <si>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</si>
  <si>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</si>
  <si>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</si>
  <si>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</si>
  <si>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</si>
  <si>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</si>
  <si>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</si>
  <si>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</si>
  <si>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</si>
  <si>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</si>
  <si>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</si>
  <si>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</si>
  <si>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</si>
  <si>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</si>
  <si>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</si>
  <si>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</si>
  <si>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</si>
  <si>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</si>
  <si>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</si>
  <si>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</si>
  <si>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</si>
  <si>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</si>
  <si>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</si>
  <si>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</si>
  <si>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</si>
  <si>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</si>
  <si>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</si>
  <si>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</si>
  <si>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</si>
  <si>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</si>
  <si>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</si>
  <si>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</si>
  <si>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</si>
  <si>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</si>
  <si>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</si>
  <si>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</si>
  <si>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</si>
  <si>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</si>
  <si>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</si>
  <si>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</si>
  <si>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</si>
  <si>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</si>
  <si>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</si>
  <si>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</si>
  <si>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</si>
  <si>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</si>
  <si>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</si>
  <si>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</si>
  <si>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</si>
  <si>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</si>
  <si>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</si>
  <si>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</si>
  <si>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</si>
  <si>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</si>
  <si>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</si>
  <si>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</si>
  <si>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</si>
  <si>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</si>
  <si>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</si>
  <si>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</si>
  <si>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</si>
  <si>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</si>
  <si>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</si>
  <si>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</si>
  <si>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</si>
  <si>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</si>
  <si>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</si>
  <si>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</si>
  <si>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</si>
  <si>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</si>
  <si>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</si>
  <si>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</si>
  <si>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</si>
  <si>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</si>
  <si>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</si>
  <si>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</si>
  <si>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</si>
  <si>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</si>
  <si>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</si>
  <si>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</si>
  <si>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</si>
  <si>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</si>
  <si>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</si>
  <si>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</si>
  <si>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</si>
  <si>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</si>
  <si>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</si>
  <si>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</si>
  <si>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</si>
  <si>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</si>
  <si>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</si>
  <si>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</si>
  <si>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</si>
  <si>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</si>
  <si>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</si>
  <si>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</si>
  <si>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</si>
  <si>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</si>
  <si>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</si>
  <si>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</si>
  <si>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</si>
  <si>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</si>
  <si>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</si>
  <si>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</si>
  <si>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</si>
  <si>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</si>
  <si>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</si>
  <si>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</si>
  <si>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</si>
  <si>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</si>
  <si>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</si>
  <si>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</si>
  <si>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</si>
  <si>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</si>
  <si>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</si>
  <si>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</si>
  <si>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</si>
  <si>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</si>
  <si>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</si>
  <si>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</si>
  <si>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</si>
  <si>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</si>
  <si>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</si>
  <si>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</si>
  <si>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</si>
  <si>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</si>
  <si>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</si>
  <si>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</si>
  <si>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</si>
  <si>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</si>
  <si>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</si>
  <si>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</si>
  <si>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</si>
  <si>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</si>
  <si>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</si>
  <si>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</si>
  <si>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</si>
  <si>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</si>
  <si>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</si>
  <si>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</si>
  <si>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</si>
  <si>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</si>
  <si>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</si>
  <si>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</si>
  <si>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</si>
  <si>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</si>
  <si>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</si>
  <si>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</si>
  <si>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</si>
  <si>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</si>
  <si>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</si>
  <si>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</si>
  <si>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</si>
  <si>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</si>
  <si>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</si>
  <si>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</si>
  <si>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</si>
  <si>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</si>
  <si>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</si>
  <si>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</si>
  <si>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</si>
  <si>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</si>
  <si>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</si>
  <si>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</si>
  <si>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</si>
  <si>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</si>
  <si>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</si>
  <si>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</si>
  <si>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</si>
  <si>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</si>
  <si>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</si>
  <si>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</si>
  <si>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</si>
  <si>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</si>
  <si>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</si>
  <si>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</si>
  <si>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</si>
  <si>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</si>
  <si>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</si>
  <si>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</si>
  <si>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</si>
  <si>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</si>
  <si>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</si>
  <si>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</si>
  <si>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</si>
  <si>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</si>
  <si>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</si>
  <si>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</si>
  <si>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</si>
  <si>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</si>
  <si>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</si>
  <si>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</si>
  <si>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</si>
  <si>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</si>
  <si>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</si>
  <si>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</si>
  <si>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</si>
  <si>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</si>
  <si>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</si>
  <si>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</si>
  <si>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</si>
  <si>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</si>
  <si>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</si>
  <si>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</si>
  <si>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</si>
  <si>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</si>
  <si>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</si>
  <si>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</si>
  <si>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</si>
  <si>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</si>
  <si>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</si>
  <si>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</si>
  <si>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</si>
  <si>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</si>
  <si>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</si>
  <si>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</si>
  <si>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</si>
  <si>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</si>
  <si>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</si>
  <si>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</si>
  <si>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</si>
  <si>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</si>
  <si>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</si>
  <si>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</si>
  <si>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</si>
  <si>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</si>
  <si>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</si>
  <si>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</si>
  <si>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</si>
  <si>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</si>
  <si>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</si>
  <si>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</si>
  <si>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</si>
  <si>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</si>
  <si>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</si>
  <si>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</si>
  <si>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</si>
  <si>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</si>
  <si>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</si>
  <si>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</si>
  <si>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</si>
  <si>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</si>
  <si>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</si>
  <si>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</si>
  <si>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</si>
  <si>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</si>
  <si>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</si>
  <si>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</si>
  <si>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</si>
  <si>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</si>
  <si>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</si>
  <si>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</si>
  <si>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</si>
  <si>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</si>
  <si>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</si>
  <si>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</si>
  <si>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</si>
  <si>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</si>
  <si>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</si>
  <si>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</si>
  <si>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</si>
  <si>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</si>
  <si>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</si>
  <si>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</si>
  <si>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</si>
  <si>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</si>
  <si>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</si>
  <si>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</si>
  <si>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</si>
  <si>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</si>
  <si>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</si>
  <si>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</si>
  <si>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</si>
  <si>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</si>
  <si>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</si>
  <si>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</si>
  <si>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</si>
  <si>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</si>
  <si>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</si>
  <si>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</si>
  <si>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</si>
  <si>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</si>
  <si>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</si>
  <si>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</si>
  <si>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</si>
  <si>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</si>
  <si>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</si>
  <si>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</si>
  <si>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</si>
  <si>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</si>
  <si>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</si>
  <si>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</si>
  <si>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</si>
  <si>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</si>
  <si>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</si>
  <si>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</si>
  <si>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</si>
  <si>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</si>
  <si>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</si>
  <si>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</si>
  <si>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</si>
  <si>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</si>
  <si>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</si>
  <si>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</si>
  <si>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</si>
  <si>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</si>
  <si>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</si>
  <si>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</si>
  <si>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</si>
  <si>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</si>
  <si>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</si>
  <si>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</si>
  <si>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</si>
  <si>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</si>
  <si>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</si>
  <si>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</si>
  <si>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</si>
  <si>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</si>
  <si>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</si>
  <si>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</si>
  <si>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</si>
  <si>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</si>
  <si>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</si>
  <si>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</si>
  <si>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</si>
  <si>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</si>
  <si>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</si>
  <si>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</si>
  <si>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</si>
  <si>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</si>
  <si>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</si>
  <si>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</si>
  <si>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</si>
  <si>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</si>
  <si>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</si>
  <si>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</si>
  <si>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</si>
  <si>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</si>
  <si>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Cafe Sales Analysis</t>
  </si>
  <si>
    <t>Metric</t>
  </si>
  <si>
    <t>Value</t>
  </si>
  <si>
    <t>Total Revenue</t>
  </si>
  <si>
    <t>Total Quantity Sold</t>
  </si>
  <si>
    <t>Number of Transactions</t>
  </si>
  <si>
    <t>Average Transaction Value</t>
  </si>
  <si>
    <t>Maximum Transaction Value</t>
  </si>
  <si>
    <t>Minimum Transaction Value</t>
  </si>
  <si>
    <t>Revenue by Item</t>
  </si>
  <si>
    <t>Revenue</t>
  </si>
  <si>
    <t>Transaction Count by Item</t>
  </si>
  <si>
    <t>Transactions</t>
  </si>
  <si>
    <t>Average Revenue per Transaction</t>
  </si>
  <si>
    <t>Avg Revenue / Transaction</t>
  </si>
  <si>
    <t>Grand Total</t>
  </si>
  <si>
    <t>Cafe Sales Dashboard</t>
  </si>
  <si>
    <t>Key Insights</t>
  </si>
  <si>
    <t>• Salad generated the highest revenue among all items (17,345).</t>
  </si>
  <si>
    <t>• Credit Card generated the highest revenue among recorded payment methods (20,466).</t>
  </si>
  <si>
    <t>• In-store sales generated slightly higher revenue than Takeaway sales (27,174 vs 26,552.50).</t>
  </si>
  <si>
    <t>• Juice had the highest number of transactions (1,171), indicating strong customer demand by purchase frequency.</t>
  </si>
  <si>
    <t>• Salad generated the highest revenue, while Juice had the highest transaction count, showing that the most frequently purchased item was not the highest-revenue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</si>
</sst>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20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20" fillId="0" borderId="0" xfId="0" applyFont="1" applyAlignment="1"/>
    <xf numFmtId="1" fontId="19" fillId="0" borderId="0" xfId="0" applyNumberFormat="1" applyFont="1" applyAlignment="1"/>
    <xf numFmtId="0" fontId="20" fillId="0" borderId="0" xfId="0" applyFont="1" applyAlignment="1"/>
    <xf numFmtId="0" fontId="18" fillId="0" borderId="0" xfId="0" applyFont="1" applyAlignment="1">
      <alignment horizontal="center"/>
    </xf>
    <xf numFmtId="2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pivotButton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</font>
    </dxf>
    <dxf>
      <font>
        <b val="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[Cafe_Sales_Excel_Analysis.xlsx]Pivot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Tables'!$A$2:$A$10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'Pivot Tables'!$B$2:$B$10</c:f>
              <c:numCache>
                <c:formatCode>0.00</c:formatCode>
                <c:ptCount val="8"/>
                <c:pt idx="0">
                  <c:v>10404</c:v>
                </c:pt>
                <c:pt idx="1">
                  <c:v>7072</c:v>
                </c:pt>
                <c:pt idx="2">
                  <c:v>3232</c:v>
                </c:pt>
                <c:pt idx="3">
                  <c:v>10515</c:v>
                </c:pt>
                <c:pt idx="4">
                  <c:v>17345</c:v>
                </c:pt>
                <c:pt idx="5">
                  <c:v>13716</c:v>
                </c:pt>
                <c:pt idx="6">
                  <c:v>13344</c:v>
                </c:pt>
                <c:pt idx="7">
                  <c:v>4960.5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5-4F75-8DAC-132D44F15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6440320"/>
        <c:axId val="796440736"/>
      </c:barChart>
      <c:catAx>
        <c:axId val="79644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40736"/>
        <c:crosses val="autoZero"/>
        <c:auto val="1"/>
        <c:lblAlgn val="ctr"/>
        <c:lblOffset val="100"/>
        <c:noMultiLvlLbl val="0"/>
      </c:catAx>
      <c:valAx>
        <c:axId val="7964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[Cafe_Sales_Excel_Analysis.xlsx]Pivot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Tables'!$D$2:$D$5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'Pivot Tables'!$E$2:$E$5</c:f>
              <c:numCache>
                <c:formatCode>0.00</c:formatCode>
                <c:ptCount val="3"/>
                <c:pt idx="0">
                  <c:v>20402.5</c:v>
                </c:pt>
                <c:pt idx="1">
                  <c:v>20466</c:v>
                </c:pt>
                <c:pt idx="2">
                  <c:v>20414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D-47ED-8E7F-42063A00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2403616"/>
        <c:axId val="542404032"/>
      </c:barChart>
      <c:catAx>
        <c:axId val="54240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404032"/>
        <c:crosses val="autoZero"/>
        <c:auto val="1"/>
        <c:lblAlgn val="ctr"/>
        <c:lblOffset val="100"/>
        <c:noMultiLvlLbl val="0"/>
      </c:catAx>
      <c:valAx>
        <c:axId val="5424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40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[Cafe_Sales_Excel_Analysis.xlsx]Pivot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Tables'!$A$16:$A$18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Tables'!$B$16:$B$18</c:f>
              <c:numCache>
                <c:formatCode>0.00</c:formatCode>
                <c:ptCount val="2"/>
                <c:pt idx="0">
                  <c:v>27174</c:v>
                </c:pt>
                <c:pt idx="1">
                  <c:v>26552.5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8-443F-B4D8-52A14220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923008"/>
        <c:axId val="192922176"/>
      </c:barChart>
      <c:catAx>
        <c:axId val="1929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22176"/>
        <c:crosses val="autoZero"/>
        <c:auto val="1"/>
        <c:lblAlgn val="ctr"/>
        <c:lblOffset val="100"/>
        <c:noMultiLvlLbl val="0"/>
      </c:catAx>
      <c:valAx>
        <c:axId val="1929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304800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AF819-7177-45DB-A941-1FC2C6067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C0A566-4884-4D66-8AEC-BED915CA3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304800</xdr:colOff>
      <xdr:row>35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9CFAF0-102C-4022-AF10-B05845E34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unima" refreshedDate="46299.604458333335" createdVersion="7" refreshedVersion="7" minRefreshableVersion="3" recordCount="10000">
  <cacheSource type="worksheet">
    <worksheetSource ref="A1:H10001" sheet="Data"/>
  </cacheSource>
  <cacheFields count="8">
    <cacheField name="Transaction ID" numFmtId="0">
      <sharedItems/>
    </cacheField>
    <cacheField name="Item" numFmtId="0">
      <sharedItems containsBlank="1" count="9">
        <s v="Coffee"/>
        <s v="Cake"/>
        <s v="Cookie"/>
        <s v="Salad"/>
        <s v="Smoothie"/>
        <m/>
        <s v="Sandwich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 Per Unit" numFmtId="0">
      <sharedItems containsString="0" containsBlank="1" containsNumber="1" minValue="1" maxValue="5"/>
    </cacheField>
    <cacheField name="Total Spent" numFmtId="0">
      <sharedItems containsString="0" containsBlank="1" containsNumber="1" minValue="1" maxValue="25"/>
    </cacheField>
    <cacheField name="Payment Method" numFmtId="0">
      <sharedItems containsBlank="1" count="4">
        <s v="Credit Card"/>
        <s v="Cash"/>
        <m/>
        <s v="Digital Wallet"/>
      </sharedItems>
    </cacheField>
    <cacheField name="Location" numFmtId="0">
      <sharedItems containsBlank="1" count="3">
        <s v="Takeaway"/>
        <s v="In-store"/>
        <m/>
      </sharedItems>
    </cacheField>
    <cacheField name="Transaction Date" numFmtId="0">
      <sharedItems containsNonDate="0" containsDate="1" containsString="0" containsBlank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TXN_1961373"/>
    <x v="0"/>
    <n v="2"/>
    <n v="2"/>
    <n v="4"/>
    <x v="0"/>
    <x v="0"/>
    <d v="2023-09-08T00:00:00"/>
  </r>
  <r>
    <s v="TXN_4977031"/>
    <x v="1"/>
    <n v="4"/>
    <n v="3"/>
    <n v="12"/>
    <x v="1"/>
    <x v="1"/>
    <d v="2023-05-16T00:00:00"/>
  </r>
  <r>
    <s v="TXN_4271903"/>
    <x v="2"/>
    <n v="4"/>
    <n v="1"/>
    <n v="4"/>
    <x v="0"/>
    <x v="1"/>
    <d v="2023-07-19T00:00:00"/>
  </r>
  <r>
    <s v="TXN_7034554"/>
    <x v="3"/>
    <n v="2"/>
    <n v="5"/>
    <n v="10"/>
    <x v="2"/>
    <x v="2"/>
    <d v="2023-04-27T00:00:00"/>
  </r>
  <r>
    <s v="TXN_3160411"/>
    <x v="0"/>
    <n v="2"/>
    <n v="2"/>
    <n v="4"/>
    <x v="3"/>
    <x v="1"/>
    <d v="2023-06-11T00:00:00"/>
  </r>
  <r>
    <s v="TXN_2602893"/>
    <x v="4"/>
    <n v="5"/>
    <n v="4"/>
    <n v="20"/>
    <x v="0"/>
    <x v="2"/>
    <d v="2023-03-31T00:00:00"/>
  </r>
  <r>
    <s v="TXN_4433211"/>
    <x v="5"/>
    <n v="3"/>
    <n v="3"/>
    <n v="9"/>
    <x v="2"/>
    <x v="0"/>
    <d v="2023-10-06T00:00:00"/>
  </r>
  <r>
    <s v="TXN_6699534"/>
    <x v="6"/>
    <n v="4"/>
    <n v="4"/>
    <n v="16"/>
    <x v="1"/>
    <x v="2"/>
    <d v="2023-10-28T00:00:00"/>
  </r>
  <r>
    <s v="TXN_4717867"/>
    <x v="5"/>
    <n v="5"/>
    <n v="3"/>
    <n v="15"/>
    <x v="2"/>
    <x v="0"/>
    <d v="2023-07-28T00:00:00"/>
  </r>
  <r>
    <s v="TXN_2064365"/>
    <x v="6"/>
    <n v="5"/>
    <n v="4"/>
    <n v="20"/>
    <x v="2"/>
    <x v="1"/>
    <d v="2023-12-31T00:00:00"/>
  </r>
  <r>
    <s v="TXN_2548360"/>
    <x v="3"/>
    <n v="5"/>
    <n v="5"/>
    <n v="25"/>
    <x v="1"/>
    <x v="0"/>
    <d v="2023-11-07T00:00:00"/>
  </r>
  <r>
    <s v="TXN_3051279"/>
    <x v="6"/>
    <n v="2"/>
    <n v="4"/>
    <n v="8"/>
    <x v="0"/>
    <x v="0"/>
    <m/>
  </r>
  <r>
    <s v="TXN_7619095"/>
    <x v="6"/>
    <n v="2"/>
    <n v="4"/>
    <n v="8"/>
    <x v="1"/>
    <x v="1"/>
    <d v="2023-05-03T00:00:00"/>
  </r>
  <r>
    <s v="TXN_9437049"/>
    <x v="2"/>
    <n v="5"/>
    <n v="1"/>
    <n v="5"/>
    <x v="2"/>
    <x v="0"/>
    <d v="2023-06-01T00:00:00"/>
  </r>
  <r>
    <s v="TXN_8915701"/>
    <x v="5"/>
    <n v="2"/>
    <n v="1.5"/>
    <n v="3"/>
    <x v="2"/>
    <x v="1"/>
    <d v="2023-03-21T00:00:00"/>
  </r>
  <r>
    <s v="TXN_2847255"/>
    <x v="3"/>
    <n v="3"/>
    <n v="5"/>
    <n v="15"/>
    <x v="0"/>
    <x v="1"/>
    <d v="2023-11-15T00:00:00"/>
  </r>
  <r>
    <s v="TXN_3765707"/>
    <x v="6"/>
    <n v="1"/>
    <n v="4"/>
    <n v="4"/>
    <x v="2"/>
    <x v="2"/>
    <d v="2023-06-10T00:00:00"/>
  </r>
  <r>
    <s v="TXN_6769710"/>
    <x v="7"/>
    <n v="2"/>
    <n v="3"/>
    <n v="6"/>
    <x v="1"/>
    <x v="1"/>
    <d v="2023-02-24T00:00:00"/>
  </r>
  <r>
    <s v="TXN_8876618"/>
    <x v="1"/>
    <n v="5"/>
    <n v="3"/>
    <n v="15"/>
    <x v="1"/>
    <x v="2"/>
    <d v="2023-03-25T00:00:00"/>
  </r>
  <r>
    <s v="TXN_3709394"/>
    <x v="7"/>
    <n v="4"/>
    <n v="3"/>
    <n v="12"/>
    <x v="1"/>
    <x v="0"/>
    <d v="2023-01-15T00:00:00"/>
  </r>
  <r>
    <s v="TXN_3522028"/>
    <x v="4"/>
    <n v="5"/>
    <n v="4"/>
    <n v="20"/>
    <x v="1"/>
    <x v="1"/>
    <d v="2023-04-04T00:00:00"/>
  </r>
  <r>
    <s v="TXN_3567645"/>
    <x v="4"/>
    <n v="4"/>
    <n v="4"/>
    <n v="16"/>
    <x v="0"/>
    <x v="0"/>
    <d v="2023-03-30T00:00:00"/>
  </r>
  <r>
    <s v="TXN_5132361"/>
    <x v="6"/>
    <n v="3"/>
    <n v="4"/>
    <n v="12"/>
    <x v="3"/>
    <x v="0"/>
    <d v="2023-12-01T00:00:00"/>
  </r>
  <r>
    <s v="TXN_2616390"/>
    <x v="6"/>
    <n v="2"/>
    <n v="4"/>
    <n v="8"/>
    <x v="2"/>
    <x v="2"/>
    <d v="2023-09-18T00:00:00"/>
  </r>
  <r>
    <s v="TXN_9400181"/>
    <x v="6"/>
    <n v="5"/>
    <n v="4"/>
    <n v="20"/>
    <x v="1"/>
    <x v="1"/>
    <d v="2023-06-03T00:00:00"/>
  </r>
  <r>
    <s v="TXN_7958992"/>
    <x v="4"/>
    <n v="3"/>
    <n v="4"/>
    <n v="12"/>
    <x v="2"/>
    <x v="2"/>
    <d v="2023-12-13T00:00:00"/>
  </r>
  <r>
    <s v="TXN_5183041"/>
    <x v="2"/>
    <n v="5"/>
    <n v="1"/>
    <n v="5"/>
    <x v="0"/>
    <x v="1"/>
    <d v="2023-04-20T00:00:00"/>
  </r>
  <r>
    <s v="TXN_5695074"/>
    <x v="7"/>
    <n v="4"/>
    <n v="3"/>
    <n v="12"/>
    <x v="0"/>
    <x v="0"/>
    <d v="2023-04-10T00:00:00"/>
  </r>
  <r>
    <s v="TXN_8467949"/>
    <x v="4"/>
    <n v="5"/>
    <n v="4"/>
    <n v="20"/>
    <x v="0"/>
    <x v="2"/>
    <d v="2023-03-11T00:00:00"/>
  </r>
  <r>
    <s v="TXN_7640952"/>
    <x v="1"/>
    <n v="4"/>
    <n v="3"/>
    <n v="12"/>
    <x v="3"/>
    <x v="0"/>
    <m/>
  </r>
  <r>
    <s v="TXN_1736287"/>
    <x v="5"/>
    <n v="5"/>
    <n v="2"/>
    <n v="10"/>
    <x v="3"/>
    <x v="2"/>
    <d v="2023-06-02T00:00:00"/>
  </r>
  <r>
    <s v="TXN_8927252"/>
    <x v="5"/>
    <n v="2"/>
    <n v="1"/>
    <n v="2"/>
    <x v="0"/>
    <x v="2"/>
    <d v="2023-11-06T00:00:00"/>
  </r>
  <r>
    <s v="TXN_9677376"/>
    <x v="4"/>
    <n v="4"/>
    <n v="4"/>
    <n v="16"/>
    <x v="2"/>
    <x v="1"/>
    <d v="2023-08-15T00:00:00"/>
  </r>
  <r>
    <s v="TXN_7710508"/>
    <x v="5"/>
    <n v="5"/>
    <n v="1"/>
    <n v="5"/>
    <x v="1"/>
    <x v="2"/>
    <m/>
  </r>
  <r>
    <s v="TXN_8853997"/>
    <x v="4"/>
    <n v="2"/>
    <n v="4"/>
    <n v="8"/>
    <x v="3"/>
    <x v="0"/>
    <d v="2023-10-09T00:00:00"/>
  </r>
  <r>
    <s v="TXN_9130559"/>
    <x v="6"/>
    <n v="1"/>
    <n v="4"/>
    <n v="4"/>
    <x v="0"/>
    <x v="2"/>
    <d v="2023-05-28T00:00:00"/>
  </r>
  <r>
    <s v="TXN_6855453"/>
    <x v="5"/>
    <n v="4"/>
    <n v="3"/>
    <n v="12"/>
    <x v="2"/>
    <x v="1"/>
    <d v="2023-07-17T00:00:00"/>
  </r>
  <r>
    <s v="TXN_1080432"/>
    <x v="3"/>
    <n v="2"/>
    <n v="5"/>
    <n v="10"/>
    <x v="0"/>
    <x v="1"/>
    <d v="2023-04-29T00:00:00"/>
  </r>
  <r>
    <s v="TXN_2655815"/>
    <x v="4"/>
    <n v="4"/>
    <n v="4"/>
    <n v="16"/>
    <x v="2"/>
    <x v="0"/>
    <d v="2023-06-08T00:00:00"/>
  </r>
  <r>
    <s v="TXN_6688524"/>
    <x v="0"/>
    <n v="4"/>
    <n v="2"/>
    <n v="8"/>
    <x v="2"/>
    <x v="2"/>
    <d v="2023-06-29T00:00:00"/>
  </r>
  <r>
    <s v="TXN_2083138"/>
    <x v="4"/>
    <n v="3"/>
    <n v="4"/>
    <n v="12"/>
    <x v="2"/>
    <x v="1"/>
    <d v="2023-04-17T00:00:00"/>
  </r>
  <r>
    <s v="TXN_2427584"/>
    <x v="6"/>
    <n v="4"/>
    <n v="4"/>
    <n v="16"/>
    <x v="2"/>
    <x v="0"/>
    <d v="2023-12-22T00:00:00"/>
  </r>
  <r>
    <s v="TXN_6650263"/>
    <x v="8"/>
    <n v="2"/>
    <n v="1.5"/>
    <n v="3"/>
    <x v="2"/>
    <x v="0"/>
    <d v="2023-01-10T00:00:00"/>
  </r>
  <r>
    <s v="TXN_9620080"/>
    <x v="7"/>
    <n v="4"/>
    <n v="3"/>
    <n v="12"/>
    <x v="2"/>
    <x v="0"/>
    <d v="2023-10-02T00:00:00"/>
  </r>
  <r>
    <s v="TXN_1491578"/>
    <x v="2"/>
    <n v="2"/>
    <n v="1"/>
    <n v="2"/>
    <x v="2"/>
    <x v="2"/>
    <d v="2023-02-23T00:00:00"/>
  </r>
  <r>
    <s v="TXN_5455792"/>
    <x v="3"/>
    <n v="3"/>
    <n v="5"/>
    <n v="15"/>
    <x v="1"/>
    <x v="2"/>
    <d v="2023-03-22T00:00:00"/>
  </r>
  <r>
    <s v="TXN_8078640"/>
    <x v="7"/>
    <n v="4"/>
    <n v="3"/>
    <n v="12"/>
    <x v="3"/>
    <x v="1"/>
    <d v="2023-11-03T00:00:00"/>
  </r>
  <r>
    <s v="TXN_9499313"/>
    <x v="7"/>
    <n v="5"/>
    <n v="3"/>
    <n v="15"/>
    <x v="2"/>
    <x v="2"/>
    <d v="2023-03-02T00:00:00"/>
  </r>
  <r>
    <s v="TXN_8201146"/>
    <x v="7"/>
    <n v="5"/>
    <n v="3"/>
    <n v="15"/>
    <x v="1"/>
    <x v="2"/>
    <d v="2023-06-26T00:00:00"/>
  </r>
  <r>
    <s v="TXN_8230936"/>
    <x v="1"/>
    <n v="3"/>
    <n v="3"/>
    <n v="9"/>
    <x v="2"/>
    <x v="2"/>
    <d v="2023-05-02T00:00:00"/>
  </r>
  <r>
    <s v="TXN_7742742"/>
    <x v="1"/>
    <n v="5"/>
    <n v="3"/>
    <n v="15"/>
    <x v="2"/>
    <x v="0"/>
    <d v="2023-09-05T00:00:00"/>
  </r>
  <r>
    <s v="TXN_6342161"/>
    <x v="3"/>
    <n v="5"/>
    <n v="5"/>
    <n v="25"/>
    <x v="2"/>
    <x v="0"/>
    <d v="2023-01-08T00:00:00"/>
  </r>
  <r>
    <s v="TXN_8914892"/>
    <x v="5"/>
    <n v="5"/>
    <n v="5"/>
    <n v="25"/>
    <x v="3"/>
    <x v="2"/>
    <d v="2023-03-15T00:00:00"/>
  </r>
  <r>
    <s v="TXN_3363746"/>
    <x v="4"/>
    <n v="3"/>
    <n v="4"/>
    <n v="12"/>
    <x v="0"/>
    <x v="2"/>
    <d v="2023-11-25T00:00:00"/>
  </r>
  <r>
    <s v="TXN_8614868"/>
    <x v="4"/>
    <n v="5"/>
    <n v="4"/>
    <n v="20"/>
    <x v="3"/>
    <x v="0"/>
    <d v="2023-12-05T00:00:00"/>
  </r>
  <r>
    <s v="TXN_5522862"/>
    <x v="2"/>
    <n v="2"/>
    <n v="1"/>
    <n v="2"/>
    <x v="0"/>
    <x v="0"/>
    <d v="2023-03-19T00:00:00"/>
  </r>
  <r>
    <s v="TXN_3578141"/>
    <x v="1"/>
    <n v="5"/>
    <n v="3"/>
    <n v="15"/>
    <x v="2"/>
    <x v="0"/>
    <d v="2023-06-27T00:00:00"/>
  </r>
  <r>
    <s v="TXN_2080895"/>
    <x v="1"/>
    <n v="1"/>
    <n v="3"/>
    <n v="3"/>
    <x v="3"/>
    <x v="1"/>
    <d v="2023-04-19T00:00:00"/>
  </r>
  <r>
    <s v="TXN_6421134"/>
    <x v="6"/>
    <n v="4"/>
    <n v="4"/>
    <n v="16"/>
    <x v="1"/>
    <x v="0"/>
    <d v="2023-11-03T00:00:00"/>
  </r>
  <r>
    <s v="TXN_8813311"/>
    <x v="7"/>
    <n v="5"/>
    <n v="3"/>
    <n v="15"/>
    <x v="2"/>
    <x v="1"/>
    <d v="2023-10-07T00:00:00"/>
  </r>
  <r>
    <s v="TXN_9023317"/>
    <x v="3"/>
    <n v="1"/>
    <n v="5"/>
    <n v="5"/>
    <x v="2"/>
    <x v="2"/>
    <d v="2023-09-30T00:00:00"/>
  </r>
  <r>
    <s v="TXN_8051289"/>
    <x v="5"/>
    <n v="1"/>
    <n v="3"/>
    <n v="3"/>
    <x v="2"/>
    <x v="1"/>
    <d v="2023-10-09T00:00:00"/>
  </r>
  <r>
    <s v="TXN_2537617"/>
    <x v="6"/>
    <n v="1"/>
    <n v="4"/>
    <n v="4"/>
    <x v="1"/>
    <x v="2"/>
    <d v="2023-05-27T00:00:00"/>
  </r>
  <r>
    <s v="TXN_9099694"/>
    <x v="5"/>
    <n v="3"/>
    <n v="5"/>
    <n v="15"/>
    <x v="2"/>
    <x v="0"/>
    <d v="2023-11-18T00:00:00"/>
  </r>
  <r>
    <s v="TXN_9230615"/>
    <x v="4"/>
    <n v="4"/>
    <n v="4"/>
    <n v="16"/>
    <x v="3"/>
    <x v="2"/>
    <d v="2023-06-01T00:00:00"/>
  </r>
  <r>
    <s v="TXN_4987129"/>
    <x v="6"/>
    <n v="3"/>
    <n v="4"/>
    <n v="12"/>
    <x v="2"/>
    <x v="1"/>
    <d v="2023-10-20T00:00:00"/>
  </r>
  <r>
    <s v="TXN_8501819"/>
    <x v="7"/>
    <n v="2"/>
    <n v="3"/>
    <n v="6"/>
    <x v="1"/>
    <x v="2"/>
    <d v="2023-03-30T00:00:00"/>
  </r>
  <r>
    <s v="TXN_3068204"/>
    <x v="2"/>
    <n v="1"/>
    <n v="1"/>
    <n v="1"/>
    <x v="0"/>
    <x v="0"/>
    <d v="2023-10-03T00:00:00"/>
  </r>
  <r>
    <s v="TXN_8427104"/>
    <x v="3"/>
    <n v="2"/>
    <n v="5"/>
    <n v="10"/>
    <x v="2"/>
    <x v="1"/>
    <d v="2023-10-27T00:00:00"/>
  </r>
  <r>
    <s v="TXN_8471743"/>
    <x v="5"/>
    <n v="5"/>
    <n v="3"/>
    <n v="15"/>
    <x v="3"/>
    <x v="1"/>
    <d v="2023-04-06T00:00:00"/>
  </r>
  <r>
    <s v="TXN_2621580"/>
    <x v="8"/>
    <n v="2"/>
    <n v="1.5"/>
    <n v="3"/>
    <x v="1"/>
    <x v="1"/>
    <d v="2023-03-22T00:00:00"/>
  </r>
  <r>
    <s v="TXN_4726376"/>
    <x v="1"/>
    <n v="2"/>
    <n v="3"/>
    <n v="6"/>
    <x v="0"/>
    <x v="1"/>
    <d v="2023-01-31T00:00:00"/>
  </r>
  <r>
    <s v="TXN_6044979"/>
    <x v="5"/>
    <n v="1"/>
    <n v="1"/>
    <n v="1"/>
    <x v="1"/>
    <x v="1"/>
    <d v="2023-12-08T00:00:00"/>
  </r>
  <r>
    <s v="TXN_4238417"/>
    <x v="3"/>
    <n v="2"/>
    <n v="5"/>
    <n v="10"/>
    <x v="2"/>
    <x v="2"/>
    <d v="2023-06-19T00:00:00"/>
  </r>
  <r>
    <s v="TXN_1900620"/>
    <x v="4"/>
    <n v="2"/>
    <n v="4"/>
    <n v="8"/>
    <x v="0"/>
    <x v="2"/>
    <d v="2023-12-14T00:00:00"/>
  </r>
  <r>
    <s v="TXN_6420335"/>
    <x v="0"/>
    <n v="1"/>
    <n v="2"/>
    <n v="2"/>
    <x v="1"/>
    <x v="0"/>
    <d v="2023-07-16T00:00:00"/>
  </r>
  <r>
    <s v="TXN_3858209"/>
    <x v="6"/>
    <n v="4"/>
    <n v="4"/>
    <n v="16"/>
    <x v="1"/>
    <x v="2"/>
    <d v="2023-02-22T00:00:00"/>
  </r>
  <r>
    <s v="TXN_2091733"/>
    <x v="3"/>
    <n v="1"/>
    <n v="5"/>
    <n v="5"/>
    <x v="2"/>
    <x v="1"/>
    <m/>
  </r>
  <r>
    <s v="TXN_8735480"/>
    <x v="8"/>
    <n v="5"/>
    <n v="1.5"/>
    <n v="7.5"/>
    <x v="1"/>
    <x v="2"/>
    <d v="2023-06-02T00:00:00"/>
  </r>
  <r>
    <s v="TXN_3829165"/>
    <x v="7"/>
    <n v="4"/>
    <n v="3"/>
    <n v="12"/>
    <x v="1"/>
    <x v="1"/>
    <d v="2023-06-15T00:00:00"/>
  </r>
  <r>
    <s v="TXN_3748616"/>
    <x v="0"/>
    <n v="2"/>
    <n v="2"/>
    <n v="4"/>
    <x v="0"/>
    <x v="1"/>
    <d v="2023-12-09T00:00:00"/>
  </r>
  <r>
    <s v="TXN_1993289"/>
    <x v="6"/>
    <n v="2"/>
    <n v="4"/>
    <n v="8"/>
    <x v="2"/>
    <x v="1"/>
    <d v="2023-04-18T00:00:00"/>
  </r>
  <r>
    <s v="TXN_2123367"/>
    <x v="2"/>
    <n v="2"/>
    <n v="1"/>
    <n v="2"/>
    <x v="2"/>
    <x v="2"/>
    <d v="2023-11-07T00:00:00"/>
  </r>
  <r>
    <s v="TXN_5266394"/>
    <x v="1"/>
    <n v="3"/>
    <n v="3"/>
    <n v="9"/>
    <x v="1"/>
    <x v="1"/>
    <d v="2023-10-28T00:00:00"/>
  </r>
  <r>
    <s v="TXN_5107946"/>
    <x v="1"/>
    <n v="4"/>
    <n v="3"/>
    <n v="12"/>
    <x v="0"/>
    <x v="2"/>
    <d v="2023-12-22T00:00:00"/>
  </r>
  <r>
    <s v="TXN_8035512"/>
    <x v="8"/>
    <n v="3"/>
    <n v="1.5"/>
    <n v="4.5"/>
    <x v="1"/>
    <x v="2"/>
    <d v="2023-10-29T00:00:00"/>
  </r>
  <r>
    <s v="TXN_8718498"/>
    <x v="1"/>
    <n v="5"/>
    <n v="3"/>
    <n v="15"/>
    <x v="0"/>
    <x v="2"/>
    <d v="2023-04-30T00:00:00"/>
  </r>
  <r>
    <s v="TXN_3955361"/>
    <x v="2"/>
    <n v="5"/>
    <n v="1"/>
    <n v="5"/>
    <x v="2"/>
    <x v="0"/>
    <d v="2023-04-02T00:00:00"/>
  </r>
  <r>
    <s v="TXN_9487821"/>
    <x v="5"/>
    <n v="1"/>
    <n v="5"/>
    <n v="5"/>
    <x v="3"/>
    <x v="0"/>
    <d v="2023-05-24T00:00:00"/>
  </r>
  <r>
    <s v="TXN_4132730"/>
    <x v="5"/>
    <n v="5"/>
    <n v="1"/>
    <n v="5"/>
    <x v="2"/>
    <x v="1"/>
    <d v="2023-03-12T00:00:00"/>
  </r>
  <r>
    <s v="TXN_8976658"/>
    <x v="8"/>
    <n v="2"/>
    <n v="1.5"/>
    <n v="3"/>
    <x v="0"/>
    <x v="1"/>
    <d v="2023-08-16T00:00:00"/>
  </r>
  <r>
    <s v="TXN_5455936"/>
    <x v="5"/>
    <n v="5"/>
    <n v="3"/>
    <n v="15"/>
    <x v="2"/>
    <x v="1"/>
    <d v="2023-10-28T00:00:00"/>
  </r>
  <r>
    <s v="TXN_2725602"/>
    <x v="7"/>
    <n v="5"/>
    <n v="3"/>
    <n v="15"/>
    <x v="0"/>
    <x v="2"/>
    <d v="2023-09-10T00:00:00"/>
  </r>
  <r>
    <s v="TXN_3011323"/>
    <x v="0"/>
    <n v="3"/>
    <n v="2"/>
    <n v="6"/>
    <x v="0"/>
    <x v="2"/>
    <d v="2023-03-07T00:00:00"/>
  </r>
  <r>
    <s v="TXN_6289610"/>
    <x v="7"/>
    <n v="3"/>
    <n v="3"/>
    <n v="9"/>
    <x v="1"/>
    <x v="0"/>
    <d v="2023-08-07T00:00:00"/>
  </r>
  <r>
    <s v="TXN_8268061"/>
    <x v="3"/>
    <n v="3"/>
    <n v="5"/>
    <n v="15"/>
    <x v="2"/>
    <x v="0"/>
    <d v="2023-08-20T00:00:00"/>
  </r>
  <r>
    <s v="TXN_5220895"/>
    <x v="3"/>
    <n v="5"/>
    <n v="5"/>
    <n v="25"/>
    <x v="1"/>
    <x v="1"/>
    <d v="2023-06-10T00:00:00"/>
  </r>
  <r>
    <s v="TXN_3085509"/>
    <x v="0"/>
    <n v="4"/>
    <n v="2"/>
    <n v="8"/>
    <x v="3"/>
    <x v="1"/>
    <d v="2023-04-15T00:00:00"/>
  </r>
  <r>
    <s v="TXN_9999113"/>
    <x v="7"/>
    <n v="4"/>
    <n v="3"/>
    <n v="12"/>
    <x v="1"/>
    <x v="0"/>
    <d v="2023-05-27T00:00:00"/>
  </r>
  <r>
    <s v="TXN_8779771"/>
    <x v="0"/>
    <n v="4"/>
    <n v="2"/>
    <n v="8"/>
    <x v="1"/>
    <x v="1"/>
    <d v="2023-07-25T00:00:00"/>
  </r>
  <r>
    <s v="TXN_9517146"/>
    <x v="5"/>
    <n v="5"/>
    <n v="5"/>
    <n v="25"/>
    <x v="1"/>
    <x v="0"/>
    <d v="2023-10-30T00:00:00"/>
  </r>
  <r>
    <s v="TXN_1621920"/>
    <x v="3"/>
    <n v="3"/>
    <n v="5"/>
    <n v="15"/>
    <x v="2"/>
    <x v="0"/>
    <d v="2023-10-28T00:00:00"/>
  </r>
  <r>
    <s v="TXN_3808639"/>
    <x v="7"/>
    <n v="2"/>
    <n v="3"/>
    <n v="6"/>
    <x v="3"/>
    <x v="0"/>
    <d v="2023-12-15T00:00:00"/>
  </r>
  <r>
    <s v="TXN_7028009"/>
    <x v="1"/>
    <n v="4"/>
    <n v="3"/>
    <n v="12"/>
    <x v="2"/>
    <x v="0"/>
    <m/>
  </r>
  <r>
    <s v="TXN_7447872"/>
    <x v="7"/>
    <n v="2"/>
    <n v="3"/>
    <n v="6"/>
    <x v="2"/>
    <x v="2"/>
    <m/>
  </r>
  <r>
    <s v="TXN_6955416"/>
    <x v="3"/>
    <n v="4"/>
    <n v="5"/>
    <n v="20"/>
    <x v="2"/>
    <x v="1"/>
    <d v="2023-02-25T00:00:00"/>
  </r>
  <r>
    <s v="TXN_3775339"/>
    <x v="2"/>
    <n v="3"/>
    <n v="1"/>
    <n v="3"/>
    <x v="0"/>
    <x v="2"/>
    <d v="2023-04-03T00:00:00"/>
  </r>
  <r>
    <s v="TXN_9547091"/>
    <x v="2"/>
    <n v="3"/>
    <n v="1"/>
    <n v="3"/>
    <x v="0"/>
    <x v="2"/>
    <d v="2023-10-08T00:00:00"/>
  </r>
  <r>
    <s v="TXN_4358673"/>
    <x v="2"/>
    <n v="5"/>
    <n v="1"/>
    <n v="5"/>
    <x v="3"/>
    <x v="0"/>
    <d v="2023-12-28T00:00:00"/>
  </r>
  <r>
    <s v="TXN_4174591"/>
    <x v="8"/>
    <n v="4"/>
    <n v="1.5"/>
    <n v="6"/>
    <x v="3"/>
    <x v="2"/>
    <d v="2023-08-30T00:00:00"/>
  </r>
  <r>
    <s v="TXN_3398520"/>
    <x v="6"/>
    <n v="1"/>
    <n v="4"/>
    <n v="4"/>
    <x v="2"/>
    <x v="1"/>
    <d v="2023-02-03T00:00:00"/>
  </r>
  <r>
    <s v="TXN_6171384"/>
    <x v="4"/>
    <n v="2"/>
    <n v="4"/>
    <n v="8"/>
    <x v="0"/>
    <x v="2"/>
    <d v="2023-09-12T00:00:00"/>
  </r>
  <r>
    <s v="TXN_2530938"/>
    <x v="4"/>
    <n v="5"/>
    <n v="4"/>
    <n v="20"/>
    <x v="2"/>
    <x v="0"/>
    <d v="2023-04-27T00:00:00"/>
  </r>
  <r>
    <s v="TXN_3314971"/>
    <x v="7"/>
    <n v="3"/>
    <n v="3"/>
    <n v="9"/>
    <x v="3"/>
    <x v="2"/>
    <d v="2023-05-04T00:00:00"/>
  </r>
  <r>
    <s v="TXN_3092382"/>
    <x v="0"/>
    <n v="5"/>
    <n v="2"/>
    <n v="10"/>
    <x v="3"/>
    <x v="2"/>
    <d v="2023-02-21T00:00:00"/>
  </r>
  <r>
    <s v="TXN_1001832"/>
    <x v="3"/>
    <n v="2"/>
    <n v="5"/>
    <n v="10"/>
    <x v="1"/>
    <x v="0"/>
    <m/>
  </r>
  <r>
    <s v="TXN_1535311"/>
    <x v="7"/>
    <n v="3"/>
    <n v="3"/>
    <n v="9"/>
    <x v="1"/>
    <x v="2"/>
    <d v="2023-03-16T00:00:00"/>
  </r>
  <r>
    <s v="TXN_2148617"/>
    <x v="7"/>
    <n v="3"/>
    <n v="3"/>
    <n v="9"/>
    <x v="3"/>
    <x v="2"/>
    <d v="2023-01-10T00:00:00"/>
  </r>
  <r>
    <s v="TXN_4633784"/>
    <x v="5"/>
    <n v="5"/>
    <n v="3"/>
    <n v="15"/>
    <x v="2"/>
    <x v="1"/>
    <d v="2023-02-06T00:00:00"/>
  </r>
  <r>
    <s v="TXN_4368416"/>
    <x v="3"/>
    <n v="2"/>
    <n v="5"/>
    <n v="10"/>
    <x v="0"/>
    <x v="0"/>
    <d v="2023-02-24T00:00:00"/>
  </r>
  <r>
    <s v="TXN_9790731"/>
    <x v="1"/>
    <n v="2"/>
    <n v="3"/>
    <n v="6"/>
    <x v="2"/>
    <x v="2"/>
    <d v="2023-06-02T00:00:00"/>
  </r>
  <r>
    <s v="TXN_9339456"/>
    <x v="0"/>
    <n v="3"/>
    <n v="2"/>
    <n v="6"/>
    <x v="2"/>
    <x v="0"/>
    <d v="2023-03-29T00:00:00"/>
  </r>
  <r>
    <s v="TXN_5179020"/>
    <x v="1"/>
    <n v="2"/>
    <n v="3"/>
    <n v="6"/>
    <x v="2"/>
    <x v="0"/>
    <d v="2023-06-18T00:00:00"/>
  </r>
  <r>
    <s v="TXN_6258471"/>
    <x v="0"/>
    <n v="5"/>
    <n v="2"/>
    <n v="10"/>
    <x v="3"/>
    <x v="1"/>
    <d v="2023-09-23T00:00:00"/>
  </r>
  <r>
    <s v="TXN_7945375"/>
    <x v="7"/>
    <n v="3"/>
    <n v="3"/>
    <n v="9"/>
    <x v="2"/>
    <x v="2"/>
    <d v="2023-01-14T00:00:00"/>
  </r>
  <r>
    <s v="TXN_4685453"/>
    <x v="8"/>
    <n v="4"/>
    <n v="1.5"/>
    <n v="6"/>
    <x v="1"/>
    <x v="1"/>
    <d v="2023-09-14T00:00:00"/>
  </r>
  <r>
    <s v="TXN_9646452"/>
    <x v="7"/>
    <n v="5"/>
    <n v="3"/>
    <n v="15"/>
    <x v="0"/>
    <x v="2"/>
    <d v="2023-09-16T00:00:00"/>
  </r>
  <r>
    <s v="TXN_9096052"/>
    <x v="4"/>
    <n v="4"/>
    <n v="4"/>
    <n v="16"/>
    <x v="0"/>
    <x v="0"/>
    <d v="2023-12-28T00:00:00"/>
  </r>
  <r>
    <s v="TXN_5916991"/>
    <x v="7"/>
    <n v="2"/>
    <n v="3"/>
    <n v="6"/>
    <x v="3"/>
    <x v="0"/>
    <d v="2023-02-06T00:00:00"/>
  </r>
  <r>
    <s v="TXN_3407169"/>
    <x v="6"/>
    <n v="2"/>
    <n v="4"/>
    <n v="8"/>
    <x v="1"/>
    <x v="1"/>
    <d v="2023-03-11T00:00:00"/>
  </r>
  <r>
    <s v="TXN_2277042"/>
    <x v="8"/>
    <n v="1"/>
    <n v="1.5"/>
    <n v="1.5"/>
    <x v="1"/>
    <x v="2"/>
    <d v="2023-04-08T00:00:00"/>
  </r>
  <r>
    <s v="TXN_9273729"/>
    <x v="8"/>
    <n v="1"/>
    <n v="1.5"/>
    <n v="1.5"/>
    <x v="2"/>
    <x v="2"/>
    <d v="2023-12-19T00:00:00"/>
  </r>
  <r>
    <s v="TXN_2181545"/>
    <x v="7"/>
    <n v="4"/>
    <n v="3"/>
    <n v="12"/>
    <x v="0"/>
    <x v="0"/>
    <d v="2023-07-14T00:00:00"/>
  </r>
  <r>
    <s v="TXN_1150033"/>
    <x v="7"/>
    <n v="5"/>
    <n v="3"/>
    <n v="15"/>
    <x v="1"/>
    <x v="1"/>
    <d v="2023-04-18T00:00:00"/>
  </r>
  <r>
    <s v="TXN_1443912"/>
    <x v="7"/>
    <n v="2"/>
    <n v="3"/>
    <n v="6"/>
    <x v="2"/>
    <x v="2"/>
    <d v="2023-06-08T00:00:00"/>
  </r>
  <r>
    <s v="TXN_8700451"/>
    <x v="8"/>
    <n v="5"/>
    <n v="1.5"/>
    <n v="7.5"/>
    <x v="0"/>
    <x v="0"/>
    <d v="2023-12-12T00:00:00"/>
  </r>
  <r>
    <s v="TXN_6380550"/>
    <x v="0"/>
    <n v="5"/>
    <n v="2"/>
    <n v="10"/>
    <x v="1"/>
    <x v="1"/>
    <d v="2023-01-05T00:00:00"/>
  </r>
  <r>
    <s v="TXN_4885518"/>
    <x v="3"/>
    <n v="3"/>
    <n v="5"/>
    <n v="15"/>
    <x v="0"/>
    <x v="1"/>
    <d v="2023-06-10T00:00:00"/>
  </r>
  <r>
    <s v="TXN_3972167"/>
    <x v="6"/>
    <n v="5"/>
    <n v="4"/>
    <n v="20"/>
    <x v="2"/>
    <x v="1"/>
    <d v="2023-01-23T00:00:00"/>
  </r>
  <r>
    <s v="TXN_4878378"/>
    <x v="8"/>
    <n v="1"/>
    <n v="1.5"/>
    <n v="1.5"/>
    <x v="0"/>
    <x v="2"/>
    <d v="2023-02-20T00:00:00"/>
  </r>
  <r>
    <s v="TXN_2484241"/>
    <x v="1"/>
    <n v="3"/>
    <n v="3"/>
    <n v="9"/>
    <x v="3"/>
    <x v="2"/>
    <d v="2023-07-19T00:00:00"/>
  </r>
  <r>
    <s v="TXN_2368126"/>
    <x v="1"/>
    <n v="5"/>
    <n v="3"/>
    <n v="15"/>
    <x v="2"/>
    <x v="1"/>
    <d v="2023-12-06T00:00:00"/>
  </r>
  <r>
    <s v="TXN_7943008"/>
    <x v="0"/>
    <n v="1"/>
    <n v="2"/>
    <n v="2"/>
    <x v="0"/>
    <x v="2"/>
    <m/>
  </r>
  <r>
    <s v="TXN_8495063"/>
    <x v="7"/>
    <n v="1"/>
    <n v="3"/>
    <n v="3"/>
    <x v="1"/>
    <x v="2"/>
    <d v="2023-05-31T00:00:00"/>
  </r>
  <r>
    <s v="TXN_4811133"/>
    <x v="3"/>
    <n v="2"/>
    <n v="5"/>
    <n v="10"/>
    <x v="1"/>
    <x v="2"/>
    <d v="2023-08-11T00:00:00"/>
  </r>
  <r>
    <s v="TXN_8729570"/>
    <x v="8"/>
    <n v="5"/>
    <n v="1.5"/>
    <n v="7.5"/>
    <x v="2"/>
    <x v="1"/>
    <d v="2023-09-03T00:00:00"/>
  </r>
  <r>
    <s v="TXN_7623634"/>
    <x v="1"/>
    <n v="2"/>
    <n v="3"/>
    <n v="6"/>
    <x v="0"/>
    <x v="1"/>
    <d v="2023-07-11T00:00:00"/>
  </r>
  <r>
    <s v="TXN_9336980"/>
    <x v="3"/>
    <n v="4"/>
    <n v="5"/>
    <n v="20"/>
    <x v="1"/>
    <x v="1"/>
    <d v="2023-06-06T00:00:00"/>
  </r>
  <r>
    <s v="TXN_3424331"/>
    <x v="1"/>
    <n v="4"/>
    <n v="3"/>
    <n v="12"/>
    <x v="2"/>
    <x v="2"/>
    <d v="2023-01-18T00:00:00"/>
  </r>
  <r>
    <s v="TXN_5072031"/>
    <x v="1"/>
    <n v="2"/>
    <n v="3"/>
    <n v="6"/>
    <x v="1"/>
    <x v="0"/>
    <d v="2023-03-23T00:00:00"/>
  </r>
  <r>
    <s v="TXN_8687151"/>
    <x v="3"/>
    <n v="5"/>
    <n v="5"/>
    <n v="25"/>
    <x v="1"/>
    <x v="2"/>
    <d v="2023-06-10T00:00:00"/>
  </r>
  <r>
    <s v="TXN_4031509"/>
    <x v="5"/>
    <n v="4"/>
    <n v="4"/>
    <n v="16"/>
    <x v="0"/>
    <x v="0"/>
    <d v="2023-01-04T00:00:00"/>
  </r>
  <r>
    <s v="TXN_5265095"/>
    <x v="0"/>
    <n v="1"/>
    <n v="2"/>
    <n v="2"/>
    <x v="2"/>
    <x v="2"/>
    <d v="2023-06-23T00:00:00"/>
  </r>
  <r>
    <s v="TXN_6541415"/>
    <x v="5"/>
    <n v="4"/>
    <n v="3"/>
    <n v="12"/>
    <x v="1"/>
    <x v="1"/>
    <d v="2023-11-25T00:00:00"/>
  </r>
  <r>
    <s v="TXN_4108138"/>
    <x v="0"/>
    <n v="5"/>
    <n v="2"/>
    <n v="10"/>
    <x v="1"/>
    <x v="2"/>
    <d v="2023-08-03T00:00:00"/>
  </r>
  <r>
    <s v="TXN_1909796"/>
    <x v="4"/>
    <n v="2"/>
    <n v="4"/>
    <n v="8"/>
    <x v="2"/>
    <x v="0"/>
    <d v="2023-07-12T00:00:00"/>
  </r>
  <r>
    <s v="TXN_1928241"/>
    <x v="0"/>
    <n v="3"/>
    <n v="2"/>
    <n v="6"/>
    <x v="1"/>
    <x v="1"/>
    <d v="2023-04-30T00:00:00"/>
  </r>
  <r>
    <s v="TXN_4283157"/>
    <x v="3"/>
    <n v="5"/>
    <n v="5"/>
    <n v="25"/>
    <x v="3"/>
    <x v="1"/>
    <d v="2023-11-25T00:00:00"/>
  </r>
  <r>
    <s v="TXN_8013032"/>
    <x v="0"/>
    <n v="2"/>
    <n v="2"/>
    <n v="4"/>
    <x v="0"/>
    <x v="2"/>
    <d v="2023-03-07T00:00:00"/>
  </r>
  <r>
    <s v="TXN_8301424"/>
    <x v="7"/>
    <n v="2"/>
    <n v="3"/>
    <n v="6"/>
    <x v="2"/>
    <x v="2"/>
    <d v="2023-06-27T00:00:00"/>
  </r>
  <r>
    <s v="TXN_1093800"/>
    <x v="6"/>
    <n v="3"/>
    <n v="4"/>
    <n v="12"/>
    <x v="1"/>
    <x v="0"/>
    <m/>
  </r>
  <r>
    <s v="TXN_7965998"/>
    <x v="7"/>
    <n v="1"/>
    <n v="3"/>
    <n v="3"/>
    <x v="0"/>
    <x v="1"/>
    <d v="2023-11-02T00:00:00"/>
  </r>
  <r>
    <s v="TXN_9238666"/>
    <x v="2"/>
    <n v="1"/>
    <n v="1"/>
    <n v="1"/>
    <x v="2"/>
    <x v="0"/>
    <d v="2023-07-31T00:00:00"/>
  </r>
  <r>
    <s v="TXN_1631695"/>
    <x v="8"/>
    <n v="2"/>
    <n v="1.5"/>
    <n v="3"/>
    <x v="2"/>
    <x v="1"/>
    <d v="2023-09-19T00:00:00"/>
  </r>
  <r>
    <s v="TXN_1435086"/>
    <x v="1"/>
    <n v="5"/>
    <n v="3"/>
    <n v="15"/>
    <x v="2"/>
    <x v="2"/>
    <d v="2023-02-09T00:00:00"/>
  </r>
  <r>
    <s v="TXN_3226832"/>
    <x v="5"/>
    <n v="5"/>
    <n v="4"/>
    <n v="20"/>
    <x v="1"/>
    <x v="2"/>
    <d v="2023-09-04T00:00:00"/>
  </r>
  <r>
    <s v="TXN_1648671"/>
    <x v="6"/>
    <n v="3"/>
    <n v="4"/>
    <n v="12"/>
    <x v="1"/>
    <x v="0"/>
    <d v="2023-05-21T00:00:00"/>
  </r>
  <r>
    <s v="TXN_4062737"/>
    <x v="1"/>
    <n v="3"/>
    <n v="3"/>
    <n v="9"/>
    <x v="1"/>
    <x v="1"/>
    <d v="2023-07-02T00:00:00"/>
  </r>
  <r>
    <s v="TXN_3494565"/>
    <x v="5"/>
    <n v="2"/>
    <n v="4"/>
    <n v="8"/>
    <x v="2"/>
    <x v="2"/>
    <d v="2023-07-10T00:00:00"/>
  </r>
  <r>
    <s v="TXN_9249507"/>
    <x v="2"/>
    <n v="4"/>
    <n v="1"/>
    <n v="4"/>
    <x v="0"/>
    <x v="1"/>
    <d v="2023-11-21T00:00:00"/>
  </r>
  <r>
    <s v="TXN_4689500"/>
    <x v="6"/>
    <n v="4"/>
    <n v="4"/>
    <n v="16"/>
    <x v="2"/>
    <x v="2"/>
    <d v="2023-12-02T00:00:00"/>
  </r>
  <r>
    <s v="TXN_8989148"/>
    <x v="8"/>
    <n v="2"/>
    <n v="1.5"/>
    <n v="3"/>
    <x v="2"/>
    <x v="2"/>
    <d v="2023-11-25T00:00:00"/>
  </r>
  <r>
    <s v="TXN_8316826"/>
    <x v="0"/>
    <n v="3"/>
    <n v="2"/>
    <n v="6"/>
    <x v="2"/>
    <x v="1"/>
    <d v="2023-04-17T00:00:00"/>
  </r>
  <r>
    <s v="TXN_9836934"/>
    <x v="2"/>
    <n v="3"/>
    <n v="1"/>
    <n v="3"/>
    <x v="3"/>
    <x v="1"/>
    <d v="2023-03-13T00:00:00"/>
  </r>
  <r>
    <s v="TXN_8005489"/>
    <x v="1"/>
    <n v="3"/>
    <n v="3"/>
    <n v="9"/>
    <x v="2"/>
    <x v="1"/>
    <d v="2023-08-12T00:00:00"/>
  </r>
  <r>
    <s v="TXN_6463132"/>
    <x v="2"/>
    <n v="5"/>
    <n v="1"/>
    <n v="5"/>
    <x v="0"/>
    <x v="0"/>
    <m/>
  </r>
  <r>
    <s v="TXN_3925836"/>
    <x v="2"/>
    <n v="3"/>
    <n v="1"/>
    <n v="3"/>
    <x v="3"/>
    <x v="1"/>
    <d v="2023-02-16T00:00:00"/>
  </r>
  <r>
    <s v="TXN_1896955"/>
    <x v="3"/>
    <n v="5"/>
    <n v="5"/>
    <n v="25"/>
    <x v="2"/>
    <x v="1"/>
    <d v="2023-09-23T00:00:00"/>
  </r>
  <r>
    <s v="TXN_5075974"/>
    <x v="4"/>
    <n v="4"/>
    <n v="4"/>
    <n v="16"/>
    <x v="3"/>
    <x v="2"/>
    <d v="2023-04-11T00:00:00"/>
  </r>
  <r>
    <s v="TXN_3978874"/>
    <x v="4"/>
    <n v="5"/>
    <n v="4"/>
    <n v="20"/>
    <x v="0"/>
    <x v="1"/>
    <d v="2023-03-13T00:00:00"/>
  </r>
  <r>
    <s v="TXN_8955912"/>
    <x v="6"/>
    <n v="1"/>
    <n v="4"/>
    <n v="4"/>
    <x v="2"/>
    <x v="2"/>
    <d v="2023-11-07T00:00:00"/>
  </r>
  <r>
    <s v="TXN_1136554"/>
    <x v="4"/>
    <n v="3"/>
    <n v="4"/>
    <n v="12"/>
    <x v="2"/>
    <x v="0"/>
    <d v="2023-03-26T00:00:00"/>
  </r>
  <r>
    <s v="TXN_8007337"/>
    <x v="1"/>
    <n v="2"/>
    <n v="3"/>
    <n v="6"/>
    <x v="3"/>
    <x v="0"/>
    <d v="2023-11-01T00:00:00"/>
  </r>
  <r>
    <s v="TXN_8129834"/>
    <x v="3"/>
    <n v="1"/>
    <n v="5"/>
    <n v="5"/>
    <x v="1"/>
    <x v="2"/>
    <d v="2023-07-22T00:00:00"/>
  </r>
  <r>
    <s v="TXN_3831848"/>
    <x v="5"/>
    <n v="1"/>
    <n v="4"/>
    <n v="4"/>
    <x v="3"/>
    <x v="0"/>
    <d v="2023-11-03T00:00:00"/>
  </r>
  <r>
    <s v="TXN_5365809"/>
    <x v="1"/>
    <n v="3"/>
    <n v="3"/>
    <n v="9"/>
    <x v="1"/>
    <x v="1"/>
    <d v="2023-09-14T00:00:00"/>
  </r>
  <r>
    <s v="TXN_8166407"/>
    <x v="4"/>
    <n v="2"/>
    <n v="4"/>
    <n v="8"/>
    <x v="2"/>
    <x v="2"/>
    <d v="2023-07-26T00:00:00"/>
  </r>
  <r>
    <s v="TXN_6629480"/>
    <x v="4"/>
    <n v="5"/>
    <n v="4"/>
    <n v="20"/>
    <x v="0"/>
    <x v="1"/>
    <d v="2023-02-28T00:00:00"/>
  </r>
  <r>
    <s v="TXN_3833797"/>
    <x v="0"/>
    <n v="4"/>
    <n v="2"/>
    <n v="8"/>
    <x v="2"/>
    <x v="1"/>
    <d v="2023-01-27T00:00:00"/>
  </r>
  <r>
    <s v="TXN_2643815"/>
    <x v="2"/>
    <n v="3"/>
    <n v="1"/>
    <n v="3"/>
    <x v="2"/>
    <x v="2"/>
    <d v="2023-12-06T00:00:00"/>
  </r>
  <r>
    <s v="TXN_2996519"/>
    <x v="1"/>
    <n v="5"/>
    <n v="3"/>
    <n v="15"/>
    <x v="1"/>
    <x v="2"/>
    <d v="2023-01-19T00:00:00"/>
  </r>
  <r>
    <s v="TXN_8810894"/>
    <x v="4"/>
    <n v="1"/>
    <n v="4"/>
    <n v="4"/>
    <x v="2"/>
    <x v="2"/>
    <d v="2023-02-20T00:00:00"/>
  </r>
  <r>
    <s v="TXN_7412722"/>
    <x v="7"/>
    <n v="4"/>
    <n v="3"/>
    <n v="12"/>
    <x v="1"/>
    <x v="1"/>
    <d v="2023-04-07T00:00:00"/>
  </r>
  <r>
    <s v="TXN_3937509"/>
    <x v="4"/>
    <n v="2"/>
    <n v="4"/>
    <n v="8"/>
    <x v="2"/>
    <x v="1"/>
    <d v="2023-03-20T00:00:00"/>
  </r>
  <r>
    <s v="TXN_6000201"/>
    <x v="2"/>
    <n v="3"/>
    <n v="1"/>
    <n v="3"/>
    <x v="1"/>
    <x v="0"/>
    <d v="2023-02-16T00:00:00"/>
  </r>
  <r>
    <s v="TXN_1714274"/>
    <x v="2"/>
    <n v="4"/>
    <n v="1"/>
    <n v="4"/>
    <x v="2"/>
    <x v="1"/>
    <d v="2023-12-27T00:00:00"/>
  </r>
  <r>
    <s v="TXN_3800182"/>
    <x v="8"/>
    <n v="2"/>
    <n v="1.5"/>
    <n v="3"/>
    <x v="1"/>
    <x v="1"/>
    <d v="2023-10-26T00:00:00"/>
  </r>
  <r>
    <s v="TXN_5115080"/>
    <x v="5"/>
    <n v="5"/>
    <n v="3"/>
    <n v="15"/>
    <x v="0"/>
    <x v="2"/>
    <d v="2023-02-18T00:00:00"/>
  </r>
  <r>
    <s v="TXN_9788956"/>
    <x v="7"/>
    <n v="4"/>
    <n v="3"/>
    <n v="12"/>
    <x v="2"/>
    <x v="2"/>
    <d v="2023-04-11T00:00:00"/>
  </r>
  <r>
    <s v="TXN_6311602"/>
    <x v="7"/>
    <n v="3"/>
    <n v="3"/>
    <n v="9"/>
    <x v="0"/>
    <x v="2"/>
    <d v="2023-05-15T00:00:00"/>
  </r>
  <r>
    <s v="TXN_2950680"/>
    <x v="0"/>
    <n v="2"/>
    <n v="2"/>
    <n v="4"/>
    <x v="0"/>
    <x v="0"/>
    <d v="2023-12-10T00:00:00"/>
  </r>
  <r>
    <s v="TXN_6749847"/>
    <x v="1"/>
    <n v="2"/>
    <n v="3"/>
    <n v="6"/>
    <x v="0"/>
    <x v="2"/>
    <d v="2023-08-15T00:00:00"/>
  </r>
  <r>
    <s v="TXN_2143187"/>
    <x v="4"/>
    <n v="1"/>
    <n v="4"/>
    <n v="4"/>
    <x v="2"/>
    <x v="1"/>
    <d v="2023-04-21T00:00:00"/>
  </r>
  <r>
    <s v="TXN_8964522"/>
    <x v="5"/>
    <n v="3"/>
    <n v="3"/>
    <n v="9"/>
    <x v="0"/>
    <x v="0"/>
    <d v="2023-10-28T00:00:00"/>
  </r>
  <r>
    <s v="TXN_4088917"/>
    <x v="0"/>
    <n v="3"/>
    <n v="2"/>
    <n v="6"/>
    <x v="1"/>
    <x v="0"/>
    <d v="2023-02-04T00:00:00"/>
  </r>
  <r>
    <s v="TXN_3779366"/>
    <x v="2"/>
    <n v="1"/>
    <n v="1"/>
    <n v="1"/>
    <x v="3"/>
    <x v="1"/>
    <d v="2023-04-15T00:00:00"/>
  </r>
  <r>
    <s v="TXN_7724048"/>
    <x v="4"/>
    <n v="1"/>
    <n v="4"/>
    <n v="4"/>
    <x v="2"/>
    <x v="1"/>
    <d v="2023-11-12T00:00:00"/>
  </r>
  <r>
    <s v="TXN_2698591"/>
    <x v="8"/>
    <n v="5"/>
    <n v="1.5"/>
    <n v="7.5"/>
    <x v="2"/>
    <x v="2"/>
    <d v="2023-08-05T00:00:00"/>
  </r>
  <r>
    <s v="TXN_3171373"/>
    <x v="4"/>
    <n v="3"/>
    <n v="4"/>
    <n v="12"/>
    <x v="0"/>
    <x v="1"/>
    <d v="2023-05-10T00:00:00"/>
  </r>
  <r>
    <s v="TXN_4129248"/>
    <x v="6"/>
    <n v="2"/>
    <n v="4"/>
    <n v="8"/>
    <x v="0"/>
    <x v="2"/>
    <m/>
  </r>
  <r>
    <s v="TXN_6498163"/>
    <x v="4"/>
    <n v="5"/>
    <n v="4"/>
    <n v="20"/>
    <x v="2"/>
    <x v="1"/>
    <d v="2023-07-15T00:00:00"/>
  </r>
  <r>
    <s v="TXN_6717827"/>
    <x v="5"/>
    <n v="3"/>
    <n v="5"/>
    <n v="15"/>
    <x v="3"/>
    <x v="2"/>
    <d v="2023-11-15T00:00:00"/>
  </r>
  <r>
    <s v="TXN_9089898"/>
    <x v="3"/>
    <n v="3"/>
    <n v="5"/>
    <n v="15"/>
    <x v="0"/>
    <x v="2"/>
    <d v="2023-01-11T00:00:00"/>
  </r>
  <r>
    <s v="TXN_8587583"/>
    <x v="1"/>
    <n v="1"/>
    <n v="3"/>
    <n v="3"/>
    <x v="2"/>
    <x v="2"/>
    <d v="2023-10-01T00:00:00"/>
  </r>
  <r>
    <s v="TXN_8693704"/>
    <x v="3"/>
    <n v="5"/>
    <n v="5"/>
    <n v="25"/>
    <x v="1"/>
    <x v="1"/>
    <d v="2023-05-04T00:00:00"/>
  </r>
  <r>
    <s v="TXN_3857960"/>
    <x v="3"/>
    <n v="4"/>
    <n v="5"/>
    <n v="20"/>
    <x v="1"/>
    <x v="1"/>
    <d v="2023-04-26T00:00:00"/>
  </r>
  <r>
    <s v="TXN_3499124"/>
    <x v="5"/>
    <n v="4"/>
    <n v="4"/>
    <n v="16"/>
    <x v="0"/>
    <x v="2"/>
    <d v="2023-08-25T00:00:00"/>
  </r>
  <r>
    <s v="TXN_9250710"/>
    <x v="3"/>
    <n v="1"/>
    <n v="5"/>
    <n v="5"/>
    <x v="1"/>
    <x v="1"/>
    <d v="2023-05-28T00:00:00"/>
  </r>
  <r>
    <s v="TXN_7058377"/>
    <x v="7"/>
    <n v="1"/>
    <n v="3"/>
    <n v="3"/>
    <x v="2"/>
    <x v="0"/>
    <d v="2023-04-30T00:00:00"/>
  </r>
  <r>
    <s v="TXN_6766492"/>
    <x v="3"/>
    <n v="1"/>
    <n v="5"/>
    <n v="5"/>
    <x v="2"/>
    <x v="2"/>
    <d v="2023-01-14T00:00:00"/>
  </r>
  <r>
    <s v="TXN_9879996"/>
    <x v="0"/>
    <n v="4"/>
    <n v="2"/>
    <n v="8"/>
    <x v="3"/>
    <x v="1"/>
    <d v="2023-03-01T00:00:00"/>
  </r>
  <r>
    <s v="TXN_4291940"/>
    <x v="1"/>
    <n v="3"/>
    <n v="3"/>
    <n v="9"/>
    <x v="0"/>
    <x v="1"/>
    <d v="2023-11-13T00:00:00"/>
  </r>
  <r>
    <s v="TXN_7433461"/>
    <x v="2"/>
    <n v="2"/>
    <n v="1"/>
    <n v="2"/>
    <x v="3"/>
    <x v="2"/>
    <d v="2023-07-09T00:00:00"/>
  </r>
  <r>
    <s v="TXN_4068262"/>
    <x v="3"/>
    <n v="2"/>
    <n v="5"/>
    <n v="10"/>
    <x v="0"/>
    <x v="2"/>
    <d v="2023-05-13T00:00:00"/>
  </r>
  <r>
    <s v="TXN_5761073"/>
    <x v="2"/>
    <n v="1"/>
    <n v="1"/>
    <n v="1"/>
    <x v="1"/>
    <x v="1"/>
    <m/>
  </r>
  <r>
    <s v="TXN_5047447"/>
    <x v="3"/>
    <n v="1"/>
    <n v="5"/>
    <n v="5"/>
    <x v="3"/>
    <x v="0"/>
    <d v="2023-12-27T00:00:00"/>
  </r>
  <r>
    <s v="TXN_6623508"/>
    <x v="2"/>
    <n v="5"/>
    <n v="1"/>
    <n v="5"/>
    <x v="3"/>
    <x v="0"/>
    <d v="2023-05-18T00:00:00"/>
  </r>
  <r>
    <s v="TXN_2651216"/>
    <x v="5"/>
    <n v="3"/>
    <n v="4"/>
    <n v="12"/>
    <x v="2"/>
    <x v="2"/>
    <d v="2023-04-04T00:00:00"/>
  </r>
  <r>
    <s v="TXN_9350833"/>
    <x v="1"/>
    <n v="1"/>
    <n v="3"/>
    <n v="3"/>
    <x v="1"/>
    <x v="0"/>
    <d v="2023-01-17T00:00:00"/>
  </r>
  <r>
    <s v="TXN_8377564"/>
    <x v="1"/>
    <n v="5"/>
    <n v="3"/>
    <n v="15"/>
    <x v="2"/>
    <x v="1"/>
    <d v="2023-07-14T00:00:00"/>
  </r>
  <r>
    <s v="TXN_7031118"/>
    <x v="3"/>
    <n v="1"/>
    <n v="5"/>
    <n v="5"/>
    <x v="0"/>
    <x v="2"/>
    <d v="2023-03-29T00:00:00"/>
  </r>
  <r>
    <s v="TXN_2230167"/>
    <x v="1"/>
    <n v="4"/>
    <n v="3"/>
    <n v="12"/>
    <x v="3"/>
    <x v="0"/>
    <d v="2023-09-22T00:00:00"/>
  </r>
  <r>
    <s v="TXN_6446616"/>
    <x v="8"/>
    <n v="3"/>
    <n v="1.5"/>
    <n v="4.5"/>
    <x v="2"/>
    <x v="2"/>
    <d v="2023-09-30T00:00:00"/>
  </r>
  <r>
    <s v="TXN_1721827"/>
    <x v="1"/>
    <n v="4"/>
    <n v="3"/>
    <n v="12"/>
    <x v="3"/>
    <x v="2"/>
    <d v="2023-08-22T00:00:00"/>
  </r>
  <r>
    <s v="TXN_6334895"/>
    <x v="4"/>
    <n v="1"/>
    <n v="4"/>
    <n v="4"/>
    <x v="0"/>
    <x v="2"/>
    <d v="2023-07-27T00:00:00"/>
  </r>
  <r>
    <s v="TXN_7077119"/>
    <x v="5"/>
    <n v="1"/>
    <n v="4"/>
    <n v="4"/>
    <x v="3"/>
    <x v="1"/>
    <d v="2023-12-30T00:00:00"/>
  </r>
  <r>
    <s v="TXN_8562645"/>
    <x v="3"/>
    <m/>
    <n v="5"/>
    <m/>
    <x v="2"/>
    <x v="1"/>
    <d v="2023-05-18T00:00:00"/>
  </r>
  <r>
    <s v="TXN_4700144"/>
    <x v="0"/>
    <n v="4"/>
    <n v="2"/>
    <n v="8"/>
    <x v="2"/>
    <x v="1"/>
    <d v="2023-12-21T00:00:00"/>
  </r>
  <r>
    <s v="TXN_5526852"/>
    <x v="6"/>
    <n v="5"/>
    <n v="4"/>
    <n v="20"/>
    <x v="3"/>
    <x v="1"/>
    <d v="2023-09-28T00:00:00"/>
  </r>
  <r>
    <s v="TXN_6846228"/>
    <x v="3"/>
    <n v="3"/>
    <n v="5"/>
    <n v="15"/>
    <x v="2"/>
    <x v="1"/>
    <d v="2023-11-16T00:00:00"/>
  </r>
  <r>
    <s v="TXN_8570890"/>
    <x v="7"/>
    <n v="4"/>
    <n v="3"/>
    <n v="12"/>
    <x v="2"/>
    <x v="2"/>
    <d v="2023-04-14T00:00:00"/>
  </r>
  <r>
    <s v="TXN_3205009"/>
    <x v="5"/>
    <n v="2"/>
    <n v="1.5"/>
    <n v="3"/>
    <x v="1"/>
    <x v="1"/>
    <d v="2023-01-03T00:00:00"/>
  </r>
  <r>
    <s v="TXN_3786188"/>
    <x v="8"/>
    <n v="3"/>
    <n v="1.5"/>
    <n v="4.5"/>
    <x v="0"/>
    <x v="1"/>
    <d v="2023-10-20T00:00:00"/>
  </r>
  <r>
    <s v="TXN_4530804"/>
    <x v="0"/>
    <n v="4"/>
    <n v="2"/>
    <n v="8"/>
    <x v="2"/>
    <x v="2"/>
    <d v="2023-01-12T00:00:00"/>
  </r>
  <r>
    <s v="TXN_9642066"/>
    <x v="6"/>
    <n v="3"/>
    <n v="4"/>
    <n v="12"/>
    <x v="0"/>
    <x v="1"/>
    <d v="2023-08-31T00:00:00"/>
  </r>
  <r>
    <s v="TXN_7328294"/>
    <x v="7"/>
    <n v="2"/>
    <n v="3"/>
    <n v="6"/>
    <x v="1"/>
    <x v="2"/>
    <d v="2023-07-07T00:00:00"/>
  </r>
  <r>
    <s v="TXN_1908636"/>
    <x v="8"/>
    <n v="2"/>
    <n v="1.5"/>
    <n v="3"/>
    <x v="2"/>
    <x v="2"/>
    <m/>
  </r>
  <r>
    <s v="TXN_9238066"/>
    <x v="5"/>
    <n v="5"/>
    <n v="1.5"/>
    <n v="7.5"/>
    <x v="3"/>
    <x v="1"/>
    <d v="2023-09-15T00:00:00"/>
  </r>
  <r>
    <s v="TXN_5415901"/>
    <x v="1"/>
    <n v="2"/>
    <n v="3"/>
    <n v="6"/>
    <x v="3"/>
    <x v="2"/>
    <d v="2023-10-21T00:00:00"/>
  </r>
  <r>
    <s v="TXN_6714420"/>
    <x v="5"/>
    <n v="2"/>
    <n v="3"/>
    <n v="6"/>
    <x v="0"/>
    <x v="0"/>
    <d v="2023-03-30T00:00:00"/>
  </r>
  <r>
    <s v="TXN_6616971"/>
    <x v="7"/>
    <n v="2"/>
    <n v="3"/>
    <n v="6"/>
    <x v="3"/>
    <x v="0"/>
    <d v="2023-09-02T00:00:00"/>
  </r>
  <r>
    <s v="TXN_7803615"/>
    <x v="3"/>
    <n v="3"/>
    <n v="5"/>
    <n v="15"/>
    <x v="1"/>
    <x v="1"/>
    <d v="2023-12-13T00:00:00"/>
  </r>
  <r>
    <s v="TXN_7549542"/>
    <x v="2"/>
    <n v="5"/>
    <n v="1"/>
    <n v="5"/>
    <x v="2"/>
    <x v="0"/>
    <m/>
  </r>
  <r>
    <s v="TXN_3544789"/>
    <x v="8"/>
    <n v="4"/>
    <n v="1.5"/>
    <n v="6"/>
    <x v="2"/>
    <x v="1"/>
    <d v="2023-07-14T00:00:00"/>
  </r>
  <r>
    <s v="TXN_1583597"/>
    <x v="3"/>
    <n v="1"/>
    <n v="5"/>
    <n v="5"/>
    <x v="1"/>
    <x v="1"/>
    <d v="2023-05-10T00:00:00"/>
  </r>
  <r>
    <s v="TXN_8472308"/>
    <x v="2"/>
    <n v="2"/>
    <n v="1"/>
    <n v="2"/>
    <x v="3"/>
    <x v="0"/>
    <d v="2023-08-19T00:00:00"/>
  </r>
  <r>
    <s v="TXN_1967565"/>
    <x v="4"/>
    <n v="5"/>
    <n v="4"/>
    <n v="20"/>
    <x v="0"/>
    <x v="0"/>
    <d v="2023-03-31T00:00:00"/>
  </r>
  <r>
    <s v="TXN_2029497"/>
    <x v="6"/>
    <n v="2"/>
    <n v="4"/>
    <n v="8"/>
    <x v="1"/>
    <x v="0"/>
    <d v="2023-01-06T00:00:00"/>
  </r>
  <r>
    <s v="TXN_8929774"/>
    <x v="5"/>
    <n v="3"/>
    <n v="3"/>
    <n v="9"/>
    <x v="1"/>
    <x v="2"/>
    <d v="2023-10-02T00:00:00"/>
  </r>
  <r>
    <s v="TXN_5003018"/>
    <x v="2"/>
    <n v="4"/>
    <n v="1"/>
    <n v="4"/>
    <x v="3"/>
    <x v="2"/>
    <m/>
  </r>
  <r>
    <s v="TXN_7852990"/>
    <x v="6"/>
    <n v="5"/>
    <n v="4"/>
    <n v="20"/>
    <x v="3"/>
    <x v="0"/>
    <d v="2023-07-10T00:00:00"/>
  </r>
  <r>
    <s v="TXN_2534066"/>
    <x v="3"/>
    <n v="2"/>
    <n v="5"/>
    <n v="10"/>
    <x v="1"/>
    <x v="2"/>
    <d v="2023-10-13T00:00:00"/>
  </r>
  <r>
    <s v="TXN_2059647"/>
    <x v="8"/>
    <n v="1"/>
    <n v="1.5"/>
    <n v="1.5"/>
    <x v="3"/>
    <x v="1"/>
    <d v="2023-05-29T00:00:00"/>
  </r>
  <r>
    <s v="TXN_2485183"/>
    <x v="4"/>
    <n v="5"/>
    <n v="4"/>
    <n v="20"/>
    <x v="1"/>
    <x v="1"/>
    <d v="2023-07-07T00:00:00"/>
  </r>
  <r>
    <s v="TXN_7374846"/>
    <x v="6"/>
    <n v="1"/>
    <n v="4"/>
    <n v="4"/>
    <x v="0"/>
    <x v="2"/>
    <d v="2023-05-29T00:00:00"/>
  </r>
  <r>
    <s v="TXN_9401522"/>
    <x v="6"/>
    <n v="4"/>
    <n v="4"/>
    <n v="16"/>
    <x v="3"/>
    <x v="1"/>
    <d v="2023-11-16T00:00:00"/>
  </r>
  <r>
    <s v="TXN_8250651"/>
    <x v="6"/>
    <n v="4"/>
    <n v="4"/>
    <n v="16"/>
    <x v="3"/>
    <x v="1"/>
    <d v="2023-03-13T00:00:00"/>
  </r>
  <r>
    <s v="TXN_7191245"/>
    <x v="1"/>
    <n v="4"/>
    <n v="3"/>
    <n v="12"/>
    <x v="2"/>
    <x v="0"/>
    <d v="2023-05-22T00:00:00"/>
  </r>
  <r>
    <s v="TXN_8982764"/>
    <x v="1"/>
    <n v="5"/>
    <n v="3"/>
    <n v="15"/>
    <x v="3"/>
    <x v="0"/>
    <d v="2023-11-23T00:00:00"/>
  </r>
  <r>
    <s v="TXN_8669422"/>
    <x v="5"/>
    <n v="4"/>
    <n v="3"/>
    <n v="12"/>
    <x v="1"/>
    <x v="0"/>
    <d v="2023-10-15T00:00:00"/>
  </r>
  <r>
    <s v="TXN_1153869"/>
    <x v="4"/>
    <n v="5"/>
    <n v="4"/>
    <n v="20"/>
    <x v="0"/>
    <x v="0"/>
    <d v="2023-11-03T00:00:00"/>
  </r>
  <r>
    <s v="TXN_5043774"/>
    <x v="6"/>
    <n v="3"/>
    <n v="4"/>
    <n v="12"/>
    <x v="1"/>
    <x v="2"/>
    <d v="2023-06-08T00:00:00"/>
  </r>
  <r>
    <s v="TXN_1746320"/>
    <x v="3"/>
    <n v="1"/>
    <n v="5"/>
    <n v="5"/>
    <x v="1"/>
    <x v="2"/>
    <d v="2023-11-14T00:00:00"/>
  </r>
  <r>
    <s v="TXN_1077129"/>
    <x v="2"/>
    <n v="1"/>
    <n v="1"/>
    <n v="1"/>
    <x v="2"/>
    <x v="1"/>
    <d v="2023-09-12T00:00:00"/>
  </r>
  <r>
    <s v="TXN_4865338"/>
    <x v="6"/>
    <n v="4"/>
    <n v="4"/>
    <n v="16"/>
    <x v="2"/>
    <x v="1"/>
    <d v="2023-11-26T00:00:00"/>
  </r>
  <r>
    <s v="TXN_5616583"/>
    <x v="4"/>
    <n v="1"/>
    <n v="4"/>
    <n v="4"/>
    <x v="2"/>
    <x v="2"/>
    <d v="2023-10-13T00:00:00"/>
  </r>
  <r>
    <s v="TXN_2078474"/>
    <x v="2"/>
    <n v="2"/>
    <n v="1"/>
    <n v="2"/>
    <x v="2"/>
    <x v="0"/>
    <d v="2023-11-03T00:00:00"/>
  </r>
  <r>
    <s v="TXN_2130245"/>
    <x v="4"/>
    <n v="5"/>
    <n v="4"/>
    <n v="20"/>
    <x v="0"/>
    <x v="2"/>
    <d v="2023-11-13T00:00:00"/>
  </r>
  <r>
    <s v="TXN_3229409"/>
    <x v="7"/>
    <m/>
    <n v="3"/>
    <m/>
    <x v="1"/>
    <x v="0"/>
    <d v="2023-04-15T00:00:00"/>
  </r>
  <r>
    <s v="TXN_9076216"/>
    <x v="1"/>
    <n v="1"/>
    <n v="3"/>
    <n v="3"/>
    <x v="1"/>
    <x v="2"/>
    <d v="2023-12-17T00:00:00"/>
  </r>
  <r>
    <s v="TXN_6371987"/>
    <x v="8"/>
    <n v="5"/>
    <n v="1.5"/>
    <n v="7.5"/>
    <x v="2"/>
    <x v="0"/>
    <d v="2023-03-13T00:00:00"/>
  </r>
  <r>
    <s v="TXN_9913877"/>
    <x v="5"/>
    <n v="2"/>
    <n v="2"/>
    <n v="4"/>
    <x v="0"/>
    <x v="2"/>
    <d v="2023-05-09T00:00:00"/>
  </r>
  <r>
    <s v="TXN_2084377"/>
    <x v="4"/>
    <n v="1"/>
    <n v="4"/>
    <n v="4"/>
    <x v="0"/>
    <x v="2"/>
    <d v="2023-10-22T00:00:00"/>
  </r>
  <r>
    <s v="TXN_1842675"/>
    <x v="5"/>
    <n v="4"/>
    <n v="1"/>
    <n v="4"/>
    <x v="0"/>
    <x v="0"/>
    <d v="2023-06-23T00:00:00"/>
  </r>
  <r>
    <s v="TXN_8605813"/>
    <x v="2"/>
    <n v="1"/>
    <n v="1"/>
    <n v="1"/>
    <x v="2"/>
    <x v="2"/>
    <d v="2023-06-30T00:00:00"/>
  </r>
  <r>
    <s v="TXN_9755352"/>
    <x v="6"/>
    <n v="5"/>
    <n v="4"/>
    <n v="20"/>
    <x v="2"/>
    <x v="1"/>
    <d v="2023-05-13T00:00:00"/>
  </r>
  <r>
    <s v="TXN_7550498"/>
    <x v="7"/>
    <n v="5"/>
    <n v="3"/>
    <n v="15"/>
    <x v="2"/>
    <x v="1"/>
    <m/>
  </r>
  <r>
    <s v="TXN_2305908"/>
    <x v="0"/>
    <n v="4"/>
    <n v="2"/>
    <n v="8"/>
    <x v="1"/>
    <x v="2"/>
    <d v="2023-04-25T00:00:00"/>
  </r>
  <r>
    <s v="TXN_6953697"/>
    <x v="5"/>
    <n v="3"/>
    <n v="4"/>
    <n v="12"/>
    <x v="2"/>
    <x v="0"/>
    <d v="2023-05-27T00:00:00"/>
  </r>
  <r>
    <s v="TXN_3495950"/>
    <x v="5"/>
    <n v="4"/>
    <n v="1.5"/>
    <n v="6"/>
    <x v="0"/>
    <x v="1"/>
    <d v="2023-02-19T00:00:00"/>
  </r>
  <r>
    <s v="TXN_7557340"/>
    <x v="8"/>
    <n v="5"/>
    <n v="1.5"/>
    <n v="7.5"/>
    <x v="0"/>
    <x v="1"/>
    <d v="2023-12-11T00:00:00"/>
  </r>
  <r>
    <s v="TXN_1157817"/>
    <x v="4"/>
    <n v="1"/>
    <n v="4"/>
    <n v="4"/>
    <x v="3"/>
    <x v="1"/>
    <d v="2023-04-25T00:00:00"/>
  </r>
  <r>
    <s v="TXN_2020318"/>
    <x v="8"/>
    <n v="3"/>
    <n v="1.5"/>
    <n v="4.5"/>
    <x v="3"/>
    <x v="1"/>
    <d v="2023-10-12T00:00:00"/>
  </r>
  <r>
    <s v="TXN_8692094"/>
    <x v="0"/>
    <n v="5"/>
    <n v="2"/>
    <n v="10"/>
    <x v="2"/>
    <x v="0"/>
    <d v="2023-08-30T00:00:00"/>
  </r>
  <r>
    <s v="TXN_5307411"/>
    <x v="1"/>
    <n v="3"/>
    <n v="3"/>
    <n v="9"/>
    <x v="3"/>
    <x v="0"/>
    <d v="2023-10-21T00:00:00"/>
  </r>
  <r>
    <s v="TXN_9703120"/>
    <x v="0"/>
    <n v="3"/>
    <n v="2"/>
    <n v="6"/>
    <x v="0"/>
    <x v="2"/>
    <d v="2023-11-02T00:00:00"/>
  </r>
  <r>
    <s v="TXN_1289133"/>
    <x v="7"/>
    <n v="1"/>
    <n v="3"/>
    <n v="3"/>
    <x v="1"/>
    <x v="2"/>
    <d v="2023-09-19T00:00:00"/>
  </r>
  <r>
    <s v="TXN_2031459"/>
    <x v="1"/>
    <n v="3"/>
    <n v="3"/>
    <n v="9"/>
    <x v="1"/>
    <x v="0"/>
    <d v="2023-07-04T00:00:00"/>
  </r>
  <r>
    <s v="TXN_1333682"/>
    <x v="4"/>
    <n v="1"/>
    <n v="4"/>
    <n v="4"/>
    <x v="3"/>
    <x v="2"/>
    <d v="2023-01-28T00:00:00"/>
  </r>
  <r>
    <s v="TXN_2256622"/>
    <x v="2"/>
    <n v="2"/>
    <n v="1"/>
    <n v="2"/>
    <x v="1"/>
    <x v="1"/>
    <d v="2023-10-04T00:00:00"/>
  </r>
  <r>
    <s v="TXN_1623966"/>
    <x v="8"/>
    <n v="2"/>
    <n v="1.5"/>
    <n v="3"/>
    <x v="1"/>
    <x v="0"/>
    <m/>
  </r>
  <r>
    <s v="TXN_4912930"/>
    <x v="4"/>
    <n v="3"/>
    <n v="4"/>
    <n v="12"/>
    <x v="0"/>
    <x v="1"/>
    <d v="2023-02-26T00:00:00"/>
  </r>
  <r>
    <s v="TXN_4942692"/>
    <x v="0"/>
    <n v="2"/>
    <n v="2"/>
    <n v="4"/>
    <x v="2"/>
    <x v="0"/>
    <d v="2023-01-15T00:00:00"/>
  </r>
  <r>
    <s v="TXN_3723007"/>
    <x v="8"/>
    <n v="3"/>
    <n v="1.5"/>
    <n v="4.5"/>
    <x v="3"/>
    <x v="1"/>
    <d v="2023-05-18T00:00:00"/>
  </r>
  <r>
    <s v="TXN_7922392"/>
    <x v="6"/>
    <n v="3"/>
    <n v="4"/>
    <n v="12"/>
    <x v="2"/>
    <x v="2"/>
    <d v="2023-05-03T00:00:00"/>
  </r>
  <r>
    <s v="TXN_7498727"/>
    <x v="3"/>
    <n v="3"/>
    <n v="5"/>
    <n v="15"/>
    <x v="1"/>
    <x v="2"/>
    <d v="2023-11-06T00:00:00"/>
  </r>
  <r>
    <s v="TXN_1222338"/>
    <x v="2"/>
    <n v="1"/>
    <n v="1"/>
    <n v="1"/>
    <x v="2"/>
    <x v="1"/>
    <d v="2023-10-11T00:00:00"/>
  </r>
  <r>
    <s v="TXN_6878866"/>
    <x v="4"/>
    <n v="3"/>
    <n v="4"/>
    <n v="12"/>
    <x v="0"/>
    <x v="2"/>
    <d v="2023-02-25T00:00:00"/>
  </r>
  <r>
    <s v="TXN_1260335"/>
    <x v="2"/>
    <n v="4"/>
    <n v="1"/>
    <n v="4"/>
    <x v="3"/>
    <x v="1"/>
    <m/>
  </r>
  <r>
    <s v="TXN_9223242"/>
    <x v="4"/>
    <n v="2"/>
    <n v="4"/>
    <n v="8"/>
    <x v="2"/>
    <x v="2"/>
    <d v="2023-09-10T00:00:00"/>
  </r>
  <r>
    <s v="TXN_6244211"/>
    <x v="4"/>
    <n v="2"/>
    <n v="4"/>
    <n v="8"/>
    <x v="2"/>
    <x v="2"/>
    <d v="2023-08-11T00:00:00"/>
  </r>
  <r>
    <s v="TXN_5446858"/>
    <x v="5"/>
    <n v="1"/>
    <n v="1"/>
    <n v="1"/>
    <x v="1"/>
    <x v="1"/>
    <d v="2023-11-07T00:00:00"/>
  </r>
  <r>
    <s v="TXN_4612864"/>
    <x v="8"/>
    <n v="3"/>
    <n v="1.5"/>
    <n v="4.5"/>
    <x v="2"/>
    <x v="2"/>
    <d v="2023-02-14T00:00:00"/>
  </r>
  <r>
    <s v="TXN_5411381"/>
    <x v="2"/>
    <n v="1"/>
    <n v="1"/>
    <n v="1"/>
    <x v="2"/>
    <x v="2"/>
    <d v="2023-04-28T00:00:00"/>
  </r>
  <r>
    <s v="TXN_3047598"/>
    <x v="2"/>
    <n v="1"/>
    <n v="1"/>
    <n v="1"/>
    <x v="2"/>
    <x v="2"/>
    <d v="2023-09-06T00:00:00"/>
  </r>
  <r>
    <s v="TXN_5754317"/>
    <x v="0"/>
    <n v="2"/>
    <n v="2"/>
    <n v="4"/>
    <x v="0"/>
    <x v="0"/>
    <d v="2023-01-10T00:00:00"/>
  </r>
  <r>
    <s v="TXN_7496926"/>
    <x v="6"/>
    <n v="3"/>
    <n v="4"/>
    <n v="12"/>
    <x v="2"/>
    <x v="1"/>
    <d v="2023-04-23T00:00:00"/>
  </r>
  <r>
    <s v="TXN_1726858"/>
    <x v="4"/>
    <n v="3"/>
    <n v="4"/>
    <n v="12"/>
    <x v="1"/>
    <x v="1"/>
    <m/>
  </r>
  <r>
    <s v="TXN_7559388"/>
    <x v="3"/>
    <n v="4"/>
    <n v="5"/>
    <n v="20"/>
    <x v="3"/>
    <x v="0"/>
    <d v="2023-02-26T00:00:00"/>
  </r>
  <r>
    <s v="TXN_8540499"/>
    <x v="2"/>
    <n v="3"/>
    <n v="1"/>
    <n v="3"/>
    <x v="1"/>
    <x v="1"/>
    <d v="2023-01-22T00:00:00"/>
  </r>
  <r>
    <s v="TXN_4225756"/>
    <x v="2"/>
    <n v="3"/>
    <n v="1"/>
    <n v="3"/>
    <x v="2"/>
    <x v="1"/>
    <d v="2023-03-10T00:00:00"/>
  </r>
  <r>
    <s v="TXN_6795640"/>
    <x v="2"/>
    <n v="4"/>
    <n v="1"/>
    <n v="4"/>
    <x v="3"/>
    <x v="0"/>
    <d v="2023-01-28T00:00:00"/>
  </r>
  <r>
    <s v="TXN_6702428"/>
    <x v="0"/>
    <n v="5"/>
    <n v="2"/>
    <n v="10"/>
    <x v="1"/>
    <x v="0"/>
    <d v="2023-08-11T00:00:00"/>
  </r>
  <r>
    <s v="TXN_8955259"/>
    <x v="5"/>
    <n v="2"/>
    <n v="4"/>
    <n v="8"/>
    <x v="0"/>
    <x v="2"/>
    <d v="2023-11-18T00:00:00"/>
  </r>
  <r>
    <s v="TXN_4639319"/>
    <x v="0"/>
    <n v="5"/>
    <n v="2"/>
    <n v="10"/>
    <x v="1"/>
    <x v="2"/>
    <d v="2023-01-09T00:00:00"/>
  </r>
  <r>
    <s v="TXN_5997803"/>
    <x v="0"/>
    <n v="5"/>
    <n v="2"/>
    <n v="10"/>
    <x v="2"/>
    <x v="1"/>
    <d v="2023-12-03T00:00:00"/>
  </r>
  <r>
    <s v="TXN_1340956"/>
    <x v="5"/>
    <n v="4"/>
    <n v="2"/>
    <n v="8"/>
    <x v="2"/>
    <x v="2"/>
    <d v="2023-10-26T00:00:00"/>
  </r>
  <r>
    <s v="TXN_1259671"/>
    <x v="6"/>
    <n v="3"/>
    <n v="4"/>
    <n v="12"/>
    <x v="3"/>
    <x v="1"/>
    <d v="2023-10-08T00:00:00"/>
  </r>
  <r>
    <s v="TXN_8319993"/>
    <x v="7"/>
    <n v="1"/>
    <n v="3"/>
    <n v="3"/>
    <x v="3"/>
    <x v="2"/>
    <d v="2023-08-06T00:00:00"/>
  </r>
  <r>
    <s v="TXN_8894157"/>
    <x v="6"/>
    <n v="4"/>
    <n v="4"/>
    <n v="16"/>
    <x v="0"/>
    <x v="2"/>
    <m/>
  </r>
  <r>
    <s v="TXN_5523450"/>
    <x v="3"/>
    <n v="5"/>
    <n v="5"/>
    <n v="25"/>
    <x v="0"/>
    <x v="0"/>
    <d v="2023-07-02T00:00:00"/>
  </r>
  <r>
    <s v="TXN_7838964"/>
    <x v="6"/>
    <n v="3"/>
    <n v="4"/>
    <n v="12"/>
    <x v="0"/>
    <x v="1"/>
    <d v="2023-06-15T00:00:00"/>
  </r>
  <r>
    <s v="TXN_2773987"/>
    <x v="4"/>
    <n v="5"/>
    <n v="4"/>
    <n v="20"/>
    <x v="2"/>
    <x v="2"/>
    <d v="2023-01-11T00:00:00"/>
  </r>
  <r>
    <s v="TXN_1158829"/>
    <x v="8"/>
    <n v="1"/>
    <n v="1.5"/>
    <n v="1.5"/>
    <x v="0"/>
    <x v="2"/>
    <d v="2023-10-02T00:00:00"/>
  </r>
  <r>
    <s v="TXN_2523298"/>
    <x v="5"/>
    <n v="4"/>
    <n v="1.5"/>
    <n v="6"/>
    <x v="2"/>
    <x v="1"/>
    <d v="2023-03-25T00:00:00"/>
  </r>
  <r>
    <s v="TXN_8685737"/>
    <x v="4"/>
    <n v="2"/>
    <n v="4"/>
    <n v="8"/>
    <x v="2"/>
    <x v="1"/>
    <d v="2023-11-02T00:00:00"/>
  </r>
  <r>
    <s v="TXN_5634135"/>
    <x v="2"/>
    <n v="2"/>
    <n v="1"/>
    <n v="2"/>
    <x v="2"/>
    <x v="2"/>
    <d v="2023-01-27T00:00:00"/>
  </r>
  <r>
    <s v="TXN_1524626"/>
    <x v="4"/>
    <n v="2"/>
    <n v="4"/>
    <n v="8"/>
    <x v="3"/>
    <x v="2"/>
    <d v="2023-12-29T00:00:00"/>
  </r>
  <r>
    <s v="TXN_7275407"/>
    <x v="4"/>
    <n v="2"/>
    <n v="4"/>
    <n v="8"/>
    <x v="3"/>
    <x v="1"/>
    <d v="2023-10-20T00:00:00"/>
  </r>
  <r>
    <s v="TXN_2889622"/>
    <x v="7"/>
    <n v="4"/>
    <n v="3"/>
    <n v="12"/>
    <x v="0"/>
    <x v="2"/>
    <d v="2023-11-01T00:00:00"/>
  </r>
  <r>
    <s v="TXN_6849113"/>
    <x v="2"/>
    <n v="1"/>
    <n v="1"/>
    <n v="1"/>
    <x v="0"/>
    <x v="2"/>
    <d v="2023-07-14T00:00:00"/>
  </r>
  <r>
    <s v="TXN_2265316"/>
    <x v="2"/>
    <n v="3"/>
    <n v="1"/>
    <n v="3"/>
    <x v="0"/>
    <x v="1"/>
    <d v="2023-12-29T00:00:00"/>
  </r>
  <r>
    <s v="TXN_9472241"/>
    <x v="3"/>
    <n v="3"/>
    <n v="5"/>
    <n v="15"/>
    <x v="1"/>
    <x v="0"/>
    <d v="2023-06-30T00:00:00"/>
  </r>
  <r>
    <s v="TXN_7345414"/>
    <x v="3"/>
    <n v="1"/>
    <n v="5"/>
    <n v="5"/>
    <x v="2"/>
    <x v="2"/>
    <d v="2023-02-15T00:00:00"/>
  </r>
  <r>
    <s v="TXN_4473352"/>
    <x v="1"/>
    <n v="1"/>
    <n v="3"/>
    <n v="3"/>
    <x v="2"/>
    <x v="1"/>
    <d v="2023-11-16T00:00:00"/>
  </r>
  <r>
    <s v="TXN_2814363"/>
    <x v="8"/>
    <n v="2"/>
    <n v="1.5"/>
    <n v="3"/>
    <x v="2"/>
    <x v="2"/>
    <d v="2023-07-02T00:00:00"/>
  </r>
  <r>
    <s v="TXN_1846004"/>
    <x v="7"/>
    <n v="3"/>
    <n v="3"/>
    <n v="9"/>
    <x v="1"/>
    <x v="1"/>
    <d v="2023-05-21T00:00:00"/>
  </r>
  <r>
    <s v="TXN_7140471"/>
    <x v="1"/>
    <n v="1"/>
    <n v="3"/>
    <n v="3"/>
    <x v="0"/>
    <x v="2"/>
    <d v="2023-05-25T00:00:00"/>
  </r>
  <r>
    <s v="TXN_3119542"/>
    <x v="4"/>
    <n v="1"/>
    <n v="4"/>
    <n v="4"/>
    <x v="0"/>
    <x v="2"/>
    <d v="2023-10-31T00:00:00"/>
  </r>
  <r>
    <s v="TXN_7773968"/>
    <x v="6"/>
    <n v="5"/>
    <n v="4"/>
    <n v="20"/>
    <x v="3"/>
    <x v="0"/>
    <d v="2023-02-24T00:00:00"/>
  </r>
  <r>
    <s v="TXN_9081088"/>
    <x v="8"/>
    <n v="2"/>
    <n v="1.5"/>
    <n v="3"/>
    <x v="1"/>
    <x v="0"/>
    <d v="2023-02-27T00:00:00"/>
  </r>
  <r>
    <s v="TXN_8559167"/>
    <x v="6"/>
    <n v="5"/>
    <n v="4"/>
    <n v="20"/>
    <x v="2"/>
    <x v="0"/>
    <d v="2023-12-09T00:00:00"/>
  </r>
  <r>
    <s v="TXN_1130191"/>
    <x v="4"/>
    <n v="2"/>
    <n v="4"/>
    <n v="8"/>
    <x v="1"/>
    <x v="1"/>
    <d v="2023-04-06T00:00:00"/>
  </r>
  <r>
    <s v="TXN_5215451"/>
    <x v="6"/>
    <n v="5"/>
    <n v="4"/>
    <n v="20"/>
    <x v="3"/>
    <x v="2"/>
    <d v="2023-11-02T00:00:00"/>
  </r>
  <r>
    <s v="TXN_1040764"/>
    <x v="0"/>
    <n v="3"/>
    <n v="2"/>
    <n v="6"/>
    <x v="1"/>
    <x v="0"/>
    <d v="2023-07-27T00:00:00"/>
  </r>
  <r>
    <s v="TXN_5457133"/>
    <x v="7"/>
    <n v="5"/>
    <n v="3"/>
    <n v="15"/>
    <x v="2"/>
    <x v="1"/>
    <d v="2023-03-03T00:00:00"/>
  </r>
  <r>
    <s v="TXN_8365478"/>
    <x v="5"/>
    <n v="3"/>
    <n v="4"/>
    <n v="12"/>
    <x v="1"/>
    <x v="0"/>
    <d v="2023-02-06T00:00:00"/>
  </r>
  <r>
    <s v="TXN_2100697"/>
    <x v="0"/>
    <n v="3"/>
    <n v="2"/>
    <n v="6"/>
    <x v="3"/>
    <x v="0"/>
    <d v="2023-09-19T00:00:00"/>
  </r>
  <r>
    <s v="TXN_7676968"/>
    <x v="4"/>
    <n v="4"/>
    <n v="4"/>
    <n v="16"/>
    <x v="2"/>
    <x v="1"/>
    <d v="2023-02-21T00:00:00"/>
  </r>
  <r>
    <s v="TXN_5726998"/>
    <x v="1"/>
    <n v="3"/>
    <n v="3"/>
    <n v="9"/>
    <x v="0"/>
    <x v="2"/>
    <d v="2023-08-12T00:00:00"/>
  </r>
  <r>
    <s v="TXN_4134594"/>
    <x v="6"/>
    <n v="3"/>
    <n v="4"/>
    <n v="12"/>
    <x v="3"/>
    <x v="1"/>
    <d v="2023-09-27T00:00:00"/>
  </r>
  <r>
    <s v="TXN_5079340"/>
    <x v="2"/>
    <n v="4"/>
    <n v="1"/>
    <n v="4"/>
    <x v="1"/>
    <x v="1"/>
    <d v="2023-08-18T00:00:00"/>
  </r>
  <r>
    <s v="TXN_8276635"/>
    <x v="5"/>
    <n v="4"/>
    <n v="4"/>
    <n v="16"/>
    <x v="3"/>
    <x v="0"/>
    <d v="2023-12-16T00:00:00"/>
  </r>
  <r>
    <s v="TXN_1380601"/>
    <x v="8"/>
    <n v="4"/>
    <n v="1.5"/>
    <n v="6"/>
    <x v="3"/>
    <x v="1"/>
    <d v="2023-03-11T00:00:00"/>
  </r>
  <r>
    <s v="TXN_3959152"/>
    <x v="7"/>
    <n v="1"/>
    <n v="3"/>
    <n v="3"/>
    <x v="2"/>
    <x v="1"/>
    <d v="2023-05-21T00:00:00"/>
  </r>
  <r>
    <s v="TXN_7776739"/>
    <x v="8"/>
    <n v="2"/>
    <n v="1.5"/>
    <n v="3"/>
    <x v="2"/>
    <x v="0"/>
    <d v="2023-02-23T00:00:00"/>
  </r>
  <r>
    <s v="TXN_7569615"/>
    <x v="5"/>
    <n v="2"/>
    <n v="3"/>
    <n v="6"/>
    <x v="1"/>
    <x v="0"/>
    <d v="2023-06-07T00:00:00"/>
  </r>
  <r>
    <s v="TXN_8703771"/>
    <x v="1"/>
    <n v="5"/>
    <n v="3"/>
    <n v="15"/>
    <x v="2"/>
    <x v="1"/>
    <d v="2023-05-12T00:00:00"/>
  </r>
  <r>
    <s v="TXN_2052395"/>
    <x v="4"/>
    <n v="3"/>
    <n v="4"/>
    <n v="12"/>
    <x v="0"/>
    <x v="1"/>
    <d v="2023-07-06T00:00:00"/>
  </r>
  <r>
    <s v="TXN_9421441"/>
    <x v="5"/>
    <n v="2"/>
    <n v="4"/>
    <n v="8"/>
    <x v="1"/>
    <x v="2"/>
    <d v="2023-06-20T00:00:00"/>
  </r>
  <r>
    <s v="TXN_9065402"/>
    <x v="5"/>
    <n v="1"/>
    <n v="5"/>
    <n v="5"/>
    <x v="1"/>
    <x v="0"/>
    <d v="2023-12-22T00:00:00"/>
  </r>
  <r>
    <s v="TXN_3638955"/>
    <x v="2"/>
    <n v="2"/>
    <n v="1"/>
    <n v="2"/>
    <x v="1"/>
    <x v="0"/>
    <d v="2023-09-02T00:00:00"/>
  </r>
  <r>
    <s v="TXN_2635532"/>
    <x v="5"/>
    <n v="4"/>
    <n v="4"/>
    <n v="16"/>
    <x v="1"/>
    <x v="0"/>
    <d v="2023-01-14T00:00:00"/>
  </r>
  <r>
    <s v="TXN_8256593"/>
    <x v="3"/>
    <n v="2"/>
    <n v="5"/>
    <n v="10"/>
    <x v="3"/>
    <x v="0"/>
    <d v="2023-08-09T00:00:00"/>
  </r>
  <r>
    <s v="TXN_9271457"/>
    <x v="1"/>
    <n v="3"/>
    <n v="3"/>
    <n v="9"/>
    <x v="3"/>
    <x v="1"/>
    <d v="2023-02-27T00:00:00"/>
  </r>
  <r>
    <s v="TXN_5392603"/>
    <x v="0"/>
    <n v="1"/>
    <n v="2"/>
    <n v="2"/>
    <x v="1"/>
    <x v="1"/>
    <d v="2023-05-14T00:00:00"/>
  </r>
  <r>
    <s v="TXN_6319728"/>
    <x v="0"/>
    <n v="2"/>
    <n v="2"/>
    <n v="4"/>
    <x v="0"/>
    <x v="1"/>
    <d v="2023-07-18T00:00:00"/>
  </r>
  <r>
    <s v="TXN_9263299"/>
    <x v="2"/>
    <n v="2"/>
    <n v="1"/>
    <n v="2"/>
    <x v="0"/>
    <x v="0"/>
    <d v="2023-10-08T00:00:00"/>
  </r>
  <r>
    <s v="TXN_2301505"/>
    <x v="1"/>
    <n v="5"/>
    <n v="3"/>
    <n v="15"/>
    <x v="3"/>
    <x v="2"/>
    <d v="2023-03-21T00:00:00"/>
  </r>
  <r>
    <s v="TXN_5895177"/>
    <x v="1"/>
    <n v="5"/>
    <n v="3"/>
    <n v="15"/>
    <x v="2"/>
    <x v="2"/>
    <d v="2023-08-16T00:00:00"/>
  </r>
  <r>
    <s v="TXN_8751516"/>
    <x v="8"/>
    <n v="3"/>
    <n v="1.5"/>
    <n v="4.5"/>
    <x v="1"/>
    <x v="0"/>
    <m/>
  </r>
  <r>
    <s v="TXN_8147357"/>
    <x v="8"/>
    <n v="5"/>
    <n v="1.5"/>
    <n v="7.5"/>
    <x v="2"/>
    <x v="0"/>
    <d v="2023-04-20T00:00:00"/>
  </r>
  <r>
    <s v="TXN_1436343"/>
    <x v="2"/>
    <n v="1"/>
    <n v="1"/>
    <n v="1"/>
    <x v="0"/>
    <x v="1"/>
    <d v="2023-11-26T00:00:00"/>
  </r>
  <r>
    <s v="TXN_2214698"/>
    <x v="3"/>
    <n v="4"/>
    <n v="5"/>
    <n v="20"/>
    <x v="0"/>
    <x v="2"/>
    <d v="2023-10-10T00:00:00"/>
  </r>
  <r>
    <s v="TXN_7480234"/>
    <x v="3"/>
    <n v="1"/>
    <n v="5"/>
    <n v="5"/>
    <x v="1"/>
    <x v="0"/>
    <d v="2023-05-10T00:00:00"/>
  </r>
  <r>
    <s v="TXN_3283097"/>
    <x v="5"/>
    <n v="5"/>
    <n v="2"/>
    <n v="10"/>
    <x v="1"/>
    <x v="0"/>
    <d v="2023-02-28T00:00:00"/>
  </r>
  <r>
    <s v="TXN_2633602"/>
    <x v="5"/>
    <n v="2"/>
    <n v="3"/>
    <n v="6"/>
    <x v="3"/>
    <x v="1"/>
    <d v="2023-02-02T00:00:00"/>
  </r>
  <r>
    <s v="TXN_3093219"/>
    <x v="7"/>
    <n v="5"/>
    <n v="3"/>
    <n v="15"/>
    <x v="1"/>
    <x v="2"/>
    <d v="2023-01-28T00:00:00"/>
  </r>
  <r>
    <s v="TXN_3515730"/>
    <x v="5"/>
    <n v="1"/>
    <n v="1"/>
    <n v="1"/>
    <x v="0"/>
    <x v="2"/>
    <d v="2023-08-14T00:00:00"/>
  </r>
  <r>
    <s v="TXN_3665733"/>
    <x v="0"/>
    <n v="5"/>
    <n v="2"/>
    <n v="10"/>
    <x v="1"/>
    <x v="0"/>
    <m/>
  </r>
  <r>
    <s v="TXN_4010658"/>
    <x v="8"/>
    <n v="5"/>
    <n v="1.5"/>
    <n v="7.5"/>
    <x v="2"/>
    <x v="2"/>
    <d v="2023-09-26T00:00:00"/>
  </r>
  <r>
    <s v="TXN_1454467"/>
    <x v="7"/>
    <n v="3"/>
    <n v="3"/>
    <n v="9"/>
    <x v="1"/>
    <x v="1"/>
    <d v="2023-03-15T00:00:00"/>
  </r>
  <r>
    <s v="TXN_2598728"/>
    <x v="1"/>
    <n v="2"/>
    <n v="3"/>
    <n v="6"/>
    <x v="0"/>
    <x v="2"/>
    <d v="2023-01-13T00:00:00"/>
  </r>
  <r>
    <s v="TXN_3390285"/>
    <x v="8"/>
    <n v="2"/>
    <n v="1.5"/>
    <n v="3"/>
    <x v="2"/>
    <x v="0"/>
    <d v="2023-02-06T00:00:00"/>
  </r>
  <r>
    <s v="TXN_8224079"/>
    <x v="2"/>
    <n v="5"/>
    <n v="1"/>
    <n v="5"/>
    <x v="1"/>
    <x v="1"/>
    <d v="2023-10-16T00:00:00"/>
  </r>
  <r>
    <s v="TXN_1916339"/>
    <x v="1"/>
    <n v="1"/>
    <n v="3"/>
    <n v="3"/>
    <x v="1"/>
    <x v="1"/>
    <d v="2023-07-15T00:00:00"/>
  </r>
  <r>
    <s v="TXN_8611035"/>
    <x v="6"/>
    <n v="5"/>
    <n v="4"/>
    <n v="20"/>
    <x v="3"/>
    <x v="1"/>
    <d v="2023-05-28T00:00:00"/>
  </r>
  <r>
    <s v="TXN_3595735"/>
    <x v="8"/>
    <n v="4"/>
    <n v="1.5"/>
    <n v="6"/>
    <x v="3"/>
    <x v="0"/>
    <d v="2023-03-26T00:00:00"/>
  </r>
  <r>
    <s v="TXN_4884822"/>
    <x v="2"/>
    <n v="1"/>
    <n v="1"/>
    <n v="1"/>
    <x v="0"/>
    <x v="2"/>
    <d v="2023-04-23T00:00:00"/>
  </r>
  <r>
    <s v="TXN_3668051"/>
    <x v="1"/>
    <n v="1"/>
    <n v="3"/>
    <n v="3"/>
    <x v="2"/>
    <x v="2"/>
    <d v="2023-11-17T00:00:00"/>
  </r>
  <r>
    <s v="TXN_6169633"/>
    <x v="3"/>
    <n v="4"/>
    <n v="5"/>
    <n v="20"/>
    <x v="0"/>
    <x v="0"/>
    <d v="2023-12-20T00:00:00"/>
  </r>
  <r>
    <s v="TXN_3884811"/>
    <x v="0"/>
    <n v="4"/>
    <n v="2"/>
    <n v="8"/>
    <x v="0"/>
    <x v="2"/>
    <d v="2023-06-10T00:00:00"/>
  </r>
  <r>
    <s v="TXN_7050740"/>
    <x v="5"/>
    <n v="1"/>
    <n v="3"/>
    <n v="3"/>
    <x v="1"/>
    <x v="0"/>
    <d v="2023-07-12T00:00:00"/>
  </r>
  <r>
    <s v="TXN_1234097"/>
    <x v="2"/>
    <n v="4"/>
    <n v="1"/>
    <n v="4"/>
    <x v="1"/>
    <x v="2"/>
    <d v="2023-12-04T00:00:00"/>
  </r>
  <r>
    <s v="TXN_4518102"/>
    <x v="8"/>
    <n v="5"/>
    <n v="1.5"/>
    <n v="7.5"/>
    <x v="0"/>
    <x v="1"/>
    <d v="2023-02-08T00:00:00"/>
  </r>
  <r>
    <s v="TXN_5939055"/>
    <x v="0"/>
    <n v="3"/>
    <n v="2"/>
    <n v="6"/>
    <x v="2"/>
    <x v="0"/>
    <d v="2023-10-21T00:00:00"/>
  </r>
  <r>
    <s v="TXN_7809183"/>
    <x v="5"/>
    <n v="4"/>
    <n v="1"/>
    <n v="4"/>
    <x v="3"/>
    <x v="0"/>
    <d v="2023-09-08T00:00:00"/>
  </r>
  <r>
    <s v="TXN_6071202"/>
    <x v="5"/>
    <n v="1"/>
    <n v="1"/>
    <n v="1"/>
    <x v="1"/>
    <x v="1"/>
    <d v="2023-06-07T00:00:00"/>
  </r>
  <r>
    <s v="TXN_8158496"/>
    <x v="8"/>
    <n v="4"/>
    <n v="1.5"/>
    <n v="6"/>
    <x v="1"/>
    <x v="2"/>
    <d v="2023-06-19T00:00:00"/>
  </r>
  <r>
    <s v="TXN_2726848"/>
    <x v="1"/>
    <n v="5"/>
    <n v="3"/>
    <n v="15"/>
    <x v="0"/>
    <x v="2"/>
    <d v="2023-09-11T00:00:00"/>
  </r>
  <r>
    <s v="TXN_3666858"/>
    <x v="1"/>
    <n v="4"/>
    <n v="3"/>
    <n v="12"/>
    <x v="0"/>
    <x v="1"/>
    <d v="2023-12-27T00:00:00"/>
  </r>
  <r>
    <s v="TXN_5499915"/>
    <x v="2"/>
    <n v="2"/>
    <n v="1"/>
    <n v="2"/>
    <x v="3"/>
    <x v="0"/>
    <d v="2023-02-01T00:00:00"/>
  </r>
  <r>
    <s v="TXN_4660753"/>
    <x v="7"/>
    <n v="1"/>
    <n v="3"/>
    <n v="3"/>
    <x v="0"/>
    <x v="0"/>
    <d v="2023-10-04T00:00:00"/>
  </r>
  <r>
    <s v="TXN_8089522"/>
    <x v="6"/>
    <n v="4"/>
    <n v="4"/>
    <n v="16"/>
    <x v="1"/>
    <x v="0"/>
    <d v="2023-02-12T00:00:00"/>
  </r>
  <r>
    <s v="TXN_1564754"/>
    <x v="3"/>
    <n v="3"/>
    <n v="5"/>
    <n v="15"/>
    <x v="3"/>
    <x v="1"/>
    <d v="2023-03-14T00:00:00"/>
  </r>
  <r>
    <s v="TXN_1824506"/>
    <x v="1"/>
    <n v="1"/>
    <n v="3"/>
    <n v="3"/>
    <x v="1"/>
    <x v="1"/>
    <d v="2023-03-02T00:00:00"/>
  </r>
  <r>
    <s v="TXN_3229758"/>
    <x v="0"/>
    <n v="4"/>
    <n v="2"/>
    <n v="8"/>
    <x v="1"/>
    <x v="0"/>
    <m/>
  </r>
  <r>
    <s v="TXN_3677592"/>
    <x v="6"/>
    <n v="2"/>
    <n v="4"/>
    <n v="8"/>
    <x v="1"/>
    <x v="2"/>
    <d v="2023-05-29T00:00:00"/>
  </r>
  <r>
    <s v="TXN_1002457"/>
    <x v="2"/>
    <n v="5"/>
    <n v="1"/>
    <n v="5"/>
    <x v="3"/>
    <x v="0"/>
    <d v="2023-09-29T00:00:00"/>
  </r>
  <r>
    <s v="TXN_8056263"/>
    <x v="4"/>
    <n v="5"/>
    <n v="4"/>
    <n v="20"/>
    <x v="2"/>
    <x v="1"/>
    <d v="2023-04-20T00:00:00"/>
  </r>
  <r>
    <s v="TXN_4732351"/>
    <x v="6"/>
    <n v="1"/>
    <n v="4"/>
    <n v="4"/>
    <x v="3"/>
    <x v="1"/>
    <d v="2023-04-22T00:00:00"/>
  </r>
  <r>
    <s v="TXN_8049191"/>
    <x v="1"/>
    <n v="3"/>
    <n v="3"/>
    <n v="9"/>
    <x v="0"/>
    <x v="2"/>
    <d v="2023-07-31T00:00:00"/>
  </r>
  <r>
    <s v="TXN_4980036"/>
    <x v="1"/>
    <n v="2"/>
    <n v="3"/>
    <n v="6"/>
    <x v="1"/>
    <x v="0"/>
    <d v="2023-01-05T00:00:00"/>
  </r>
  <r>
    <s v="TXN_3022839"/>
    <x v="0"/>
    <n v="5"/>
    <n v="2"/>
    <n v="10"/>
    <x v="3"/>
    <x v="0"/>
    <d v="2023-08-25T00:00:00"/>
  </r>
  <r>
    <s v="TXN_7701070"/>
    <x v="0"/>
    <n v="5"/>
    <n v="2"/>
    <n v="10"/>
    <x v="0"/>
    <x v="0"/>
    <d v="2023-07-28T00:00:00"/>
  </r>
  <r>
    <s v="TXN_8048037"/>
    <x v="6"/>
    <n v="2"/>
    <n v="4"/>
    <n v="8"/>
    <x v="3"/>
    <x v="0"/>
    <d v="2023-03-31T00:00:00"/>
  </r>
  <r>
    <s v="TXN_4619029"/>
    <x v="6"/>
    <n v="3"/>
    <n v="4"/>
    <n v="12"/>
    <x v="0"/>
    <x v="1"/>
    <m/>
  </r>
  <r>
    <s v="TXN_4444463"/>
    <x v="1"/>
    <n v="4"/>
    <n v="3"/>
    <n v="12"/>
    <x v="2"/>
    <x v="2"/>
    <d v="2023-05-16T00:00:00"/>
  </r>
  <r>
    <s v="TXN_1887522"/>
    <x v="6"/>
    <n v="4"/>
    <n v="4"/>
    <n v="16"/>
    <x v="1"/>
    <x v="1"/>
    <d v="2023-02-20T00:00:00"/>
  </r>
  <r>
    <s v="TXN_6908953"/>
    <x v="8"/>
    <n v="1"/>
    <n v="1.5"/>
    <n v="1.5"/>
    <x v="2"/>
    <x v="1"/>
    <d v="2023-12-08T00:00:00"/>
  </r>
  <r>
    <s v="TXN_4759769"/>
    <x v="6"/>
    <n v="1"/>
    <n v="4"/>
    <n v="4"/>
    <x v="2"/>
    <x v="1"/>
    <d v="2023-08-03T00:00:00"/>
  </r>
  <r>
    <s v="TXN_2254479"/>
    <x v="8"/>
    <n v="2"/>
    <n v="1.5"/>
    <n v="3"/>
    <x v="2"/>
    <x v="0"/>
    <d v="2023-08-03T00:00:00"/>
  </r>
  <r>
    <s v="TXN_7555408"/>
    <x v="3"/>
    <n v="2"/>
    <n v="5"/>
    <n v="10"/>
    <x v="2"/>
    <x v="1"/>
    <d v="2023-06-06T00:00:00"/>
  </r>
  <r>
    <s v="TXN_6857943"/>
    <x v="1"/>
    <n v="5"/>
    <n v="3"/>
    <n v="15"/>
    <x v="2"/>
    <x v="0"/>
    <d v="2023-01-08T00:00:00"/>
  </r>
  <r>
    <s v="TXN_4796350"/>
    <x v="5"/>
    <n v="3"/>
    <n v="4"/>
    <n v="12"/>
    <x v="2"/>
    <x v="0"/>
    <m/>
  </r>
  <r>
    <s v="TXN_9552845"/>
    <x v="6"/>
    <n v="3"/>
    <n v="4"/>
    <n v="12"/>
    <x v="1"/>
    <x v="2"/>
    <d v="2023-02-18T00:00:00"/>
  </r>
  <r>
    <s v="TXN_6769465"/>
    <x v="7"/>
    <n v="5"/>
    <n v="3"/>
    <n v="15"/>
    <x v="3"/>
    <x v="1"/>
    <d v="2023-06-13T00:00:00"/>
  </r>
  <r>
    <s v="TXN_7438831"/>
    <x v="0"/>
    <n v="5"/>
    <n v="2"/>
    <n v="10"/>
    <x v="2"/>
    <x v="2"/>
    <d v="2023-12-24T00:00:00"/>
  </r>
  <r>
    <s v="TXN_3871837"/>
    <x v="8"/>
    <n v="3"/>
    <n v="1.5"/>
    <n v="4.5"/>
    <x v="3"/>
    <x v="0"/>
    <d v="2023-12-15T00:00:00"/>
  </r>
  <r>
    <s v="TXN_3656762"/>
    <x v="6"/>
    <n v="2"/>
    <n v="4"/>
    <n v="8"/>
    <x v="2"/>
    <x v="0"/>
    <d v="2023-07-31T00:00:00"/>
  </r>
  <r>
    <s v="TXN_4980282"/>
    <x v="1"/>
    <n v="1"/>
    <n v="3"/>
    <n v="3"/>
    <x v="3"/>
    <x v="1"/>
    <d v="2023-10-22T00:00:00"/>
  </r>
  <r>
    <s v="TXN_3580786"/>
    <x v="8"/>
    <n v="1"/>
    <n v="1.5"/>
    <n v="1.5"/>
    <x v="2"/>
    <x v="1"/>
    <d v="2023-03-28T00:00:00"/>
  </r>
  <r>
    <s v="TXN_4355728"/>
    <x v="5"/>
    <n v="4"/>
    <n v="3"/>
    <n v="12"/>
    <x v="0"/>
    <x v="2"/>
    <d v="2023-03-06T00:00:00"/>
  </r>
  <r>
    <s v="TXN_2508476"/>
    <x v="4"/>
    <n v="5"/>
    <n v="4"/>
    <n v="20"/>
    <x v="1"/>
    <x v="2"/>
    <d v="2023-04-14T00:00:00"/>
  </r>
  <r>
    <s v="TXN_1325631"/>
    <x v="1"/>
    <n v="4"/>
    <n v="3"/>
    <n v="12"/>
    <x v="0"/>
    <x v="1"/>
    <d v="2023-02-11T00:00:00"/>
  </r>
  <r>
    <s v="TXN_8209125"/>
    <x v="2"/>
    <n v="3"/>
    <n v="1"/>
    <n v="3"/>
    <x v="0"/>
    <x v="0"/>
    <d v="2023-01-30T00:00:00"/>
  </r>
  <r>
    <s v="TXN_1751164"/>
    <x v="3"/>
    <n v="2"/>
    <n v="5"/>
    <n v="10"/>
    <x v="1"/>
    <x v="2"/>
    <d v="2023-09-11T00:00:00"/>
  </r>
  <r>
    <s v="TXN_3730415"/>
    <x v="1"/>
    <n v="4"/>
    <n v="3"/>
    <n v="12"/>
    <x v="0"/>
    <x v="0"/>
    <d v="2023-04-09T00:00:00"/>
  </r>
  <r>
    <s v="TXN_4134253"/>
    <x v="8"/>
    <n v="4"/>
    <n v="1.5"/>
    <n v="6"/>
    <x v="1"/>
    <x v="1"/>
    <d v="2023-10-07T00:00:00"/>
  </r>
  <r>
    <s v="TXN_3256497"/>
    <x v="0"/>
    <n v="2"/>
    <n v="2"/>
    <n v="4"/>
    <x v="1"/>
    <x v="2"/>
    <d v="2023-08-20T00:00:00"/>
  </r>
  <r>
    <s v="TXN_8763180"/>
    <x v="4"/>
    <n v="1"/>
    <n v="4"/>
    <n v="4"/>
    <x v="2"/>
    <x v="0"/>
    <d v="2023-04-16T00:00:00"/>
  </r>
  <r>
    <s v="TXN_3219175"/>
    <x v="6"/>
    <n v="5"/>
    <n v="4"/>
    <n v="20"/>
    <x v="2"/>
    <x v="2"/>
    <d v="2023-02-23T00:00:00"/>
  </r>
  <r>
    <s v="TXN_6234872"/>
    <x v="4"/>
    <n v="1"/>
    <n v="4"/>
    <n v="4"/>
    <x v="2"/>
    <x v="2"/>
    <d v="2023-12-23T00:00:00"/>
  </r>
  <r>
    <s v="TXN_7919440"/>
    <x v="8"/>
    <n v="4"/>
    <n v="1.5"/>
    <n v="6"/>
    <x v="1"/>
    <x v="2"/>
    <d v="2023-08-19T00:00:00"/>
  </r>
  <r>
    <s v="TXN_7558641"/>
    <x v="0"/>
    <n v="1"/>
    <n v="2"/>
    <n v="2"/>
    <x v="3"/>
    <x v="1"/>
    <d v="2023-12-22T00:00:00"/>
  </r>
  <r>
    <s v="TXN_9940220"/>
    <x v="7"/>
    <n v="2"/>
    <n v="3"/>
    <n v="6"/>
    <x v="2"/>
    <x v="0"/>
    <d v="2023-03-05T00:00:00"/>
  </r>
  <r>
    <s v="TXN_8805984"/>
    <x v="7"/>
    <n v="2"/>
    <n v="3"/>
    <n v="6"/>
    <x v="0"/>
    <x v="0"/>
    <m/>
  </r>
  <r>
    <s v="TXN_2130483"/>
    <x v="8"/>
    <n v="4"/>
    <n v="1.5"/>
    <n v="6"/>
    <x v="1"/>
    <x v="2"/>
    <d v="2023-11-25T00:00:00"/>
  </r>
  <r>
    <s v="TXN_1972584"/>
    <x v="6"/>
    <n v="5"/>
    <n v="4"/>
    <n v="20"/>
    <x v="3"/>
    <x v="2"/>
    <d v="2023-07-10T00:00:00"/>
  </r>
  <r>
    <s v="TXN_3150792"/>
    <x v="0"/>
    <n v="5"/>
    <n v="2"/>
    <n v="10"/>
    <x v="1"/>
    <x v="2"/>
    <d v="2023-07-02T00:00:00"/>
  </r>
  <r>
    <s v="TXN_2980008"/>
    <x v="1"/>
    <n v="3"/>
    <n v="3"/>
    <n v="9"/>
    <x v="3"/>
    <x v="2"/>
    <d v="2023-11-17T00:00:00"/>
  </r>
  <r>
    <s v="TXN_5511805"/>
    <x v="7"/>
    <n v="1"/>
    <n v="3"/>
    <n v="3"/>
    <x v="2"/>
    <x v="0"/>
    <d v="2023-06-03T00:00:00"/>
  </r>
  <r>
    <s v="TXN_7292548"/>
    <x v="2"/>
    <n v="4"/>
    <n v="1"/>
    <n v="4"/>
    <x v="3"/>
    <x v="2"/>
    <d v="2023-03-24T00:00:00"/>
  </r>
  <r>
    <s v="TXN_2169664"/>
    <x v="4"/>
    <n v="1"/>
    <n v="4"/>
    <n v="4"/>
    <x v="1"/>
    <x v="2"/>
    <d v="2023-07-23T00:00:00"/>
  </r>
  <r>
    <s v="TXN_3234877"/>
    <x v="0"/>
    <n v="4"/>
    <n v="2"/>
    <n v="8"/>
    <x v="1"/>
    <x v="0"/>
    <d v="2023-07-29T00:00:00"/>
  </r>
  <r>
    <s v="TXN_6368719"/>
    <x v="1"/>
    <n v="4"/>
    <n v="3"/>
    <n v="12"/>
    <x v="0"/>
    <x v="0"/>
    <d v="2023-01-03T00:00:00"/>
  </r>
  <r>
    <s v="TXN_8852585"/>
    <x v="6"/>
    <n v="4"/>
    <n v="4"/>
    <n v="16"/>
    <x v="0"/>
    <x v="0"/>
    <d v="2023-01-05T00:00:00"/>
  </r>
  <r>
    <s v="TXN_9201010"/>
    <x v="3"/>
    <n v="1"/>
    <n v="5"/>
    <n v="5"/>
    <x v="0"/>
    <x v="0"/>
    <d v="2023-03-15T00:00:00"/>
  </r>
  <r>
    <s v="TXN_7817014"/>
    <x v="2"/>
    <n v="1"/>
    <n v="1"/>
    <n v="1"/>
    <x v="3"/>
    <x v="0"/>
    <m/>
  </r>
  <r>
    <s v="TXN_2873990"/>
    <x v="6"/>
    <n v="2"/>
    <n v="4"/>
    <n v="8"/>
    <x v="2"/>
    <x v="2"/>
    <d v="2023-03-12T00:00:00"/>
  </r>
  <r>
    <s v="TXN_3088796"/>
    <x v="6"/>
    <n v="4"/>
    <n v="4"/>
    <n v="16"/>
    <x v="0"/>
    <x v="2"/>
    <d v="2023-08-16T00:00:00"/>
  </r>
  <r>
    <s v="TXN_3414935"/>
    <x v="0"/>
    <n v="4"/>
    <n v="2"/>
    <n v="8"/>
    <x v="2"/>
    <x v="1"/>
    <d v="2023-08-03T00:00:00"/>
  </r>
  <r>
    <s v="TXN_3607652"/>
    <x v="3"/>
    <n v="4"/>
    <n v="5"/>
    <n v="20"/>
    <x v="3"/>
    <x v="1"/>
    <d v="2023-06-05T00:00:00"/>
  </r>
  <r>
    <s v="TXN_8502094"/>
    <x v="7"/>
    <n v="5"/>
    <n v="3"/>
    <n v="15"/>
    <x v="0"/>
    <x v="1"/>
    <d v="2023-03-21T00:00:00"/>
  </r>
  <r>
    <s v="TXN_9068244"/>
    <x v="6"/>
    <n v="5"/>
    <n v="4"/>
    <n v="20"/>
    <x v="3"/>
    <x v="0"/>
    <d v="2023-10-19T00:00:00"/>
  </r>
  <r>
    <s v="TXN_2696664"/>
    <x v="2"/>
    <n v="5"/>
    <n v="1"/>
    <n v="5"/>
    <x v="2"/>
    <x v="1"/>
    <d v="2023-01-07T00:00:00"/>
  </r>
  <r>
    <s v="TXN_7661609"/>
    <x v="5"/>
    <n v="1"/>
    <n v="3"/>
    <n v="3"/>
    <x v="2"/>
    <x v="1"/>
    <d v="2023-11-29T00:00:00"/>
  </r>
  <r>
    <s v="TXN_7633490"/>
    <x v="2"/>
    <n v="1"/>
    <n v="1"/>
    <n v="1"/>
    <x v="1"/>
    <x v="0"/>
    <d v="2023-10-27T00:00:00"/>
  </r>
  <r>
    <s v="TXN_9292230"/>
    <x v="8"/>
    <n v="4"/>
    <n v="1.5"/>
    <n v="6"/>
    <x v="0"/>
    <x v="1"/>
    <d v="2023-07-14T00:00:00"/>
  </r>
  <r>
    <s v="TXN_1664665"/>
    <x v="5"/>
    <n v="3"/>
    <n v="3"/>
    <n v="9"/>
    <x v="0"/>
    <x v="1"/>
    <d v="2023-05-21T00:00:00"/>
  </r>
  <r>
    <s v="TXN_5081978"/>
    <x v="1"/>
    <n v="1"/>
    <n v="3"/>
    <n v="3"/>
    <x v="2"/>
    <x v="1"/>
    <d v="2023-10-19T00:00:00"/>
  </r>
  <r>
    <s v="TXN_7314409"/>
    <x v="4"/>
    <n v="5"/>
    <n v="4"/>
    <n v="20"/>
    <x v="0"/>
    <x v="2"/>
    <d v="2023-08-06T00:00:00"/>
  </r>
  <r>
    <s v="TXN_4573576"/>
    <x v="5"/>
    <n v="2"/>
    <n v="3"/>
    <n v="6"/>
    <x v="1"/>
    <x v="1"/>
    <d v="2023-07-05T00:00:00"/>
  </r>
  <r>
    <s v="TXN_5645919"/>
    <x v="0"/>
    <n v="3"/>
    <n v="2"/>
    <n v="6"/>
    <x v="0"/>
    <x v="2"/>
    <d v="2023-01-17T00:00:00"/>
  </r>
  <r>
    <s v="TXN_8006668"/>
    <x v="8"/>
    <n v="4"/>
    <n v="1.5"/>
    <n v="6"/>
    <x v="0"/>
    <x v="1"/>
    <d v="2023-12-22T00:00:00"/>
  </r>
  <r>
    <s v="TXN_8818168"/>
    <x v="7"/>
    <n v="4"/>
    <n v="3"/>
    <n v="12"/>
    <x v="3"/>
    <x v="2"/>
    <d v="2023-07-20T00:00:00"/>
  </r>
  <r>
    <s v="TXN_4369043"/>
    <x v="7"/>
    <n v="2"/>
    <n v="3"/>
    <n v="6"/>
    <x v="1"/>
    <x v="2"/>
    <d v="2023-03-25T00:00:00"/>
  </r>
  <r>
    <s v="TXN_3560062"/>
    <x v="2"/>
    <n v="1"/>
    <n v="1"/>
    <n v="1"/>
    <x v="1"/>
    <x v="1"/>
    <d v="2023-03-20T00:00:00"/>
  </r>
  <r>
    <s v="TXN_4769307"/>
    <x v="8"/>
    <n v="5"/>
    <n v="1.5"/>
    <n v="7.5"/>
    <x v="3"/>
    <x v="2"/>
    <d v="2023-12-24T00:00:00"/>
  </r>
  <r>
    <s v="TXN_7270652"/>
    <x v="6"/>
    <n v="1"/>
    <n v="4"/>
    <n v="4"/>
    <x v="2"/>
    <x v="0"/>
    <d v="2023-05-14T00:00:00"/>
  </r>
  <r>
    <s v="TXN_4991815"/>
    <x v="1"/>
    <n v="5"/>
    <n v="3"/>
    <n v="15"/>
    <x v="1"/>
    <x v="2"/>
    <d v="2023-11-06T00:00:00"/>
  </r>
  <r>
    <s v="TXN_6360132"/>
    <x v="6"/>
    <n v="4"/>
    <n v="4"/>
    <n v="16"/>
    <x v="1"/>
    <x v="0"/>
    <d v="2023-09-16T00:00:00"/>
  </r>
  <r>
    <s v="TXN_8199829"/>
    <x v="1"/>
    <n v="2"/>
    <n v="3"/>
    <n v="6"/>
    <x v="0"/>
    <x v="2"/>
    <d v="2023-07-29T00:00:00"/>
  </r>
  <r>
    <s v="TXN_9166449"/>
    <x v="5"/>
    <n v="4"/>
    <n v="1"/>
    <n v="4"/>
    <x v="2"/>
    <x v="0"/>
    <d v="2023-07-31T00:00:00"/>
  </r>
  <r>
    <s v="TXN_7864939"/>
    <x v="6"/>
    <n v="3"/>
    <n v="4"/>
    <n v="12"/>
    <x v="3"/>
    <x v="1"/>
    <d v="2023-08-19T00:00:00"/>
  </r>
  <r>
    <s v="TXN_2640701"/>
    <x v="3"/>
    <n v="3"/>
    <n v="5"/>
    <n v="15"/>
    <x v="2"/>
    <x v="0"/>
    <d v="2023-05-07T00:00:00"/>
  </r>
  <r>
    <s v="TXN_3740963"/>
    <x v="3"/>
    <n v="2"/>
    <n v="5"/>
    <n v="10"/>
    <x v="3"/>
    <x v="0"/>
    <d v="2023-01-22T00:00:00"/>
  </r>
  <r>
    <s v="TXN_8101633"/>
    <x v="6"/>
    <n v="2"/>
    <n v="4"/>
    <n v="8"/>
    <x v="2"/>
    <x v="1"/>
    <d v="2023-08-10T00:00:00"/>
  </r>
  <r>
    <s v="TXN_6063966"/>
    <x v="7"/>
    <n v="2"/>
    <n v="3"/>
    <n v="6"/>
    <x v="3"/>
    <x v="0"/>
    <d v="2023-10-24T00:00:00"/>
  </r>
  <r>
    <s v="TXN_3779640"/>
    <x v="8"/>
    <n v="1"/>
    <n v="1.5"/>
    <n v="1.5"/>
    <x v="3"/>
    <x v="1"/>
    <d v="2023-05-16T00:00:00"/>
  </r>
  <r>
    <s v="TXN_8278833"/>
    <x v="1"/>
    <n v="3"/>
    <n v="3"/>
    <n v="9"/>
    <x v="2"/>
    <x v="2"/>
    <d v="2023-02-26T00:00:00"/>
  </r>
  <r>
    <s v="TXN_8778598"/>
    <x v="6"/>
    <n v="3"/>
    <n v="4"/>
    <n v="12"/>
    <x v="1"/>
    <x v="2"/>
    <d v="2023-09-02T00:00:00"/>
  </r>
  <r>
    <s v="TXN_7550103"/>
    <x v="1"/>
    <n v="5"/>
    <n v="3"/>
    <n v="15"/>
    <x v="2"/>
    <x v="0"/>
    <d v="2023-01-19T00:00:00"/>
  </r>
  <r>
    <s v="TXN_3664656"/>
    <x v="2"/>
    <n v="5"/>
    <n v="1"/>
    <n v="5"/>
    <x v="2"/>
    <x v="0"/>
    <d v="2023-08-13T00:00:00"/>
  </r>
  <r>
    <s v="TXN_7296560"/>
    <x v="7"/>
    <n v="2"/>
    <n v="3"/>
    <n v="6"/>
    <x v="2"/>
    <x v="2"/>
    <d v="2023-10-20T00:00:00"/>
  </r>
  <r>
    <s v="TXN_8136881"/>
    <x v="3"/>
    <n v="3"/>
    <n v="5"/>
    <n v="15"/>
    <x v="1"/>
    <x v="1"/>
    <d v="2023-08-28T00:00:00"/>
  </r>
  <r>
    <s v="TXN_3981449"/>
    <x v="4"/>
    <n v="2"/>
    <n v="4"/>
    <n v="8"/>
    <x v="1"/>
    <x v="1"/>
    <d v="2023-06-21T00:00:00"/>
  </r>
  <r>
    <s v="TXN_5427506"/>
    <x v="1"/>
    <n v="3"/>
    <n v="3"/>
    <n v="9"/>
    <x v="1"/>
    <x v="0"/>
    <d v="2023-09-15T00:00:00"/>
  </r>
  <r>
    <s v="TXN_2641386"/>
    <x v="6"/>
    <n v="3"/>
    <n v="4"/>
    <n v="12"/>
    <x v="2"/>
    <x v="0"/>
    <d v="2023-03-25T00:00:00"/>
  </r>
  <r>
    <s v="TXN_1485417"/>
    <x v="2"/>
    <n v="3"/>
    <n v="1"/>
    <n v="3"/>
    <x v="1"/>
    <x v="1"/>
    <m/>
  </r>
  <r>
    <s v="TXN_4033802"/>
    <x v="8"/>
    <n v="3"/>
    <n v="1.5"/>
    <n v="4.5"/>
    <x v="1"/>
    <x v="0"/>
    <d v="2023-03-02T00:00:00"/>
  </r>
  <r>
    <s v="TXN_7752124"/>
    <x v="5"/>
    <n v="3"/>
    <n v="4"/>
    <n v="12"/>
    <x v="0"/>
    <x v="2"/>
    <d v="2023-12-09T00:00:00"/>
  </r>
  <r>
    <s v="TXN_9762324"/>
    <x v="1"/>
    <n v="2"/>
    <n v="3"/>
    <n v="6"/>
    <x v="1"/>
    <x v="1"/>
    <m/>
  </r>
  <r>
    <s v="TXN_1628509"/>
    <x v="4"/>
    <n v="5"/>
    <n v="4"/>
    <n v="20"/>
    <x v="2"/>
    <x v="0"/>
    <m/>
  </r>
  <r>
    <s v="TXN_8259257"/>
    <x v="8"/>
    <n v="2"/>
    <n v="1.5"/>
    <n v="3"/>
    <x v="2"/>
    <x v="1"/>
    <d v="2023-12-13T00:00:00"/>
  </r>
  <r>
    <s v="TXN_4183823"/>
    <x v="6"/>
    <n v="4"/>
    <n v="4"/>
    <n v="16"/>
    <x v="0"/>
    <x v="2"/>
    <d v="2023-03-28T00:00:00"/>
  </r>
  <r>
    <s v="TXN_2239041"/>
    <x v="5"/>
    <n v="4"/>
    <n v="1.5"/>
    <n v="6"/>
    <x v="2"/>
    <x v="1"/>
    <d v="2023-10-24T00:00:00"/>
  </r>
  <r>
    <s v="TXN_4696439"/>
    <x v="2"/>
    <n v="1"/>
    <n v="1"/>
    <n v="1"/>
    <x v="1"/>
    <x v="1"/>
    <d v="2023-05-27T00:00:00"/>
  </r>
  <r>
    <s v="TXN_8826983"/>
    <x v="4"/>
    <n v="5"/>
    <n v="4"/>
    <n v="20"/>
    <x v="1"/>
    <x v="1"/>
    <d v="2023-01-14T00:00:00"/>
  </r>
  <r>
    <s v="TXN_8267034"/>
    <x v="7"/>
    <n v="2"/>
    <n v="3"/>
    <n v="6"/>
    <x v="2"/>
    <x v="0"/>
    <d v="2023-06-20T00:00:00"/>
  </r>
  <r>
    <s v="TXN_1959334"/>
    <x v="0"/>
    <n v="3"/>
    <n v="2"/>
    <n v="6"/>
    <x v="2"/>
    <x v="2"/>
    <d v="2023-06-29T00:00:00"/>
  </r>
  <r>
    <s v="TXN_6842808"/>
    <x v="8"/>
    <n v="2"/>
    <n v="1.5"/>
    <n v="3"/>
    <x v="2"/>
    <x v="2"/>
    <d v="2023-10-22T00:00:00"/>
  </r>
  <r>
    <s v="TXN_2947822"/>
    <x v="1"/>
    <n v="4"/>
    <n v="3"/>
    <n v="12"/>
    <x v="3"/>
    <x v="1"/>
    <d v="2023-10-27T00:00:00"/>
  </r>
  <r>
    <s v="TXN_5531712"/>
    <x v="5"/>
    <n v="2"/>
    <n v="1.5"/>
    <n v="3"/>
    <x v="1"/>
    <x v="2"/>
    <d v="2023-01-09T00:00:00"/>
  </r>
  <r>
    <s v="TXN_2148838"/>
    <x v="6"/>
    <n v="2"/>
    <n v="4"/>
    <n v="8"/>
    <x v="0"/>
    <x v="2"/>
    <d v="2023-08-05T00:00:00"/>
  </r>
  <r>
    <s v="TXN_1330506"/>
    <x v="2"/>
    <n v="3"/>
    <n v="1"/>
    <n v="3"/>
    <x v="3"/>
    <x v="2"/>
    <d v="2023-11-10T00:00:00"/>
  </r>
  <r>
    <s v="TXN_5898743"/>
    <x v="7"/>
    <n v="4"/>
    <n v="3"/>
    <n v="12"/>
    <x v="2"/>
    <x v="0"/>
    <m/>
  </r>
  <r>
    <s v="TXN_8957369"/>
    <x v="3"/>
    <n v="4"/>
    <n v="5"/>
    <n v="20"/>
    <x v="3"/>
    <x v="2"/>
    <d v="2023-10-18T00:00:00"/>
  </r>
  <r>
    <s v="TXN_9340653"/>
    <x v="4"/>
    <n v="1"/>
    <n v="4"/>
    <n v="4"/>
    <x v="3"/>
    <x v="2"/>
    <d v="2023-10-19T00:00:00"/>
  </r>
  <r>
    <s v="TXN_2493446"/>
    <x v="6"/>
    <n v="1"/>
    <n v="4"/>
    <n v="4"/>
    <x v="1"/>
    <x v="0"/>
    <d v="2023-05-19T00:00:00"/>
  </r>
  <r>
    <s v="TXN_4538354"/>
    <x v="7"/>
    <n v="3"/>
    <n v="3"/>
    <n v="9"/>
    <x v="1"/>
    <x v="0"/>
    <d v="2023-04-21T00:00:00"/>
  </r>
  <r>
    <s v="TXN_7098730"/>
    <x v="1"/>
    <n v="2"/>
    <n v="3"/>
    <n v="6"/>
    <x v="3"/>
    <x v="2"/>
    <d v="2023-11-10T00:00:00"/>
  </r>
  <r>
    <s v="TXN_7533411"/>
    <x v="2"/>
    <n v="1"/>
    <n v="1"/>
    <n v="1"/>
    <x v="3"/>
    <x v="1"/>
    <d v="2023-11-09T00:00:00"/>
  </r>
  <r>
    <s v="TXN_2690314"/>
    <x v="8"/>
    <n v="5"/>
    <n v="1.5"/>
    <n v="7.5"/>
    <x v="1"/>
    <x v="1"/>
    <d v="2023-08-10T00:00:00"/>
  </r>
  <r>
    <s v="TXN_8171171"/>
    <x v="0"/>
    <n v="1"/>
    <n v="2"/>
    <n v="2"/>
    <x v="2"/>
    <x v="0"/>
    <d v="2023-05-13T00:00:00"/>
  </r>
  <r>
    <s v="TXN_3791639"/>
    <x v="5"/>
    <n v="4"/>
    <n v="3"/>
    <n v="12"/>
    <x v="3"/>
    <x v="2"/>
    <m/>
  </r>
  <r>
    <s v="TXN_2968827"/>
    <x v="3"/>
    <n v="5"/>
    <n v="5"/>
    <n v="25"/>
    <x v="3"/>
    <x v="0"/>
    <d v="2023-09-14T00:00:00"/>
  </r>
  <r>
    <s v="TXN_4546375"/>
    <x v="5"/>
    <n v="1"/>
    <n v="5"/>
    <n v="5"/>
    <x v="0"/>
    <x v="2"/>
    <d v="2023-02-20T00:00:00"/>
  </r>
  <r>
    <s v="TXN_1387401"/>
    <x v="2"/>
    <n v="4"/>
    <n v="1"/>
    <n v="4"/>
    <x v="1"/>
    <x v="1"/>
    <d v="2023-10-19T00:00:00"/>
  </r>
  <r>
    <s v="TXN_6727029"/>
    <x v="8"/>
    <n v="2"/>
    <n v="1.5"/>
    <n v="3"/>
    <x v="2"/>
    <x v="0"/>
    <d v="2023-07-07T00:00:00"/>
  </r>
  <r>
    <s v="TXN_3917193"/>
    <x v="7"/>
    <n v="5"/>
    <n v="3"/>
    <n v="15"/>
    <x v="0"/>
    <x v="0"/>
    <d v="2023-11-17T00:00:00"/>
  </r>
  <r>
    <s v="TXN_8518516"/>
    <x v="6"/>
    <n v="4"/>
    <n v="4"/>
    <n v="16"/>
    <x v="2"/>
    <x v="2"/>
    <d v="2023-08-16T00:00:00"/>
  </r>
  <r>
    <s v="TXN_2062854"/>
    <x v="6"/>
    <n v="4"/>
    <n v="4"/>
    <n v="16"/>
    <x v="3"/>
    <x v="0"/>
    <d v="2023-12-01T00:00:00"/>
  </r>
  <r>
    <s v="TXN_4075863"/>
    <x v="4"/>
    <n v="3"/>
    <n v="4"/>
    <n v="12"/>
    <x v="1"/>
    <x v="0"/>
    <d v="2023-05-21T00:00:00"/>
  </r>
  <r>
    <s v="TXN_5624860"/>
    <x v="8"/>
    <n v="3"/>
    <n v="1.5"/>
    <n v="4.5"/>
    <x v="0"/>
    <x v="0"/>
    <d v="2023-08-22T00:00:00"/>
  </r>
  <r>
    <s v="TXN_4621665"/>
    <x v="4"/>
    <n v="5"/>
    <n v="4"/>
    <n v="20"/>
    <x v="2"/>
    <x v="2"/>
    <d v="2023-01-17T00:00:00"/>
  </r>
  <r>
    <s v="TXN_6669417"/>
    <x v="3"/>
    <n v="5"/>
    <n v="5"/>
    <n v="25"/>
    <x v="2"/>
    <x v="0"/>
    <d v="2023-01-03T00:00:00"/>
  </r>
  <r>
    <s v="TXN_7837381"/>
    <x v="6"/>
    <n v="5"/>
    <n v="4"/>
    <n v="20"/>
    <x v="2"/>
    <x v="0"/>
    <d v="2023-07-17T00:00:00"/>
  </r>
  <r>
    <s v="TXN_1725926"/>
    <x v="7"/>
    <n v="5"/>
    <n v="3"/>
    <n v="15"/>
    <x v="0"/>
    <x v="2"/>
    <d v="2023-12-23T00:00:00"/>
  </r>
  <r>
    <s v="TXN_3403173"/>
    <x v="3"/>
    <n v="1"/>
    <n v="5"/>
    <n v="5"/>
    <x v="2"/>
    <x v="2"/>
    <d v="2023-06-24T00:00:00"/>
  </r>
  <r>
    <s v="TXN_4186681"/>
    <x v="5"/>
    <n v="4"/>
    <n v="1.5"/>
    <n v="6"/>
    <x v="3"/>
    <x v="2"/>
    <d v="2023-05-24T00:00:00"/>
  </r>
  <r>
    <s v="TXN_4152036"/>
    <x v="5"/>
    <n v="2"/>
    <n v="3"/>
    <n v="6"/>
    <x v="1"/>
    <x v="2"/>
    <m/>
  </r>
  <r>
    <s v="TXN_4059912"/>
    <x v="5"/>
    <n v="3"/>
    <n v="4"/>
    <n v="12"/>
    <x v="2"/>
    <x v="2"/>
    <d v="2023-04-21T00:00:00"/>
  </r>
  <r>
    <s v="TXN_3381656"/>
    <x v="1"/>
    <n v="5"/>
    <n v="3"/>
    <n v="15"/>
    <x v="1"/>
    <x v="0"/>
    <d v="2023-10-26T00:00:00"/>
  </r>
  <r>
    <s v="TXN_9956154"/>
    <x v="1"/>
    <n v="4"/>
    <n v="3"/>
    <n v="12"/>
    <x v="2"/>
    <x v="1"/>
    <d v="2023-05-11T00:00:00"/>
  </r>
  <r>
    <s v="TXN_7110444"/>
    <x v="5"/>
    <n v="4"/>
    <n v="5"/>
    <n v="20"/>
    <x v="1"/>
    <x v="2"/>
    <d v="2023-12-07T00:00:00"/>
  </r>
  <r>
    <s v="TXN_6250692"/>
    <x v="6"/>
    <n v="1"/>
    <n v="4"/>
    <n v="4"/>
    <x v="2"/>
    <x v="2"/>
    <d v="2023-09-01T00:00:00"/>
  </r>
  <r>
    <s v="TXN_1183995"/>
    <x v="3"/>
    <n v="5"/>
    <n v="5"/>
    <n v="25"/>
    <x v="3"/>
    <x v="0"/>
    <d v="2023-03-28T00:00:00"/>
  </r>
  <r>
    <s v="TXN_9452225"/>
    <x v="8"/>
    <n v="1"/>
    <n v="1.5"/>
    <n v="1.5"/>
    <x v="2"/>
    <x v="1"/>
    <d v="2023-02-26T00:00:00"/>
  </r>
  <r>
    <s v="TXN_9113574"/>
    <x v="0"/>
    <n v="4"/>
    <n v="2"/>
    <n v="8"/>
    <x v="2"/>
    <x v="1"/>
    <d v="2023-01-04T00:00:00"/>
  </r>
  <r>
    <s v="TXN_5813015"/>
    <x v="2"/>
    <n v="5"/>
    <n v="1"/>
    <n v="5"/>
    <x v="3"/>
    <x v="2"/>
    <d v="2023-10-07T00:00:00"/>
  </r>
  <r>
    <s v="TXN_3213035"/>
    <x v="4"/>
    <n v="4"/>
    <n v="4"/>
    <n v="16"/>
    <x v="2"/>
    <x v="1"/>
    <d v="2023-05-21T00:00:00"/>
  </r>
  <r>
    <s v="TXN_3789752"/>
    <x v="7"/>
    <n v="3"/>
    <n v="3"/>
    <n v="9"/>
    <x v="3"/>
    <x v="0"/>
    <d v="2023-12-16T00:00:00"/>
  </r>
  <r>
    <s v="TXN_7578769"/>
    <x v="6"/>
    <n v="5"/>
    <n v="4"/>
    <n v="20"/>
    <x v="3"/>
    <x v="0"/>
    <d v="2023-01-30T00:00:00"/>
  </r>
  <r>
    <s v="TXN_3515664"/>
    <x v="0"/>
    <n v="2"/>
    <n v="2"/>
    <n v="4"/>
    <x v="1"/>
    <x v="0"/>
    <d v="2023-09-25T00:00:00"/>
  </r>
  <r>
    <s v="TXN_6209258"/>
    <x v="7"/>
    <n v="1"/>
    <n v="3"/>
    <n v="3"/>
    <x v="0"/>
    <x v="2"/>
    <d v="2023-03-06T00:00:00"/>
  </r>
  <r>
    <s v="TXN_8594004"/>
    <x v="2"/>
    <n v="4"/>
    <n v="1"/>
    <n v="4"/>
    <x v="0"/>
    <x v="2"/>
    <d v="2023-02-25T00:00:00"/>
  </r>
  <r>
    <s v="TXN_6422433"/>
    <x v="6"/>
    <n v="5"/>
    <n v="4"/>
    <n v="20"/>
    <x v="3"/>
    <x v="0"/>
    <d v="2023-05-09T00:00:00"/>
  </r>
  <r>
    <s v="TXN_2865033"/>
    <x v="0"/>
    <n v="2"/>
    <n v="2"/>
    <n v="4"/>
    <x v="1"/>
    <x v="2"/>
    <d v="2023-08-03T00:00:00"/>
  </r>
  <r>
    <s v="TXN_5547519"/>
    <x v="3"/>
    <n v="4"/>
    <n v="5"/>
    <n v="20"/>
    <x v="2"/>
    <x v="1"/>
    <d v="2023-05-13T00:00:00"/>
  </r>
  <r>
    <s v="TXN_2392263"/>
    <x v="3"/>
    <n v="5"/>
    <n v="5"/>
    <n v="25"/>
    <x v="2"/>
    <x v="0"/>
    <d v="2023-02-08T00:00:00"/>
  </r>
  <r>
    <s v="TXN_3810451"/>
    <x v="7"/>
    <n v="4"/>
    <n v="3"/>
    <n v="12"/>
    <x v="2"/>
    <x v="2"/>
    <m/>
  </r>
  <r>
    <s v="TXN_4669664"/>
    <x v="2"/>
    <n v="1"/>
    <n v="1"/>
    <n v="1"/>
    <x v="3"/>
    <x v="1"/>
    <d v="2023-12-21T00:00:00"/>
  </r>
  <r>
    <s v="TXN_9470612"/>
    <x v="1"/>
    <n v="3"/>
    <n v="3"/>
    <n v="9"/>
    <x v="2"/>
    <x v="0"/>
    <d v="2023-04-30T00:00:00"/>
  </r>
  <r>
    <s v="TXN_7507962"/>
    <x v="4"/>
    <n v="4"/>
    <n v="4"/>
    <n v="16"/>
    <x v="2"/>
    <x v="2"/>
    <d v="2023-06-22T00:00:00"/>
  </r>
  <r>
    <s v="TXN_1109715"/>
    <x v="1"/>
    <n v="1"/>
    <n v="3"/>
    <n v="3"/>
    <x v="2"/>
    <x v="1"/>
    <d v="2023-07-15T00:00:00"/>
  </r>
  <r>
    <s v="TXN_8320245"/>
    <x v="8"/>
    <n v="3"/>
    <n v="1.5"/>
    <n v="4.5"/>
    <x v="2"/>
    <x v="0"/>
    <d v="2023-04-09T00:00:00"/>
  </r>
  <r>
    <s v="TXN_5904646"/>
    <x v="4"/>
    <n v="1"/>
    <n v="4"/>
    <n v="4"/>
    <x v="2"/>
    <x v="2"/>
    <d v="2023-03-26T00:00:00"/>
  </r>
  <r>
    <s v="TXN_4498526"/>
    <x v="4"/>
    <n v="3"/>
    <n v="4"/>
    <n v="12"/>
    <x v="0"/>
    <x v="2"/>
    <d v="2023-06-20T00:00:00"/>
  </r>
  <r>
    <s v="TXN_2744907"/>
    <x v="3"/>
    <n v="2"/>
    <n v="5"/>
    <n v="10"/>
    <x v="3"/>
    <x v="2"/>
    <m/>
  </r>
  <r>
    <s v="TXN_5209585"/>
    <x v="8"/>
    <n v="2"/>
    <n v="1.5"/>
    <n v="3"/>
    <x v="2"/>
    <x v="0"/>
    <d v="2023-08-12T00:00:00"/>
  </r>
  <r>
    <s v="TXN_2213556"/>
    <x v="0"/>
    <n v="1"/>
    <n v="2"/>
    <n v="2"/>
    <x v="1"/>
    <x v="1"/>
    <d v="2023-05-30T00:00:00"/>
  </r>
  <r>
    <s v="TXN_3826038"/>
    <x v="3"/>
    <n v="1"/>
    <n v="5"/>
    <n v="5"/>
    <x v="1"/>
    <x v="0"/>
    <d v="2023-10-20T00:00:00"/>
  </r>
  <r>
    <s v="TXN_7596587"/>
    <x v="8"/>
    <n v="3"/>
    <n v="1.5"/>
    <n v="4.5"/>
    <x v="0"/>
    <x v="2"/>
    <d v="2023-02-08T00:00:00"/>
  </r>
  <r>
    <s v="TXN_7380277"/>
    <x v="6"/>
    <n v="4"/>
    <n v="4"/>
    <n v="16"/>
    <x v="3"/>
    <x v="0"/>
    <d v="2023-04-24T00:00:00"/>
  </r>
  <r>
    <s v="TXN_1353479"/>
    <x v="4"/>
    <n v="4"/>
    <n v="4"/>
    <n v="16"/>
    <x v="1"/>
    <x v="2"/>
    <d v="2023-09-20T00:00:00"/>
  </r>
  <r>
    <s v="TXN_6054137"/>
    <x v="7"/>
    <n v="3"/>
    <n v="3"/>
    <n v="9"/>
    <x v="2"/>
    <x v="1"/>
    <d v="2023-05-09T00:00:00"/>
  </r>
  <r>
    <s v="TXN_7609853"/>
    <x v="6"/>
    <n v="1"/>
    <n v="4"/>
    <n v="4"/>
    <x v="3"/>
    <x v="1"/>
    <d v="2023-04-22T00:00:00"/>
  </r>
  <r>
    <s v="TXN_9266394"/>
    <x v="2"/>
    <n v="2"/>
    <n v="1"/>
    <n v="2"/>
    <x v="0"/>
    <x v="1"/>
    <d v="2023-07-12T00:00:00"/>
  </r>
  <r>
    <s v="TXN_5448157"/>
    <x v="5"/>
    <n v="3"/>
    <n v="1"/>
    <n v="3"/>
    <x v="0"/>
    <x v="2"/>
    <d v="2023-01-11T00:00:00"/>
  </r>
  <r>
    <s v="TXN_8298311"/>
    <x v="8"/>
    <n v="2"/>
    <n v="1.5"/>
    <n v="3"/>
    <x v="3"/>
    <x v="1"/>
    <m/>
  </r>
  <r>
    <s v="TXN_6744866"/>
    <x v="8"/>
    <n v="4"/>
    <n v="1.5"/>
    <n v="6"/>
    <x v="2"/>
    <x v="0"/>
    <m/>
  </r>
  <r>
    <s v="TXN_6152588"/>
    <x v="0"/>
    <n v="3"/>
    <n v="2"/>
    <n v="6"/>
    <x v="1"/>
    <x v="0"/>
    <d v="2023-11-21T00:00:00"/>
  </r>
  <r>
    <s v="TXN_6569656"/>
    <x v="5"/>
    <n v="5"/>
    <n v="1"/>
    <n v="5"/>
    <x v="1"/>
    <x v="2"/>
    <d v="2023-02-28T00:00:00"/>
  </r>
  <r>
    <s v="TXN_2156206"/>
    <x v="4"/>
    <n v="2"/>
    <n v="4"/>
    <n v="8"/>
    <x v="2"/>
    <x v="2"/>
    <d v="2023-02-04T00:00:00"/>
  </r>
  <r>
    <s v="TXN_3142258"/>
    <x v="3"/>
    <n v="4"/>
    <n v="5"/>
    <n v="20"/>
    <x v="2"/>
    <x v="0"/>
    <d v="2023-11-03T00:00:00"/>
  </r>
  <r>
    <s v="TXN_5739806"/>
    <x v="4"/>
    <n v="3"/>
    <n v="4"/>
    <n v="12"/>
    <x v="0"/>
    <x v="1"/>
    <d v="2023-09-18T00:00:00"/>
  </r>
  <r>
    <s v="TXN_9228978"/>
    <x v="0"/>
    <n v="5"/>
    <n v="2"/>
    <n v="10"/>
    <x v="3"/>
    <x v="1"/>
    <d v="2023-02-09T00:00:00"/>
  </r>
  <r>
    <s v="TXN_5897205"/>
    <x v="2"/>
    <n v="1"/>
    <n v="1"/>
    <n v="1"/>
    <x v="2"/>
    <x v="1"/>
    <d v="2023-06-10T00:00:00"/>
  </r>
  <r>
    <s v="TXN_1556652"/>
    <x v="1"/>
    <n v="5"/>
    <n v="3"/>
    <n v="15"/>
    <x v="3"/>
    <x v="2"/>
    <d v="2023-04-06T00:00:00"/>
  </r>
  <r>
    <s v="TXN_8608765"/>
    <x v="3"/>
    <n v="4"/>
    <n v="5"/>
    <n v="20"/>
    <x v="0"/>
    <x v="2"/>
    <d v="2023-09-02T00:00:00"/>
  </r>
  <r>
    <s v="TXN_8764825"/>
    <x v="4"/>
    <n v="3"/>
    <n v="4"/>
    <n v="12"/>
    <x v="1"/>
    <x v="2"/>
    <m/>
  </r>
  <r>
    <s v="TXN_7353972"/>
    <x v="5"/>
    <n v="4"/>
    <n v="3"/>
    <n v="12"/>
    <x v="1"/>
    <x v="1"/>
    <d v="2023-02-02T00:00:00"/>
  </r>
  <r>
    <s v="TXN_1124753"/>
    <x v="3"/>
    <n v="4"/>
    <n v="5"/>
    <n v="20"/>
    <x v="3"/>
    <x v="1"/>
    <d v="2023-10-19T00:00:00"/>
  </r>
  <r>
    <s v="TXN_9410981"/>
    <x v="2"/>
    <n v="2"/>
    <n v="1"/>
    <n v="2"/>
    <x v="2"/>
    <x v="0"/>
    <d v="2023-02-07T00:00:00"/>
  </r>
  <r>
    <s v="TXN_9349962"/>
    <x v="5"/>
    <n v="4"/>
    <n v="4"/>
    <n v="16"/>
    <x v="2"/>
    <x v="1"/>
    <m/>
  </r>
  <r>
    <s v="TXN_7611120"/>
    <x v="7"/>
    <n v="2"/>
    <n v="3"/>
    <n v="6"/>
    <x v="1"/>
    <x v="0"/>
    <d v="2023-03-30T00:00:00"/>
  </r>
  <r>
    <s v="TXN_2106959"/>
    <x v="6"/>
    <n v="5"/>
    <n v="4"/>
    <n v="20"/>
    <x v="3"/>
    <x v="2"/>
    <d v="2023-09-05T00:00:00"/>
  </r>
  <r>
    <s v="TXN_2237115"/>
    <x v="0"/>
    <n v="1"/>
    <n v="2"/>
    <n v="2"/>
    <x v="2"/>
    <x v="0"/>
    <d v="2023-01-13T00:00:00"/>
  </r>
  <r>
    <s v="TXN_6836137"/>
    <x v="1"/>
    <n v="4"/>
    <n v="3"/>
    <n v="12"/>
    <x v="2"/>
    <x v="1"/>
    <d v="2023-08-30T00:00:00"/>
  </r>
  <r>
    <s v="TXN_6316959"/>
    <x v="8"/>
    <n v="2"/>
    <n v="1.5"/>
    <n v="3"/>
    <x v="1"/>
    <x v="1"/>
    <d v="2023-11-10T00:00:00"/>
  </r>
  <r>
    <s v="TXN_2265984"/>
    <x v="2"/>
    <n v="5"/>
    <n v="1"/>
    <n v="5"/>
    <x v="0"/>
    <x v="0"/>
    <d v="2023-10-18T00:00:00"/>
  </r>
  <r>
    <s v="TXN_6352917"/>
    <x v="3"/>
    <n v="5"/>
    <n v="5"/>
    <n v="25"/>
    <x v="1"/>
    <x v="2"/>
    <d v="2023-05-05T00:00:00"/>
  </r>
  <r>
    <s v="TXN_9564123"/>
    <x v="1"/>
    <n v="4"/>
    <n v="3"/>
    <n v="12"/>
    <x v="0"/>
    <x v="2"/>
    <d v="2023-03-23T00:00:00"/>
  </r>
  <r>
    <s v="TXN_3946544"/>
    <x v="1"/>
    <n v="5"/>
    <n v="3"/>
    <n v="15"/>
    <x v="0"/>
    <x v="2"/>
    <m/>
  </r>
  <r>
    <s v="TXN_1123138"/>
    <x v="3"/>
    <n v="1"/>
    <n v="5"/>
    <n v="5"/>
    <x v="1"/>
    <x v="1"/>
    <d v="2023-02-10T00:00:00"/>
  </r>
  <r>
    <s v="TXN_9212503"/>
    <x v="3"/>
    <n v="2"/>
    <n v="5"/>
    <n v="10"/>
    <x v="3"/>
    <x v="0"/>
    <d v="2023-10-08T00:00:00"/>
  </r>
  <r>
    <s v="TXN_1921262"/>
    <x v="6"/>
    <n v="2"/>
    <n v="4"/>
    <n v="8"/>
    <x v="2"/>
    <x v="2"/>
    <d v="2023-11-24T00:00:00"/>
  </r>
  <r>
    <s v="TXN_1259824"/>
    <x v="2"/>
    <n v="5"/>
    <n v="1"/>
    <n v="5"/>
    <x v="3"/>
    <x v="0"/>
    <d v="2023-04-29T00:00:00"/>
  </r>
  <r>
    <s v="TXN_6868049"/>
    <x v="7"/>
    <n v="5"/>
    <n v="3"/>
    <n v="15"/>
    <x v="3"/>
    <x v="2"/>
    <m/>
  </r>
  <r>
    <s v="TXN_2806243"/>
    <x v="3"/>
    <n v="4"/>
    <n v="5"/>
    <n v="20"/>
    <x v="3"/>
    <x v="0"/>
    <d v="2023-01-14T00:00:00"/>
  </r>
  <r>
    <s v="TXN_9759896"/>
    <x v="8"/>
    <n v="4"/>
    <n v="1.5"/>
    <n v="6"/>
    <x v="2"/>
    <x v="2"/>
    <d v="2023-12-02T00:00:00"/>
  </r>
  <r>
    <s v="TXN_7560807"/>
    <x v="3"/>
    <n v="2"/>
    <n v="5"/>
    <n v="10"/>
    <x v="0"/>
    <x v="2"/>
    <d v="2023-04-16T00:00:00"/>
  </r>
  <r>
    <s v="TXN_3286932"/>
    <x v="2"/>
    <n v="1"/>
    <n v="1"/>
    <n v="1"/>
    <x v="3"/>
    <x v="0"/>
    <d v="2023-07-11T00:00:00"/>
  </r>
  <r>
    <s v="TXN_3481470"/>
    <x v="3"/>
    <n v="4"/>
    <n v="5"/>
    <n v="20"/>
    <x v="0"/>
    <x v="1"/>
    <d v="2023-12-24T00:00:00"/>
  </r>
  <r>
    <s v="TXN_9907327"/>
    <x v="3"/>
    <n v="2"/>
    <n v="5"/>
    <n v="10"/>
    <x v="0"/>
    <x v="2"/>
    <d v="2023-10-07T00:00:00"/>
  </r>
  <r>
    <s v="TXN_3469469"/>
    <x v="2"/>
    <n v="1"/>
    <n v="1"/>
    <n v="1"/>
    <x v="3"/>
    <x v="1"/>
    <d v="2023-10-25T00:00:00"/>
  </r>
  <r>
    <s v="TXN_2681833"/>
    <x v="5"/>
    <n v="3"/>
    <n v="1"/>
    <n v="3"/>
    <x v="3"/>
    <x v="1"/>
    <d v="2023-10-05T00:00:00"/>
  </r>
  <r>
    <s v="TXN_3179966"/>
    <x v="8"/>
    <n v="2"/>
    <n v="1.5"/>
    <n v="3"/>
    <x v="3"/>
    <x v="2"/>
    <d v="2023-05-27T00:00:00"/>
  </r>
  <r>
    <s v="TXN_9289174"/>
    <x v="1"/>
    <n v="4"/>
    <n v="3"/>
    <n v="12"/>
    <x v="3"/>
    <x v="1"/>
    <d v="2023-12-30T00:00:00"/>
  </r>
  <r>
    <s v="TXN_3629351"/>
    <x v="1"/>
    <n v="1"/>
    <n v="3"/>
    <n v="3"/>
    <x v="3"/>
    <x v="2"/>
    <d v="2023-07-21T00:00:00"/>
  </r>
  <r>
    <s v="TXN_3142836"/>
    <x v="1"/>
    <n v="2"/>
    <n v="3"/>
    <n v="6"/>
    <x v="1"/>
    <x v="2"/>
    <d v="2023-11-01T00:00:00"/>
  </r>
  <r>
    <s v="TXN_4998786"/>
    <x v="1"/>
    <n v="5"/>
    <n v="3"/>
    <n v="15"/>
    <x v="0"/>
    <x v="0"/>
    <d v="2023-10-25T00:00:00"/>
  </r>
  <r>
    <s v="TXN_7228816"/>
    <x v="3"/>
    <n v="1"/>
    <n v="5"/>
    <n v="5"/>
    <x v="2"/>
    <x v="1"/>
    <d v="2023-04-21T00:00:00"/>
  </r>
  <r>
    <s v="TXN_6904590"/>
    <x v="0"/>
    <n v="4"/>
    <n v="2"/>
    <n v="8"/>
    <x v="0"/>
    <x v="2"/>
    <d v="2023-02-19T00:00:00"/>
  </r>
  <r>
    <s v="TXN_2126408"/>
    <x v="2"/>
    <n v="3"/>
    <n v="1"/>
    <n v="3"/>
    <x v="1"/>
    <x v="0"/>
    <d v="2023-10-19T00:00:00"/>
  </r>
  <r>
    <s v="TXN_8664315"/>
    <x v="3"/>
    <n v="2"/>
    <n v="5"/>
    <n v="10"/>
    <x v="1"/>
    <x v="2"/>
    <d v="2023-08-14T00:00:00"/>
  </r>
  <r>
    <s v="TXN_8958593"/>
    <x v="7"/>
    <n v="5"/>
    <n v="3"/>
    <n v="15"/>
    <x v="3"/>
    <x v="1"/>
    <d v="2023-07-08T00:00:00"/>
  </r>
  <r>
    <s v="TXN_2383598"/>
    <x v="6"/>
    <n v="2"/>
    <n v="4"/>
    <n v="8"/>
    <x v="3"/>
    <x v="1"/>
    <d v="2023-09-19T00:00:00"/>
  </r>
  <r>
    <s v="TXN_2211685"/>
    <x v="4"/>
    <n v="1"/>
    <n v="4"/>
    <n v="4"/>
    <x v="0"/>
    <x v="1"/>
    <d v="2023-06-06T00:00:00"/>
  </r>
  <r>
    <s v="TXN_1503602"/>
    <x v="8"/>
    <n v="5"/>
    <n v="1.5"/>
    <n v="7.5"/>
    <x v="3"/>
    <x v="2"/>
    <d v="2023-12-16T00:00:00"/>
  </r>
  <r>
    <s v="TXN_2962976"/>
    <x v="7"/>
    <m/>
    <n v="3"/>
    <m/>
    <x v="2"/>
    <x v="2"/>
    <d v="2023-03-17T00:00:00"/>
  </r>
  <r>
    <s v="TXN_8716752"/>
    <x v="7"/>
    <n v="1"/>
    <n v="3"/>
    <n v="3"/>
    <x v="2"/>
    <x v="1"/>
    <d v="2023-12-05T00:00:00"/>
  </r>
  <r>
    <s v="TXN_4266787"/>
    <x v="7"/>
    <n v="4"/>
    <n v="3"/>
    <n v="12"/>
    <x v="0"/>
    <x v="0"/>
    <d v="2023-01-12T00:00:00"/>
  </r>
  <r>
    <s v="TXN_5933480"/>
    <x v="6"/>
    <n v="3"/>
    <n v="4"/>
    <n v="12"/>
    <x v="3"/>
    <x v="1"/>
    <d v="2023-09-04T00:00:00"/>
  </r>
  <r>
    <s v="TXN_8255965"/>
    <x v="7"/>
    <n v="2"/>
    <n v="3"/>
    <n v="6"/>
    <x v="2"/>
    <x v="1"/>
    <d v="2023-11-16T00:00:00"/>
  </r>
  <r>
    <s v="TXN_4364091"/>
    <x v="4"/>
    <n v="1"/>
    <n v="4"/>
    <n v="4"/>
    <x v="2"/>
    <x v="0"/>
    <d v="2023-04-14T00:00:00"/>
  </r>
  <r>
    <s v="TXN_9203920"/>
    <x v="5"/>
    <n v="4"/>
    <n v="3"/>
    <n v="12"/>
    <x v="2"/>
    <x v="0"/>
    <d v="2023-11-01T00:00:00"/>
  </r>
  <r>
    <s v="TXN_8964812"/>
    <x v="3"/>
    <n v="4"/>
    <n v="5"/>
    <n v="20"/>
    <x v="3"/>
    <x v="2"/>
    <d v="2023-10-14T00:00:00"/>
  </r>
  <r>
    <s v="TXN_6721531"/>
    <x v="8"/>
    <n v="4"/>
    <n v="1.5"/>
    <n v="6"/>
    <x v="2"/>
    <x v="1"/>
    <d v="2023-03-06T00:00:00"/>
  </r>
  <r>
    <s v="TXN_5447508"/>
    <x v="6"/>
    <n v="3"/>
    <n v="4"/>
    <n v="12"/>
    <x v="3"/>
    <x v="0"/>
    <d v="2023-06-28T00:00:00"/>
  </r>
  <r>
    <s v="TXN_5686113"/>
    <x v="6"/>
    <n v="5"/>
    <n v="4"/>
    <n v="20"/>
    <x v="3"/>
    <x v="1"/>
    <d v="2023-09-09T00:00:00"/>
  </r>
  <r>
    <s v="TXN_9239779"/>
    <x v="3"/>
    <n v="1"/>
    <n v="5"/>
    <n v="5"/>
    <x v="1"/>
    <x v="2"/>
    <d v="2023-01-09T00:00:00"/>
  </r>
  <r>
    <s v="TXN_9265319"/>
    <x v="3"/>
    <n v="3"/>
    <n v="5"/>
    <n v="15"/>
    <x v="1"/>
    <x v="2"/>
    <d v="2023-11-15T00:00:00"/>
  </r>
  <r>
    <s v="TXN_9265313"/>
    <x v="1"/>
    <n v="3"/>
    <n v="3"/>
    <n v="9"/>
    <x v="2"/>
    <x v="1"/>
    <d v="2023-10-01T00:00:00"/>
  </r>
  <r>
    <s v="TXN_3397609"/>
    <x v="4"/>
    <n v="2"/>
    <n v="4"/>
    <n v="8"/>
    <x v="3"/>
    <x v="1"/>
    <d v="2023-07-22T00:00:00"/>
  </r>
  <r>
    <s v="TXN_9347203"/>
    <x v="6"/>
    <n v="5"/>
    <n v="4"/>
    <n v="20"/>
    <x v="1"/>
    <x v="1"/>
    <d v="2023-04-15T00:00:00"/>
  </r>
  <r>
    <s v="TXN_2132186"/>
    <x v="3"/>
    <n v="1"/>
    <n v="5"/>
    <n v="5"/>
    <x v="0"/>
    <x v="2"/>
    <d v="2023-02-01T00:00:00"/>
  </r>
  <r>
    <s v="TXN_3383926"/>
    <x v="1"/>
    <n v="3"/>
    <n v="3"/>
    <n v="9"/>
    <x v="1"/>
    <x v="0"/>
    <d v="2023-07-08T00:00:00"/>
  </r>
  <r>
    <s v="TXN_6905718"/>
    <x v="3"/>
    <n v="5"/>
    <n v="5"/>
    <n v="25"/>
    <x v="0"/>
    <x v="1"/>
    <d v="2023-02-20T00:00:00"/>
  </r>
  <r>
    <s v="TXN_3130548"/>
    <x v="2"/>
    <n v="4"/>
    <n v="1"/>
    <n v="4"/>
    <x v="2"/>
    <x v="0"/>
    <d v="2023-08-21T00:00:00"/>
  </r>
  <r>
    <s v="TXN_9356512"/>
    <x v="3"/>
    <n v="3"/>
    <n v="5"/>
    <n v="15"/>
    <x v="0"/>
    <x v="2"/>
    <d v="2023-06-06T00:00:00"/>
  </r>
  <r>
    <s v="TXN_7993951"/>
    <x v="8"/>
    <n v="2"/>
    <n v="1.5"/>
    <n v="3"/>
    <x v="3"/>
    <x v="0"/>
    <d v="2023-12-14T00:00:00"/>
  </r>
  <r>
    <s v="TXN_6362093"/>
    <x v="5"/>
    <n v="3"/>
    <n v="2"/>
    <n v="6"/>
    <x v="2"/>
    <x v="2"/>
    <d v="2023-03-19T00:00:00"/>
  </r>
  <r>
    <s v="TXN_4876440"/>
    <x v="2"/>
    <n v="3"/>
    <n v="1"/>
    <n v="3"/>
    <x v="2"/>
    <x v="0"/>
    <d v="2023-07-01T00:00:00"/>
  </r>
  <r>
    <s v="TXN_9323513"/>
    <x v="1"/>
    <n v="3"/>
    <n v="3"/>
    <n v="9"/>
    <x v="2"/>
    <x v="0"/>
    <d v="2023-05-04T00:00:00"/>
  </r>
  <r>
    <s v="TXN_9097641"/>
    <x v="1"/>
    <n v="4"/>
    <n v="3"/>
    <n v="12"/>
    <x v="1"/>
    <x v="0"/>
    <d v="2023-12-16T00:00:00"/>
  </r>
  <r>
    <s v="TXN_1775884"/>
    <x v="7"/>
    <n v="4"/>
    <n v="3"/>
    <n v="12"/>
    <x v="1"/>
    <x v="2"/>
    <d v="2023-10-08T00:00:00"/>
  </r>
  <r>
    <s v="TXN_8536115"/>
    <x v="1"/>
    <n v="1"/>
    <n v="3"/>
    <n v="3"/>
    <x v="0"/>
    <x v="0"/>
    <d v="2023-07-11T00:00:00"/>
  </r>
  <r>
    <s v="TXN_8032010"/>
    <x v="8"/>
    <n v="1"/>
    <n v="1.5"/>
    <n v="1.5"/>
    <x v="1"/>
    <x v="2"/>
    <d v="2023-06-14T00:00:00"/>
  </r>
  <r>
    <s v="TXN_2915281"/>
    <x v="2"/>
    <n v="1"/>
    <n v="1"/>
    <n v="1"/>
    <x v="3"/>
    <x v="1"/>
    <d v="2023-07-01T00:00:00"/>
  </r>
  <r>
    <s v="TXN_3468006"/>
    <x v="4"/>
    <n v="3"/>
    <n v="4"/>
    <n v="12"/>
    <x v="0"/>
    <x v="0"/>
    <d v="2023-07-28T00:00:00"/>
  </r>
  <r>
    <s v="TXN_7604541"/>
    <x v="7"/>
    <n v="4"/>
    <n v="3"/>
    <n v="12"/>
    <x v="0"/>
    <x v="1"/>
    <d v="2023-04-16T00:00:00"/>
  </r>
  <r>
    <s v="TXN_7806146"/>
    <x v="1"/>
    <n v="3"/>
    <n v="3"/>
    <n v="9"/>
    <x v="3"/>
    <x v="1"/>
    <d v="2023-01-30T00:00:00"/>
  </r>
  <r>
    <s v="TXN_9238689"/>
    <x v="1"/>
    <n v="1"/>
    <n v="3"/>
    <n v="3"/>
    <x v="3"/>
    <x v="1"/>
    <d v="2023-03-09T00:00:00"/>
  </r>
  <r>
    <s v="TXN_2601689"/>
    <x v="3"/>
    <n v="4"/>
    <n v="5"/>
    <n v="20"/>
    <x v="3"/>
    <x v="0"/>
    <d v="2023-01-14T00:00:00"/>
  </r>
  <r>
    <s v="TXN_6428182"/>
    <x v="1"/>
    <n v="5"/>
    <n v="3"/>
    <n v="15"/>
    <x v="1"/>
    <x v="1"/>
    <d v="2023-11-10T00:00:00"/>
  </r>
  <r>
    <s v="TXN_6830557"/>
    <x v="0"/>
    <n v="3"/>
    <n v="2"/>
    <n v="6"/>
    <x v="3"/>
    <x v="0"/>
    <d v="2023-11-08T00:00:00"/>
  </r>
  <r>
    <s v="TXN_6371264"/>
    <x v="4"/>
    <n v="5"/>
    <n v="4"/>
    <n v="20"/>
    <x v="1"/>
    <x v="0"/>
    <d v="2023-02-27T00:00:00"/>
  </r>
  <r>
    <s v="TXN_4663299"/>
    <x v="5"/>
    <n v="4"/>
    <n v="4"/>
    <n v="16"/>
    <x v="3"/>
    <x v="1"/>
    <d v="2023-12-26T00:00:00"/>
  </r>
  <r>
    <s v="TXN_9236713"/>
    <x v="2"/>
    <n v="5"/>
    <n v="1"/>
    <n v="5"/>
    <x v="1"/>
    <x v="1"/>
    <d v="2023-09-13T00:00:00"/>
  </r>
  <r>
    <s v="TXN_1079239"/>
    <x v="4"/>
    <n v="1"/>
    <n v="4"/>
    <n v="4"/>
    <x v="2"/>
    <x v="0"/>
    <d v="2023-02-08T00:00:00"/>
  </r>
  <r>
    <s v="TXN_4690833"/>
    <x v="1"/>
    <n v="1"/>
    <n v="3"/>
    <n v="3"/>
    <x v="1"/>
    <x v="0"/>
    <d v="2023-05-23T00:00:00"/>
  </r>
  <r>
    <s v="TXN_7946489"/>
    <x v="7"/>
    <n v="1"/>
    <n v="3"/>
    <n v="3"/>
    <x v="1"/>
    <x v="0"/>
    <d v="2023-09-11T00:00:00"/>
  </r>
  <r>
    <s v="TXN_8661288"/>
    <x v="3"/>
    <n v="2"/>
    <n v="5"/>
    <n v="10"/>
    <x v="3"/>
    <x v="0"/>
    <d v="2023-01-27T00:00:00"/>
  </r>
  <r>
    <s v="TXN_7187207"/>
    <x v="0"/>
    <n v="5"/>
    <n v="2"/>
    <n v="10"/>
    <x v="1"/>
    <x v="2"/>
    <d v="2023-02-18T00:00:00"/>
  </r>
  <r>
    <s v="TXN_4679409"/>
    <x v="5"/>
    <n v="1"/>
    <n v="2"/>
    <n v="2"/>
    <x v="2"/>
    <x v="1"/>
    <d v="2023-03-25T00:00:00"/>
  </r>
  <r>
    <s v="TXN_2866147"/>
    <x v="7"/>
    <n v="2"/>
    <n v="3"/>
    <n v="6"/>
    <x v="2"/>
    <x v="0"/>
    <d v="2023-08-28T00:00:00"/>
  </r>
  <r>
    <s v="TXN_5637677"/>
    <x v="5"/>
    <n v="2"/>
    <n v="3"/>
    <n v="6"/>
    <x v="3"/>
    <x v="0"/>
    <d v="2023-08-24T00:00:00"/>
  </r>
  <r>
    <s v="TXN_7444541"/>
    <x v="3"/>
    <n v="2"/>
    <n v="5"/>
    <n v="10"/>
    <x v="1"/>
    <x v="2"/>
    <d v="2023-11-29T00:00:00"/>
  </r>
  <r>
    <s v="TXN_6046604"/>
    <x v="2"/>
    <n v="5"/>
    <n v="1"/>
    <n v="5"/>
    <x v="0"/>
    <x v="2"/>
    <d v="2023-06-29T00:00:00"/>
  </r>
  <r>
    <s v="TXN_6111710"/>
    <x v="3"/>
    <n v="3"/>
    <n v="5"/>
    <n v="15"/>
    <x v="0"/>
    <x v="1"/>
    <d v="2023-06-18T00:00:00"/>
  </r>
  <r>
    <s v="TXN_5476465"/>
    <x v="1"/>
    <n v="4"/>
    <n v="3"/>
    <n v="12"/>
    <x v="1"/>
    <x v="1"/>
    <d v="2023-06-23T00:00:00"/>
  </r>
  <r>
    <s v="TXN_1773873"/>
    <x v="3"/>
    <n v="5"/>
    <n v="5"/>
    <n v="25"/>
    <x v="0"/>
    <x v="0"/>
    <d v="2023-06-10T00:00:00"/>
  </r>
  <r>
    <s v="TXN_7688650"/>
    <x v="8"/>
    <n v="2"/>
    <n v="1.5"/>
    <n v="3"/>
    <x v="2"/>
    <x v="2"/>
    <d v="2023-10-26T00:00:00"/>
  </r>
  <r>
    <s v="TXN_4570711"/>
    <x v="6"/>
    <n v="4"/>
    <n v="4"/>
    <n v="16"/>
    <x v="0"/>
    <x v="1"/>
    <d v="2023-12-11T00:00:00"/>
  </r>
  <r>
    <s v="TXN_5242469"/>
    <x v="0"/>
    <n v="4"/>
    <n v="2"/>
    <n v="8"/>
    <x v="0"/>
    <x v="0"/>
    <d v="2023-04-01T00:00:00"/>
  </r>
  <r>
    <s v="TXN_2977414"/>
    <x v="1"/>
    <n v="4"/>
    <n v="3"/>
    <n v="12"/>
    <x v="2"/>
    <x v="2"/>
    <d v="2023-06-09T00:00:00"/>
  </r>
  <r>
    <s v="TXN_8938144"/>
    <x v="0"/>
    <n v="2"/>
    <n v="2"/>
    <n v="4"/>
    <x v="0"/>
    <x v="2"/>
    <d v="2023-01-27T00:00:00"/>
  </r>
  <r>
    <s v="TXN_6434414"/>
    <x v="5"/>
    <n v="1"/>
    <n v="2"/>
    <n v="2"/>
    <x v="3"/>
    <x v="0"/>
    <d v="2023-03-10T00:00:00"/>
  </r>
  <r>
    <s v="TXN_1655100"/>
    <x v="1"/>
    <n v="4"/>
    <n v="3"/>
    <n v="12"/>
    <x v="0"/>
    <x v="0"/>
    <d v="2023-12-20T00:00:00"/>
  </r>
  <r>
    <s v="TXN_1526864"/>
    <x v="4"/>
    <n v="3"/>
    <n v="4"/>
    <n v="12"/>
    <x v="3"/>
    <x v="1"/>
    <d v="2023-01-27T00:00:00"/>
  </r>
  <r>
    <s v="TXN_1279428"/>
    <x v="3"/>
    <n v="1"/>
    <n v="5"/>
    <n v="5"/>
    <x v="3"/>
    <x v="2"/>
    <d v="2023-03-02T00:00:00"/>
  </r>
  <r>
    <s v="TXN_9866728"/>
    <x v="7"/>
    <n v="1"/>
    <n v="3"/>
    <n v="3"/>
    <x v="1"/>
    <x v="1"/>
    <d v="2023-10-26T00:00:00"/>
  </r>
  <r>
    <s v="TXN_1706201"/>
    <x v="0"/>
    <n v="3"/>
    <n v="2"/>
    <n v="6"/>
    <x v="0"/>
    <x v="1"/>
    <d v="2023-08-23T00:00:00"/>
  </r>
  <r>
    <s v="TXN_2498488"/>
    <x v="4"/>
    <n v="2"/>
    <n v="4"/>
    <n v="8"/>
    <x v="3"/>
    <x v="0"/>
    <d v="2023-12-06T00:00:00"/>
  </r>
  <r>
    <s v="TXN_5387067"/>
    <x v="3"/>
    <n v="3"/>
    <n v="5"/>
    <n v="15"/>
    <x v="0"/>
    <x v="2"/>
    <d v="2023-06-11T00:00:00"/>
  </r>
  <r>
    <s v="TXN_4431179"/>
    <x v="6"/>
    <n v="3"/>
    <n v="4"/>
    <n v="12"/>
    <x v="3"/>
    <x v="0"/>
    <d v="2023-08-13T00:00:00"/>
  </r>
  <r>
    <s v="TXN_5051924"/>
    <x v="8"/>
    <n v="5"/>
    <n v="1.5"/>
    <n v="7.5"/>
    <x v="2"/>
    <x v="2"/>
    <d v="2023-05-23T00:00:00"/>
  </r>
  <r>
    <s v="TXN_9033890"/>
    <x v="3"/>
    <n v="1"/>
    <n v="5"/>
    <n v="5"/>
    <x v="2"/>
    <x v="0"/>
    <d v="2023-08-05T00:00:00"/>
  </r>
  <r>
    <s v="TXN_1777959"/>
    <x v="8"/>
    <n v="5"/>
    <n v="1.5"/>
    <n v="7.5"/>
    <x v="2"/>
    <x v="0"/>
    <d v="2023-10-18T00:00:00"/>
  </r>
  <r>
    <s v="TXN_3574059"/>
    <x v="1"/>
    <n v="1"/>
    <n v="3"/>
    <n v="3"/>
    <x v="2"/>
    <x v="2"/>
    <d v="2023-01-18T00:00:00"/>
  </r>
  <r>
    <s v="TXN_8386792"/>
    <x v="0"/>
    <n v="3"/>
    <n v="2"/>
    <n v="6"/>
    <x v="2"/>
    <x v="1"/>
    <d v="2023-10-05T00:00:00"/>
  </r>
  <r>
    <s v="TXN_2108894"/>
    <x v="6"/>
    <n v="4"/>
    <n v="4"/>
    <n v="16"/>
    <x v="0"/>
    <x v="1"/>
    <d v="2023-10-30T00:00:00"/>
  </r>
  <r>
    <s v="TXN_6347472"/>
    <x v="8"/>
    <n v="1"/>
    <n v="1.5"/>
    <n v="1.5"/>
    <x v="3"/>
    <x v="1"/>
    <d v="2023-03-22T00:00:00"/>
  </r>
  <r>
    <s v="TXN_8699110"/>
    <x v="3"/>
    <n v="3"/>
    <n v="5"/>
    <n v="15"/>
    <x v="2"/>
    <x v="0"/>
    <d v="2023-10-11T00:00:00"/>
  </r>
  <r>
    <s v="TXN_7188412"/>
    <x v="6"/>
    <n v="1"/>
    <n v="4"/>
    <n v="4"/>
    <x v="2"/>
    <x v="0"/>
    <d v="2023-08-08T00:00:00"/>
  </r>
  <r>
    <s v="TXN_6178152"/>
    <x v="5"/>
    <n v="5"/>
    <n v="1.5"/>
    <n v="7.5"/>
    <x v="2"/>
    <x v="2"/>
    <d v="2023-12-26T00:00:00"/>
  </r>
  <r>
    <s v="TXN_3477767"/>
    <x v="2"/>
    <n v="3"/>
    <n v="1"/>
    <n v="3"/>
    <x v="3"/>
    <x v="2"/>
    <m/>
  </r>
  <r>
    <s v="TXN_8345723"/>
    <x v="6"/>
    <n v="1"/>
    <n v="4"/>
    <n v="4"/>
    <x v="3"/>
    <x v="0"/>
    <d v="2023-08-27T00:00:00"/>
  </r>
  <r>
    <s v="TXN_9989415"/>
    <x v="4"/>
    <n v="5"/>
    <n v="4"/>
    <n v="20"/>
    <x v="0"/>
    <x v="0"/>
    <d v="2023-05-26T00:00:00"/>
  </r>
  <r>
    <s v="TXN_4476634"/>
    <x v="8"/>
    <n v="2"/>
    <n v="1.5"/>
    <n v="3"/>
    <x v="0"/>
    <x v="2"/>
    <d v="2023-06-16T00:00:00"/>
  </r>
  <r>
    <s v="TXN_1932897"/>
    <x v="2"/>
    <n v="1"/>
    <n v="1"/>
    <n v="1"/>
    <x v="2"/>
    <x v="0"/>
    <m/>
  </r>
  <r>
    <s v="TXN_2178964"/>
    <x v="8"/>
    <n v="4"/>
    <n v="1.5"/>
    <n v="6"/>
    <x v="1"/>
    <x v="0"/>
    <d v="2023-12-25T00:00:00"/>
  </r>
  <r>
    <s v="TXN_5213542"/>
    <x v="5"/>
    <n v="3"/>
    <n v="2"/>
    <n v="6"/>
    <x v="0"/>
    <x v="1"/>
    <d v="2023-08-21T00:00:00"/>
  </r>
  <r>
    <s v="TXN_7889745"/>
    <x v="6"/>
    <n v="4"/>
    <n v="4"/>
    <n v="16"/>
    <x v="2"/>
    <x v="2"/>
    <d v="2023-01-25T00:00:00"/>
  </r>
  <r>
    <s v="TXN_7020671"/>
    <x v="0"/>
    <n v="1"/>
    <n v="2"/>
    <n v="2"/>
    <x v="2"/>
    <x v="2"/>
    <d v="2023-09-01T00:00:00"/>
  </r>
  <r>
    <s v="TXN_8297135"/>
    <x v="5"/>
    <n v="2"/>
    <n v="4"/>
    <n v="8"/>
    <x v="2"/>
    <x v="2"/>
    <d v="2023-09-16T00:00:00"/>
  </r>
  <r>
    <s v="TXN_6581437"/>
    <x v="0"/>
    <n v="5"/>
    <n v="2"/>
    <n v="10"/>
    <x v="3"/>
    <x v="0"/>
    <d v="2023-10-23T00:00:00"/>
  </r>
  <r>
    <s v="TXN_1347965"/>
    <x v="2"/>
    <n v="5"/>
    <n v="1"/>
    <n v="5"/>
    <x v="2"/>
    <x v="1"/>
    <d v="2023-02-19T00:00:00"/>
  </r>
  <r>
    <s v="TXN_6128621"/>
    <x v="3"/>
    <n v="3"/>
    <n v="5"/>
    <n v="15"/>
    <x v="3"/>
    <x v="1"/>
    <d v="2023-11-10T00:00:00"/>
  </r>
  <r>
    <s v="TXN_5758199"/>
    <x v="0"/>
    <n v="4"/>
    <n v="2"/>
    <n v="8"/>
    <x v="0"/>
    <x v="2"/>
    <d v="2023-06-11T00:00:00"/>
  </r>
  <r>
    <s v="TXN_3145041"/>
    <x v="8"/>
    <n v="5"/>
    <n v="1.5"/>
    <n v="7.5"/>
    <x v="2"/>
    <x v="2"/>
    <d v="2023-09-23T00:00:00"/>
  </r>
  <r>
    <s v="TXN_9960577"/>
    <x v="6"/>
    <n v="1"/>
    <n v="4"/>
    <n v="4"/>
    <x v="1"/>
    <x v="2"/>
    <d v="2023-06-24T00:00:00"/>
  </r>
  <r>
    <s v="TXN_1349738"/>
    <x v="6"/>
    <n v="3"/>
    <n v="4"/>
    <n v="12"/>
    <x v="1"/>
    <x v="2"/>
    <d v="2023-03-26T00:00:00"/>
  </r>
  <r>
    <s v="TXN_4512118"/>
    <x v="0"/>
    <n v="2"/>
    <n v="2"/>
    <n v="4"/>
    <x v="3"/>
    <x v="0"/>
    <d v="2023-04-20T00:00:00"/>
  </r>
  <r>
    <s v="TXN_5763254"/>
    <x v="0"/>
    <n v="3"/>
    <n v="2"/>
    <n v="6"/>
    <x v="3"/>
    <x v="0"/>
    <d v="2023-09-15T00:00:00"/>
  </r>
  <r>
    <s v="TXN_8167279"/>
    <x v="3"/>
    <n v="5"/>
    <n v="5"/>
    <n v="25"/>
    <x v="2"/>
    <x v="1"/>
    <m/>
  </r>
  <r>
    <s v="TXN_8696094"/>
    <x v="6"/>
    <m/>
    <n v="4"/>
    <m/>
    <x v="2"/>
    <x v="0"/>
    <d v="2023-05-14T00:00:00"/>
  </r>
  <r>
    <s v="TXN_8114990"/>
    <x v="7"/>
    <n v="1"/>
    <n v="3"/>
    <n v="3"/>
    <x v="2"/>
    <x v="2"/>
    <d v="2023-02-27T00:00:00"/>
  </r>
  <r>
    <s v="TXN_4961655"/>
    <x v="7"/>
    <n v="5"/>
    <n v="3"/>
    <n v="15"/>
    <x v="1"/>
    <x v="0"/>
    <d v="2023-05-06T00:00:00"/>
  </r>
  <r>
    <s v="TXN_5595352"/>
    <x v="7"/>
    <n v="1"/>
    <n v="3"/>
    <n v="3"/>
    <x v="1"/>
    <x v="1"/>
    <d v="2023-02-20T00:00:00"/>
  </r>
  <r>
    <s v="TXN_2070818"/>
    <x v="4"/>
    <n v="5"/>
    <n v="4"/>
    <n v="20"/>
    <x v="2"/>
    <x v="0"/>
    <d v="2023-06-05T00:00:00"/>
  </r>
  <r>
    <s v="TXN_1090854"/>
    <x v="2"/>
    <n v="3"/>
    <n v="1"/>
    <n v="3"/>
    <x v="0"/>
    <x v="1"/>
    <d v="2023-01-07T00:00:00"/>
  </r>
  <r>
    <s v="TXN_2004851"/>
    <x v="3"/>
    <n v="5"/>
    <n v="5"/>
    <n v="25"/>
    <x v="0"/>
    <x v="2"/>
    <m/>
  </r>
  <r>
    <s v="TXN_1869814"/>
    <x v="8"/>
    <n v="1"/>
    <n v="1.5"/>
    <n v="1.5"/>
    <x v="3"/>
    <x v="0"/>
    <d v="2023-05-24T00:00:00"/>
  </r>
  <r>
    <s v="TXN_8296518"/>
    <x v="5"/>
    <n v="2"/>
    <n v="4"/>
    <n v="8"/>
    <x v="0"/>
    <x v="1"/>
    <d v="2023-02-08T00:00:00"/>
  </r>
  <r>
    <s v="TXN_6910915"/>
    <x v="8"/>
    <n v="4"/>
    <n v="1.5"/>
    <n v="6"/>
    <x v="3"/>
    <x v="0"/>
    <d v="2023-05-06T00:00:00"/>
  </r>
  <r>
    <s v="TXN_3183527"/>
    <x v="0"/>
    <n v="3"/>
    <n v="2"/>
    <n v="6"/>
    <x v="3"/>
    <x v="2"/>
    <d v="2023-10-26T00:00:00"/>
  </r>
  <r>
    <s v="TXN_6916047"/>
    <x v="0"/>
    <n v="2"/>
    <n v="2"/>
    <n v="4"/>
    <x v="3"/>
    <x v="1"/>
    <m/>
  </r>
  <r>
    <s v="TXN_5787508"/>
    <x v="5"/>
    <n v="3"/>
    <n v="3"/>
    <n v="9"/>
    <x v="0"/>
    <x v="0"/>
    <d v="2023-07-23T00:00:00"/>
  </r>
  <r>
    <s v="TXN_2611960"/>
    <x v="6"/>
    <n v="3"/>
    <n v="4"/>
    <n v="12"/>
    <x v="0"/>
    <x v="2"/>
    <d v="2023-09-11T00:00:00"/>
  </r>
  <r>
    <s v="TXN_7923140"/>
    <x v="0"/>
    <n v="2"/>
    <n v="2"/>
    <n v="4"/>
    <x v="3"/>
    <x v="2"/>
    <d v="2023-04-02T00:00:00"/>
  </r>
  <r>
    <s v="TXN_5229169"/>
    <x v="7"/>
    <n v="2"/>
    <n v="3"/>
    <n v="6"/>
    <x v="0"/>
    <x v="0"/>
    <d v="2023-09-08T00:00:00"/>
  </r>
  <r>
    <s v="TXN_1018880"/>
    <x v="4"/>
    <n v="5"/>
    <n v="4"/>
    <n v="20"/>
    <x v="3"/>
    <x v="2"/>
    <d v="2023-07-15T00:00:00"/>
  </r>
  <r>
    <s v="TXN_4074732"/>
    <x v="3"/>
    <n v="3"/>
    <n v="5"/>
    <n v="15"/>
    <x v="0"/>
    <x v="2"/>
    <d v="2023-04-09T00:00:00"/>
  </r>
  <r>
    <s v="TXN_9409728"/>
    <x v="8"/>
    <n v="2"/>
    <n v="1.5"/>
    <n v="3"/>
    <x v="2"/>
    <x v="1"/>
    <d v="2023-03-06T00:00:00"/>
  </r>
  <r>
    <s v="TXN_5840223"/>
    <x v="8"/>
    <n v="4"/>
    <n v="1.5"/>
    <n v="6"/>
    <x v="1"/>
    <x v="2"/>
    <d v="2023-12-20T00:00:00"/>
  </r>
  <r>
    <s v="TXN_5576265"/>
    <x v="4"/>
    <n v="4"/>
    <n v="4"/>
    <n v="16"/>
    <x v="0"/>
    <x v="0"/>
    <d v="2023-04-08T00:00:00"/>
  </r>
  <r>
    <s v="TXN_7399897"/>
    <x v="5"/>
    <n v="4"/>
    <n v="3"/>
    <n v="12"/>
    <x v="2"/>
    <x v="0"/>
    <d v="2023-11-14T00:00:00"/>
  </r>
  <r>
    <s v="TXN_5098938"/>
    <x v="8"/>
    <n v="5"/>
    <n v="1.5"/>
    <n v="7.5"/>
    <x v="2"/>
    <x v="2"/>
    <d v="2023-05-06T00:00:00"/>
  </r>
  <r>
    <s v="TXN_6119823"/>
    <x v="8"/>
    <n v="2"/>
    <n v="1.5"/>
    <n v="3"/>
    <x v="2"/>
    <x v="0"/>
    <d v="2023-06-13T00:00:00"/>
  </r>
  <r>
    <s v="TXN_7308222"/>
    <x v="3"/>
    <n v="2"/>
    <n v="5"/>
    <n v="10"/>
    <x v="2"/>
    <x v="0"/>
    <d v="2023-03-09T00:00:00"/>
  </r>
  <r>
    <s v="TXN_5408625"/>
    <x v="2"/>
    <n v="5"/>
    <n v="1"/>
    <n v="5"/>
    <x v="1"/>
    <x v="2"/>
    <d v="2023-08-14T00:00:00"/>
  </r>
  <r>
    <s v="TXN_5969754"/>
    <x v="8"/>
    <n v="4"/>
    <n v="1.5"/>
    <n v="6"/>
    <x v="2"/>
    <x v="0"/>
    <d v="2023-01-29T00:00:00"/>
  </r>
  <r>
    <s v="TXN_5740553"/>
    <x v="3"/>
    <n v="5"/>
    <n v="5"/>
    <n v="25"/>
    <x v="2"/>
    <x v="1"/>
    <d v="2023-08-29T00:00:00"/>
  </r>
  <r>
    <s v="TXN_4809497"/>
    <x v="8"/>
    <n v="4"/>
    <n v="1.5"/>
    <n v="6"/>
    <x v="1"/>
    <x v="1"/>
    <m/>
  </r>
  <r>
    <s v="TXN_2392934"/>
    <x v="5"/>
    <n v="2"/>
    <n v="2"/>
    <n v="4"/>
    <x v="2"/>
    <x v="1"/>
    <d v="2023-11-25T00:00:00"/>
  </r>
  <r>
    <s v="TXN_5728991"/>
    <x v="3"/>
    <n v="2"/>
    <n v="5"/>
    <n v="10"/>
    <x v="2"/>
    <x v="2"/>
    <d v="2023-01-01T00:00:00"/>
  </r>
  <r>
    <s v="TXN_7608816"/>
    <x v="5"/>
    <n v="3"/>
    <n v="3"/>
    <n v="9"/>
    <x v="3"/>
    <x v="1"/>
    <d v="2023-11-07T00:00:00"/>
  </r>
  <r>
    <s v="TXN_1046394"/>
    <x v="4"/>
    <n v="1"/>
    <n v="4"/>
    <n v="4"/>
    <x v="1"/>
    <x v="1"/>
    <d v="2023-04-29T00:00:00"/>
  </r>
  <r>
    <s v="TXN_3228823"/>
    <x v="5"/>
    <n v="5"/>
    <n v="1.5"/>
    <n v="7.5"/>
    <x v="2"/>
    <x v="2"/>
    <d v="2023-01-06T00:00:00"/>
  </r>
  <r>
    <s v="TXN_2269396"/>
    <x v="0"/>
    <n v="3"/>
    <n v="2"/>
    <n v="6"/>
    <x v="3"/>
    <x v="1"/>
    <d v="2023-10-26T00:00:00"/>
  </r>
  <r>
    <s v="TXN_9263967"/>
    <x v="2"/>
    <n v="3"/>
    <n v="1"/>
    <n v="3"/>
    <x v="0"/>
    <x v="1"/>
    <d v="2023-09-14T00:00:00"/>
  </r>
  <r>
    <s v="TXN_6540946"/>
    <x v="7"/>
    <n v="4"/>
    <n v="3"/>
    <n v="12"/>
    <x v="3"/>
    <x v="2"/>
    <d v="2023-10-08T00:00:00"/>
  </r>
  <r>
    <s v="TXN_2914088"/>
    <x v="3"/>
    <n v="5"/>
    <n v="5"/>
    <n v="25"/>
    <x v="1"/>
    <x v="1"/>
    <d v="2023-03-22T00:00:00"/>
  </r>
  <r>
    <s v="TXN_6571898"/>
    <x v="7"/>
    <n v="3"/>
    <n v="3"/>
    <n v="9"/>
    <x v="3"/>
    <x v="0"/>
    <d v="2023-02-02T00:00:00"/>
  </r>
  <r>
    <s v="TXN_7109358"/>
    <x v="3"/>
    <n v="5"/>
    <n v="5"/>
    <n v="25"/>
    <x v="3"/>
    <x v="2"/>
    <d v="2023-05-02T00:00:00"/>
  </r>
  <r>
    <s v="TXN_4498370"/>
    <x v="4"/>
    <n v="4"/>
    <n v="4"/>
    <n v="16"/>
    <x v="2"/>
    <x v="2"/>
    <d v="2023-07-24T00:00:00"/>
  </r>
  <r>
    <s v="TXN_4015710"/>
    <x v="7"/>
    <n v="4"/>
    <n v="3"/>
    <n v="12"/>
    <x v="1"/>
    <x v="2"/>
    <d v="2023-05-18T00:00:00"/>
  </r>
  <r>
    <s v="TXN_4600048"/>
    <x v="2"/>
    <n v="2"/>
    <n v="1"/>
    <n v="2"/>
    <x v="1"/>
    <x v="2"/>
    <d v="2023-10-30T00:00:00"/>
  </r>
  <r>
    <s v="TXN_2108486"/>
    <x v="7"/>
    <n v="4"/>
    <n v="3"/>
    <n v="12"/>
    <x v="3"/>
    <x v="0"/>
    <d v="2023-12-28T00:00:00"/>
  </r>
  <r>
    <s v="TXN_7019782"/>
    <x v="4"/>
    <n v="5"/>
    <n v="4"/>
    <n v="20"/>
    <x v="2"/>
    <x v="2"/>
    <d v="2023-10-16T00:00:00"/>
  </r>
  <r>
    <s v="TXN_5228270"/>
    <x v="7"/>
    <n v="3"/>
    <n v="3"/>
    <n v="9"/>
    <x v="2"/>
    <x v="0"/>
    <d v="2023-04-12T00:00:00"/>
  </r>
  <r>
    <s v="TXN_4387303"/>
    <x v="2"/>
    <n v="1"/>
    <n v="1"/>
    <n v="1"/>
    <x v="2"/>
    <x v="2"/>
    <d v="2023-06-27T00:00:00"/>
  </r>
  <r>
    <s v="TXN_4637016"/>
    <x v="3"/>
    <n v="3"/>
    <n v="5"/>
    <n v="15"/>
    <x v="0"/>
    <x v="1"/>
    <m/>
  </r>
  <r>
    <s v="TXN_7786214"/>
    <x v="4"/>
    <n v="1"/>
    <n v="4"/>
    <n v="4"/>
    <x v="0"/>
    <x v="2"/>
    <d v="2023-11-25T00:00:00"/>
  </r>
  <r>
    <s v="TXN_9587884"/>
    <x v="8"/>
    <n v="2"/>
    <n v="1.5"/>
    <n v="3"/>
    <x v="2"/>
    <x v="2"/>
    <d v="2023-01-05T00:00:00"/>
  </r>
  <r>
    <s v="TXN_4625910"/>
    <x v="7"/>
    <n v="1"/>
    <n v="3"/>
    <n v="3"/>
    <x v="2"/>
    <x v="2"/>
    <d v="2023-01-17T00:00:00"/>
  </r>
  <r>
    <s v="TXN_8250731"/>
    <x v="2"/>
    <n v="2"/>
    <n v="1"/>
    <n v="2"/>
    <x v="1"/>
    <x v="2"/>
    <d v="2023-08-24T00:00:00"/>
  </r>
  <r>
    <s v="TXN_3605929"/>
    <x v="4"/>
    <n v="2"/>
    <n v="4"/>
    <n v="8"/>
    <x v="0"/>
    <x v="2"/>
    <d v="2023-04-26T00:00:00"/>
  </r>
  <r>
    <s v="TXN_4953450"/>
    <x v="2"/>
    <n v="4"/>
    <n v="1"/>
    <n v="4"/>
    <x v="2"/>
    <x v="1"/>
    <d v="2023-03-10T00:00:00"/>
  </r>
  <r>
    <s v="TXN_5315441"/>
    <x v="4"/>
    <n v="5"/>
    <n v="4"/>
    <n v="20"/>
    <x v="3"/>
    <x v="1"/>
    <d v="2023-10-31T00:00:00"/>
  </r>
  <r>
    <s v="TXN_9196322"/>
    <x v="2"/>
    <n v="4"/>
    <n v="1"/>
    <n v="4"/>
    <x v="3"/>
    <x v="1"/>
    <d v="2023-08-12T00:00:00"/>
  </r>
  <r>
    <s v="TXN_4009547"/>
    <x v="7"/>
    <n v="4"/>
    <n v="3"/>
    <n v="12"/>
    <x v="0"/>
    <x v="2"/>
    <d v="2023-05-13T00:00:00"/>
  </r>
  <r>
    <s v="TXN_3394710"/>
    <x v="6"/>
    <n v="1"/>
    <n v="4"/>
    <n v="4"/>
    <x v="3"/>
    <x v="1"/>
    <d v="2023-10-22T00:00:00"/>
  </r>
  <r>
    <s v="TXN_8354174"/>
    <x v="5"/>
    <n v="3"/>
    <n v="2"/>
    <n v="6"/>
    <x v="0"/>
    <x v="2"/>
    <d v="2023-12-29T00:00:00"/>
  </r>
  <r>
    <s v="TXN_5931292"/>
    <x v="5"/>
    <n v="2"/>
    <n v="4"/>
    <n v="8"/>
    <x v="0"/>
    <x v="1"/>
    <d v="2023-12-18T00:00:00"/>
  </r>
  <r>
    <s v="TXN_2109416"/>
    <x v="6"/>
    <n v="1"/>
    <n v="4"/>
    <n v="4"/>
    <x v="2"/>
    <x v="1"/>
    <d v="2023-09-21T00:00:00"/>
  </r>
  <r>
    <s v="TXN_8776606"/>
    <x v="5"/>
    <n v="4"/>
    <n v="5"/>
    <n v="20"/>
    <x v="3"/>
    <x v="0"/>
    <d v="2023-07-24T00:00:00"/>
  </r>
  <r>
    <s v="TXN_1063366"/>
    <x v="7"/>
    <n v="3"/>
    <n v="3"/>
    <n v="9"/>
    <x v="2"/>
    <x v="2"/>
    <d v="2023-03-20T00:00:00"/>
  </r>
  <r>
    <s v="TXN_2393500"/>
    <x v="7"/>
    <n v="1"/>
    <n v="3"/>
    <n v="3"/>
    <x v="0"/>
    <x v="1"/>
    <d v="2023-12-15T00:00:00"/>
  </r>
  <r>
    <s v="TXN_9738758"/>
    <x v="0"/>
    <n v="1"/>
    <n v="2"/>
    <n v="2"/>
    <x v="1"/>
    <x v="1"/>
    <d v="2023-12-31T00:00:00"/>
  </r>
  <r>
    <s v="TXN_7838465"/>
    <x v="6"/>
    <n v="3"/>
    <n v="4"/>
    <n v="12"/>
    <x v="0"/>
    <x v="0"/>
    <d v="2023-06-15T00:00:00"/>
  </r>
  <r>
    <s v="TXN_2447261"/>
    <x v="2"/>
    <n v="3"/>
    <n v="1"/>
    <n v="3"/>
    <x v="0"/>
    <x v="0"/>
    <d v="2023-10-15T00:00:00"/>
  </r>
  <r>
    <s v="TXN_6609947"/>
    <x v="5"/>
    <n v="3"/>
    <n v="3"/>
    <n v="9"/>
    <x v="3"/>
    <x v="1"/>
    <d v="2023-05-29T00:00:00"/>
  </r>
  <r>
    <s v="TXN_9036453"/>
    <x v="5"/>
    <n v="1"/>
    <n v="4"/>
    <n v="4"/>
    <x v="3"/>
    <x v="0"/>
    <d v="2023-02-08T00:00:00"/>
  </r>
  <r>
    <s v="TXN_2611990"/>
    <x v="2"/>
    <n v="3"/>
    <n v="1"/>
    <n v="3"/>
    <x v="3"/>
    <x v="0"/>
    <d v="2023-10-25T00:00:00"/>
  </r>
  <r>
    <s v="TXN_1460963"/>
    <x v="0"/>
    <n v="3"/>
    <n v="2"/>
    <n v="6"/>
    <x v="1"/>
    <x v="1"/>
    <d v="2023-02-10T00:00:00"/>
  </r>
  <r>
    <s v="TXN_1713128"/>
    <x v="4"/>
    <n v="3"/>
    <n v="4"/>
    <n v="12"/>
    <x v="0"/>
    <x v="2"/>
    <d v="2023-05-01T00:00:00"/>
  </r>
  <r>
    <s v="TXN_4501168"/>
    <x v="5"/>
    <n v="1"/>
    <n v="1.5"/>
    <n v="1.5"/>
    <x v="2"/>
    <x v="1"/>
    <d v="2023-06-28T00:00:00"/>
  </r>
  <r>
    <s v="TXN_2840323"/>
    <x v="8"/>
    <n v="4"/>
    <n v="1.5"/>
    <n v="6"/>
    <x v="0"/>
    <x v="2"/>
    <d v="2023-05-07T00:00:00"/>
  </r>
  <r>
    <s v="TXN_6691767"/>
    <x v="3"/>
    <n v="2"/>
    <n v="5"/>
    <n v="10"/>
    <x v="1"/>
    <x v="0"/>
    <d v="2023-02-05T00:00:00"/>
  </r>
  <r>
    <s v="TXN_7280191"/>
    <x v="0"/>
    <n v="3"/>
    <n v="2"/>
    <n v="6"/>
    <x v="2"/>
    <x v="0"/>
    <d v="2023-08-23T00:00:00"/>
  </r>
  <r>
    <s v="TXN_6932070"/>
    <x v="8"/>
    <n v="4"/>
    <n v="1.5"/>
    <n v="6"/>
    <x v="0"/>
    <x v="1"/>
    <d v="2023-06-10T00:00:00"/>
  </r>
  <r>
    <s v="TXN_3502743"/>
    <x v="5"/>
    <n v="5"/>
    <n v="4"/>
    <n v="20"/>
    <x v="2"/>
    <x v="2"/>
    <d v="2023-02-28T00:00:00"/>
  </r>
  <r>
    <s v="TXN_2815335"/>
    <x v="7"/>
    <n v="5"/>
    <n v="3"/>
    <n v="15"/>
    <x v="1"/>
    <x v="2"/>
    <d v="2023-03-30T00:00:00"/>
  </r>
  <r>
    <s v="TXN_4916272"/>
    <x v="8"/>
    <n v="3"/>
    <n v="1.5"/>
    <n v="4.5"/>
    <x v="2"/>
    <x v="2"/>
    <d v="2023-03-03T00:00:00"/>
  </r>
  <r>
    <s v="TXN_7940202"/>
    <x v="5"/>
    <n v="1"/>
    <n v="4"/>
    <n v="4"/>
    <x v="3"/>
    <x v="2"/>
    <d v="2023-07-23T00:00:00"/>
  </r>
  <r>
    <s v="TXN_5489408"/>
    <x v="2"/>
    <n v="1"/>
    <n v="1"/>
    <n v="1"/>
    <x v="2"/>
    <x v="1"/>
    <d v="2023-05-02T00:00:00"/>
  </r>
  <r>
    <s v="TXN_4640977"/>
    <x v="2"/>
    <n v="3"/>
    <n v="1"/>
    <n v="3"/>
    <x v="0"/>
    <x v="1"/>
    <d v="2023-02-11T00:00:00"/>
  </r>
  <r>
    <s v="TXN_8563346"/>
    <x v="5"/>
    <n v="3"/>
    <n v="2"/>
    <n v="6"/>
    <x v="0"/>
    <x v="2"/>
    <d v="2023-10-24T00:00:00"/>
  </r>
  <r>
    <s v="TXN_3172751"/>
    <x v="7"/>
    <n v="5"/>
    <n v="3"/>
    <n v="15"/>
    <x v="0"/>
    <x v="2"/>
    <m/>
  </r>
  <r>
    <s v="TXN_7896721"/>
    <x v="1"/>
    <n v="3"/>
    <n v="3"/>
    <n v="9"/>
    <x v="0"/>
    <x v="0"/>
    <d v="2023-04-22T00:00:00"/>
  </r>
  <r>
    <s v="TXN_8973563"/>
    <x v="0"/>
    <n v="1"/>
    <n v="2"/>
    <n v="2"/>
    <x v="2"/>
    <x v="2"/>
    <d v="2023-10-08T00:00:00"/>
  </r>
  <r>
    <s v="TXN_4827371"/>
    <x v="3"/>
    <n v="2"/>
    <n v="5"/>
    <n v="10"/>
    <x v="2"/>
    <x v="0"/>
    <d v="2023-06-20T00:00:00"/>
  </r>
  <r>
    <s v="TXN_1559313"/>
    <x v="4"/>
    <n v="2"/>
    <n v="4"/>
    <n v="8"/>
    <x v="0"/>
    <x v="2"/>
    <d v="2023-12-02T00:00:00"/>
  </r>
  <r>
    <s v="TXN_7384923"/>
    <x v="6"/>
    <n v="2"/>
    <n v="4"/>
    <n v="8"/>
    <x v="2"/>
    <x v="0"/>
    <d v="2023-01-24T00:00:00"/>
  </r>
  <r>
    <s v="TXN_7906197"/>
    <x v="6"/>
    <n v="5"/>
    <n v="4"/>
    <n v="20"/>
    <x v="0"/>
    <x v="1"/>
    <d v="2023-01-02T00:00:00"/>
  </r>
  <r>
    <s v="TXN_9018535"/>
    <x v="2"/>
    <n v="2"/>
    <n v="1"/>
    <n v="2"/>
    <x v="3"/>
    <x v="0"/>
    <d v="2023-05-05T00:00:00"/>
  </r>
  <r>
    <s v="TXN_9103318"/>
    <x v="6"/>
    <n v="2"/>
    <n v="4"/>
    <n v="8"/>
    <x v="2"/>
    <x v="2"/>
    <d v="2023-11-13T00:00:00"/>
  </r>
  <r>
    <s v="TXN_8066743"/>
    <x v="8"/>
    <n v="3"/>
    <n v="1.5"/>
    <n v="4.5"/>
    <x v="1"/>
    <x v="0"/>
    <d v="2023-11-13T00:00:00"/>
  </r>
  <r>
    <s v="TXN_9658677"/>
    <x v="1"/>
    <n v="4"/>
    <n v="3"/>
    <n v="12"/>
    <x v="1"/>
    <x v="0"/>
    <m/>
  </r>
  <r>
    <s v="TXN_8647575"/>
    <x v="8"/>
    <n v="2"/>
    <n v="1.5"/>
    <n v="3"/>
    <x v="1"/>
    <x v="2"/>
    <d v="2023-02-08T00:00:00"/>
  </r>
  <r>
    <s v="TXN_6376175"/>
    <x v="7"/>
    <n v="4"/>
    <n v="3"/>
    <n v="12"/>
    <x v="3"/>
    <x v="0"/>
    <d v="2023-02-24T00:00:00"/>
  </r>
  <r>
    <s v="TXN_9840274"/>
    <x v="6"/>
    <n v="5"/>
    <n v="4"/>
    <n v="20"/>
    <x v="2"/>
    <x v="0"/>
    <d v="2023-02-25T00:00:00"/>
  </r>
  <r>
    <s v="TXN_4912458"/>
    <x v="1"/>
    <n v="4"/>
    <n v="3"/>
    <n v="12"/>
    <x v="2"/>
    <x v="0"/>
    <d v="2023-06-12T00:00:00"/>
  </r>
  <r>
    <s v="TXN_7982985"/>
    <x v="2"/>
    <n v="1"/>
    <n v="1"/>
    <n v="1"/>
    <x v="0"/>
    <x v="2"/>
    <d v="2023-01-27T00:00:00"/>
  </r>
  <r>
    <s v="TXN_2855581"/>
    <x v="0"/>
    <n v="4"/>
    <n v="2"/>
    <n v="8"/>
    <x v="0"/>
    <x v="2"/>
    <d v="2023-10-23T00:00:00"/>
  </r>
  <r>
    <s v="TXN_7585348"/>
    <x v="1"/>
    <n v="3"/>
    <n v="3"/>
    <n v="9"/>
    <x v="0"/>
    <x v="0"/>
    <d v="2023-03-16T00:00:00"/>
  </r>
  <r>
    <s v="TXN_8249251"/>
    <x v="1"/>
    <n v="3"/>
    <n v="3"/>
    <n v="9"/>
    <x v="2"/>
    <x v="1"/>
    <d v="2023-01-01T00:00:00"/>
  </r>
  <r>
    <s v="TXN_4005014"/>
    <x v="6"/>
    <n v="1"/>
    <n v="4"/>
    <n v="4"/>
    <x v="3"/>
    <x v="0"/>
    <d v="2023-07-10T00:00:00"/>
  </r>
  <r>
    <s v="TXN_3106215"/>
    <x v="4"/>
    <n v="3"/>
    <n v="4"/>
    <n v="12"/>
    <x v="2"/>
    <x v="0"/>
    <d v="2023-04-15T00:00:00"/>
  </r>
  <r>
    <s v="TXN_4478185"/>
    <x v="1"/>
    <n v="2"/>
    <n v="3"/>
    <n v="6"/>
    <x v="1"/>
    <x v="1"/>
    <d v="2023-08-25T00:00:00"/>
  </r>
  <r>
    <s v="TXN_7815651"/>
    <x v="3"/>
    <n v="1"/>
    <n v="5"/>
    <n v="5"/>
    <x v="1"/>
    <x v="1"/>
    <d v="2023-01-16T00:00:00"/>
  </r>
  <r>
    <s v="TXN_3461209"/>
    <x v="7"/>
    <n v="4"/>
    <n v="3"/>
    <n v="12"/>
    <x v="0"/>
    <x v="1"/>
    <d v="2023-04-26T00:00:00"/>
  </r>
  <r>
    <s v="TXN_9498325"/>
    <x v="3"/>
    <n v="1"/>
    <n v="5"/>
    <n v="5"/>
    <x v="2"/>
    <x v="2"/>
    <d v="2023-04-04T00:00:00"/>
  </r>
  <r>
    <s v="TXN_1026827"/>
    <x v="2"/>
    <n v="4"/>
    <n v="1"/>
    <n v="4"/>
    <x v="3"/>
    <x v="1"/>
    <d v="2023-01-02T00:00:00"/>
  </r>
  <r>
    <s v="TXN_4479052"/>
    <x v="3"/>
    <n v="4"/>
    <n v="5"/>
    <n v="20"/>
    <x v="3"/>
    <x v="1"/>
    <d v="2023-12-05T00:00:00"/>
  </r>
  <r>
    <s v="TXN_7269513"/>
    <x v="3"/>
    <n v="3"/>
    <n v="5"/>
    <n v="15"/>
    <x v="1"/>
    <x v="2"/>
    <d v="2023-05-12T00:00:00"/>
  </r>
  <r>
    <s v="TXN_5134545"/>
    <x v="8"/>
    <n v="5"/>
    <n v="1.5"/>
    <n v="7.5"/>
    <x v="3"/>
    <x v="2"/>
    <d v="2023-10-17T00:00:00"/>
  </r>
  <r>
    <s v="TXN_7997144"/>
    <x v="7"/>
    <n v="4"/>
    <n v="3"/>
    <n v="12"/>
    <x v="0"/>
    <x v="2"/>
    <d v="2023-02-25T00:00:00"/>
  </r>
  <r>
    <s v="TXN_7315198"/>
    <x v="3"/>
    <n v="2"/>
    <n v="5"/>
    <n v="10"/>
    <x v="2"/>
    <x v="2"/>
    <d v="2023-09-23T00:00:00"/>
  </r>
  <r>
    <s v="TXN_4339682"/>
    <x v="3"/>
    <n v="5"/>
    <n v="5"/>
    <n v="25"/>
    <x v="2"/>
    <x v="1"/>
    <d v="2023-03-04T00:00:00"/>
  </r>
  <r>
    <s v="TXN_3363831"/>
    <x v="7"/>
    <n v="3"/>
    <n v="3"/>
    <n v="9"/>
    <x v="3"/>
    <x v="2"/>
    <d v="2023-05-10T00:00:00"/>
  </r>
  <r>
    <s v="TXN_5369555"/>
    <x v="7"/>
    <n v="4"/>
    <n v="3"/>
    <n v="12"/>
    <x v="1"/>
    <x v="0"/>
    <d v="2023-02-24T00:00:00"/>
  </r>
  <r>
    <s v="TXN_6208034"/>
    <x v="1"/>
    <n v="1"/>
    <n v="3"/>
    <n v="3"/>
    <x v="3"/>
    <x v="2"/>
    <d v="2023-08-29T00:00:00"/>
  </r>
  <r>
    <s v="TXN_8187656"/>
    <x v="8"/>
    <n v="4"/>
    <n v="1.5"/>
    <n v="6"/>
    <x v="0"/>
    <x v="0"/>
    <d v="2023-05-01T00:00:00"/>
  </r>
  <r>
    <s v="TXN_6463415"/>
    <x v="0"/>
    <n v="3"/>
    <n v="2"/>
    <n v="6"/>
    <x v="3"/>
    <x v="1"/>
    <d v="2023-04-12T00:00:00"/>
  </r>
  <r>
    <s v="TXN_1461895"/>
    <x v="7"/>
    <n v="5"/>
    <n v="3"/>
    <n v="15"/>
    <x v="2"/>
    <x v="2"/>
    <d v="2023-06-17T00:00:00"/>
  </r>
  <r>
    <s v="TXN_3197752"/>
    <x v="4"/>
    <n v="2"/>
    <n v="4"/>
    <n v="8"/>
    <x v="2"/>
    <x v="2"/>
    <d v="2023-03-10T00:00:00"/>
  </r>
  <r>
    <s v="TXN_3112175"/>
    <x v="0"/>
    <n v="4"/>
    <n v="2"/>
    <n v="8"/>
    <x v="1"/>
    <x v="2"/>
    <d v="2023-03-16T00:00:00"/>
  </r>
  <r>
    <s v="TXN_6439579"/>
    <x v="8"/>
    <n v="5"/>
    <n v="1.5"/>
    <n v="7.5"/>
    <x v="0"/>
    <x v="2"/>
    <d v="2023-03-23T00:00:00"/>
  </r>
  <r>
    <s v="TXN_4944121"/>
    <x v="5"/>
    <n v="2"/>
    <n v="2"/>
    <n v="4"/>
    <x v="2"/>
    <x v="2"/>
    <d v="2023-05-29T00:00:00"/>
  </r>
  <r>
    <s v="TXN_5590805"/>
    <x v="1"/>
    <n v="1"/>
    <n v="3"/>
    <n v="3"/>
    <x v="2"/>
    <x v="0"/>
    <d v="2023-01-25T00:00:00"/>
  </r>
  <r>
    <s v="TXN_4634772"/>
    <x v="7"/>
    <n v="3"/>
    <n v="3"/>
    <n v="9"/>
    <x v="0"/>
    <x v="1"/>
    <d v="2023-01-12T00:00:00"/>
  </r>
  <r>
    <s v="TXN_3519066"/>
    <x v="1"/>
    <n v="1"/>
    <n v="3"/>
    <n v="3"/>
    <x v="2"/>
    <x v="0"/>
    <d v="2023-11-08T00:00:00"/>
  </r>
  <r>
    <s v="TXN_8034156"/>
    <x v="6"/>
    <n v="1"/>
    <n v="4"/>
    <n v="4"/>
    <x v="1"/>
    <x v="1"/>
    <d v="2023-07-22T00:00:00"/>
  </r>
  <r>
    <s v="TXN_2163229"/>
    <x v="2"/>
    <n v="4"/>
    <n v="1"/>
    <n v="4"/>
    <x v="1"/>
    <x v="0"/>
    <d v="2023-12-21T00:00:00"/>
  </r>
  <r>
    <s v="TXN_4109764"/>
    <x v="7"/>
    <n v="3"/>
    <n v="3"/>
    <n v="9"/>
    <x v="0"/>
    <x v="2"/>
    <d v="2023-07-12T00:00:00"/>
  </r>
  <r>
    <s v="TXN_1343750"/>
    <x v="2"/>
    <n v="2"/>
    <n v="1"/>
    <n v="2"/>
    <x v="3"/>
    <x v="0"/>
    <d v="2023-02-15T00:00:00"/>
  </r>
  <r>
    <s v="TXN_6387964"/>
    <x v="8"/>
    <n v="5"/>
    <n v="1.5"/>
    <n v="7.5"/>
    <x v="3"/>
    <x v="2"/>
    <d v="2023-08-07T00:00:00"/>
  </r>
  <r>
    <s v="TXN_2743397"/>
    <x v="1"/>
    <n v="2"/>
    <n v="3"/>
    <n v="6"/>
    <x v="3"/>
    <x v="2"/>
    <d v="2023-10-03T00:00:00"/>
  </r>
  <r>
    <s v="TXN_8022689"/>
    <x v="8"/>
    <n v="1"/>
    <n v="1.5"/>
    <n v="1.5"/>
    <x v="1"/>
    <x v="0"/>
    <d v="2023-06-15T00:00:00"/>
  </r>
  <r>
    <s v="TXN_9392028"/>
    <x v="3"/>
    <n v="5"/>
    <n v="5"/>
    <n v="25"/>
    <x v="0"/>
    <x v="1"/>
    <d v="2023-01-13T00:00:00"/>
  </r>
  <r>
    <s v="TXN_3547825"/>
    <x v="2"/>
    <n v="3"/>
    <n v="1"/>
    <n v="3"/>
    <x v="2"/>
    <x v="0"/>
    <d v="2023-09-04T00:00:00"/>
  </r>
  <r>
    <s v="TXN_9101792"/>
    <x v="0"/>
    <n v="5"/>
    <n v="2"/>
    <n v="10"/>
    <x v="1"/>
    <x v="2"/>
    <d v="2023-06-13T00:00:00"/>
  </r>
  <r>
    <s v="TXN_3463928"/>
    <x v="5"/>
    <n v="4"/>
    <n v="1.5"/>
    <n v="6"/>
    <x v="0"/>
    <x v="1"/>
    <d v="2023-06-07T00:00:00"/>
  </r>
  <r>
    <s v="TXN_8503406"/>
    <x v="4"/>
    <n v="2"/>
    <n v="4"/>
    <n v="8"/>
    <x v="3"/>
    <x v="2"/>
    <d v="2023-02-15T00:00:00"/>
  </r>
  <r>
    <s v="TXN_1992966"/>
    <x v="4"/>
    <n v="5"/>
    <n v="4"/>
    <n v="20"/>
    <x v="2"/>
    <x v="1"/>
    <d v="2023-08-09T00:00:00"/>
  </r>
  <r>
    <s v="TXN_2179458"/>
    <x v="5"/>
    <n v="1"/>
    <n v="3"/>
    <n v="3"/>
    <x v="1"/>
    <x v="1"/>
    <d v="2023-10-23T00:00:00"/>
  </r>
  <r>
    <s v="TXN_5648512"/>
    <x v="5"/>
    <n v="4"/>
    <n v="3"/>
    <n v="12"/>
    <x v="2"/>
    <x v="0"/>
    <d v="2023-01-30T00:00:00"/>
  </r>
  <r>
    <s v="TXN_8689416"/>
    <x v="7"/>
    <n v="5"/>
    <n v="3"/>
    <n v="15"/>
    <x v="2"/>
    <x v="2"/>
    <d v="2023-03-19T00:00:00"/>
  </r>
  <r>
    <s v="TXN_1964555"/>
    <x v="4"/>
    <n v="2"/>
    <n v="4"/>
    <n v="8"/>
    <x v="3"/>
    <x v="2"/>
    <d v="2023-04-11T00:00:00"/>
  </r>
  <r>
    <s v="TXN_9402247"/>
    <x v="3"/>
    <n v="3"/>
    <n v="5"/>
    <n v="15"/>
    <x v="3"/>
    <x v="2"/>
    <m/>
  </r>
  <r>
    <s v="TXN_8868960"/>
    <x v="3"/>
    <n v="5"/>
    <n v="5"/>
    <n v="25"/>
    <x v="2"/>
    <x v="2"/>
    <m/>
  </r>
  <r>
    <s v="TXN_1794862"/>
    <x v="1"/>
    <n v="2"/>
    <n v="3"/>
    <n v="6"/>
    <x v="1"/>
    <x v="2"/>
    <d v="2023-07-16T00:00:00"/>
  </r>
  <r>
    <s v="TXN_5780615"/>
    <x v="4"/>
    <n v="3"/>
    <n v="4"/>
    <n v="12"/>
    <x v="1"/>
    <x v="2"/>
    <d v="2023-12-24T00:00:00"/>
  </r>
  <r>
    <s v="TXN_2416816"/>
    <x v="4"/>
    <n v="5"/>
    <n v="4"/>
    <n v="20"/>
    <x v="3"/>
    <x v="1"/>
    <d v="2023-10-19T00:00:00"/>
  </r>
  <r>
    <s v="TXN_8005682"/>
    <x v="0"/>
    <n v="2"/>
    <n v="2"/>
    <n v="4"/>
    <x v="0"/>
    <x v="2"/>
    <d v="2023-03-16T00:00:00"/>
  </r>
  <r>
    <s v="TXN_1778707"/>
    <x v="3"/>
    <n v="5"/>
    <n v="5"/>
    <n v="25"/>
    <x v="0"/>
    <x v="0"/>
    <d v="2023-03-26T00:00:00"/>
  </r>
  <r>
    <s v="TXN_9959813"/>
    <x v="6"/>
    <n v="4"/>
    <n v="4"/>
    <n v="16"/>
    <x v="3"/>
    <x v="2"/>
    <d v="2023-09-05T00:00:00"/>
  </r>
  <r>
    <s v="TXN_7675823"/>
    <x v="8"/>
    <n v="5"/>
    <n v="1.5"/>
    <n v="7.5"/>
    <x v="2"/>
    <x v="2"/>
    <m/>
  </r>
  <r>
    <s v="TXN_3110343"/>
    <x v="8"/>
    <n v="5"/>
    <n v="1.5"/>
    <n v="7.5"/>
    <x v="3"/>
    <x v="0"/>
    <d v="2023-06-24T00:00:00"/>
  </r>
  <r>
    <s v="TXN_7913451"/>
    <x v="6"/>
    <n v="5"/>
    <n v="4"/>
    <n v="20"/>
    <x v="0"/>
    <x v="2"/>
    <d v="2023-12-05T00:00:00"/>
  </r>
  <r>
    <s v="TXN_1901729"/>
    <x v="1"/>
    <n v="2"/>
    <n v="3"/>
    <n v="6"/>
    <x v="2"/>
    <x v="0"/>
    <d v="2023-03-18T00:00:00"/>
  </r>
  <r>
    <s v="TXN_5934059"/>
    <x v="7"/>
    <n v="4"/>
    <n v="3"/>
    <n v="12"/>
    <x v="2"/>
    <x v="2"/>
    <d v="2023-09-26T00:00:00"/>
  </r>
  <r>
    <s v="TXN_8717428"/>
    <x v="3"/>
    <n v="3"/>
    <n v="5"/>
    <n v="15"/>
    <x v="3"/>
    <x v="2"/>
    <m/>
  </r>
  <r>
    <s v="TXN_2098878"/>
    <x v="7"/>
    <n v="2"/>
    <n v="3"/>
    <n v="6"/>
    <x v="2"/>
    <x v="0"/>
    <d v="2023-08-19T00:00:00"/>
  </r>
  <r>
    <s v="TXN_9536472"/>
    <x v="7"/>
    <n v="5"/>
    <n v="3"/>
    <n v="15"/>
    <x v="2"/>
    <x v="2"/>
    <d v="2023-11-12T00:00:00"/>
  </r>
  <r>
    <s v="TXN_6696913"/>
    <x v="1"/>
    <n v="4"/>
    <n v="3"/>
    <n v="12"/>
    <x v="2"/>
    <x v="2"/>
    <d v="2023-10-22T00:00:00"/>
  </r>
  <r>
    <s v="TXN_9561832"/>
    <x v="5"/>
    <n v="3"/>
    <n v="4"/>
    <n v="12"/>
    <x v="3"/>
    <x v="2"/>
    <d v="2023-10-29T00:00:00"/>
  </r>
  <r>
    <s v="TXN_8888153"/>
    <x v="0"/>
    <n v="5"/>
    <n v="2"/>
    <n v="10"/>
    <x v="2"/>
    <x v="2"/>
    <d v="2023-12-16T00:00:00"/>
  </r>
  <r>
    <s v="TXN_3790025"/>
    <x v="5"/>
    <n v="1"/>
    <n v="4"/>
    <n v="4"/>
    <x v="1"/>
    <x v="2"/>
    <d v="2023-10-07T00:00:00"/>
  </r>
  <r>
    <s v="TXN_2820693"/>
    <x v="3"/>
    <n v="3"/>
    <n v="5"/>
    <n v="15"/>
    <x v="1"/>
    <x v="0"/>
    <d v="2023-05-05T00:00:00"/>
  </r>
  <r>
    <s v="TXN_5661147"/>
    <x v="1"/>
    <n v="1"/>
    <n v="3"/>
    <n v="3"/>
    <x v="2"/>
    <x v="0"/>
    <d v="2023-11-06T00:00:00"/>
  </r>
  <r>
    <s v="TXN_3746260"/>
    <x v="4"/>
    <n v="5"/>
    <n v="4"/>
    <n v="20"/>
    <x v="3"/>
    <x v="0"/>
    <d v="2023-08-26T00:00:00"/>
  </r>
  <r>
    <s v="TXN_7805035"/>
    <x v="4"/>
    <n v="3"/>
    <n v="4"/>
    <n v="12"/>
    <x v="2"/>
    <x v="1"/>
    <d v="2023-05-18T00:00:00"/>
  </r>
  <r>
    <s v="TXN_2058243"/>
    <x v="4"/>
    <n v="5"/>
    <n v="4"/>
    <n v="20"/>
    <x v="2"/>
    <x v="0"/>
    <d v="2023-03-19T00:00:00"/>
  </r>
  <r>
    <s v="TXN_5710748"/>
    <x v="3"/>
    <n v="1"/>
    <n v="5"/>
    <n v="5"/>
    <x v="2"/>
    <x v="2"/>
    <d v="2023-10-31T00:00:00"/>
  </r>
  <r>
    <s v="TXN_3725837"/>
    <x v="0"/>
    <n v="5"/>
    <n v="2"/>
    <n v="10"/>
    <x v="1"/>
    <x v="1"/>
    <d v="2023-10-22T00:00:00"/>
  </r>
  <r>
    <s v="TXN_5132327"/>
    <x v="4"/>
    <n v="5"/>
    <n v="4"/>
    <n v="20"/>
    <x v="1"/>
    <x v="2"/>
    <d v="2023-01-25T00:00:00"/>
  </r>
  <r>
    <s v="TXN_1575608"/>
    <x v="6"/>
    <n v="5"/>
    <n v="4"/>
    <n v="20"/>
    <x v="2"/>
    <x v="0"/>
    <d v="2023-01-05T00:00:00"/>
  </r>
  <r>
    <s v="TXN_4594922"/>
    <x v="3"/>
    <n v="2"/>
    <n v="5"/>
    <n v="10"/>
    <x v="0"/>
    <x v="0"/>
    <d v="2023-06-19T00:00:00"/>
  </r>
  <r>
    <s v="TXN_5163686"/>
    <x v="3"/>
    <n v="5"/>
    <n v="5"/>
    <n v="25"/>
    <x v="0"/>
    <x v="1"/>
    <d v="2023-05-29T00:00:00"/>
  </r>
  <r>
    <s v="TXN_5445318"/>
    <x v="2"/>
    <n v="1"/>
    <n v="1"/>
    <n v="1"/>
    <x v="3"/>
    <x v="2"/>
    <d v="2023-02-16T00:00:00"/>
  </r>
  <r>
    <s v="TXN_2391446"/>
    <x v="6"/>
    <n v="3"/>
    <n v="4"/>
    <n v="12"/>
    <x v="2"/>
    <x v="1"/>
    <d v="2023-12-06T00:00:00"/>
  </r>
  <r>
    <s v="TXN_2826603"/>
    <x v="3"/>
    <n v="2"/>
    <n v="5"/>
    <n v="10"/>
    <x v="3"/>
    <x v="0"/>
    <d v="2023-06-22T00:00:00"/>
  </r>
  <r>
    <s v="TXN_3489940"/>
    <x v="5"/>
    <n v="3"/>
    <n v="1"/>
    <n v="3"/>
    <x v="0"/>
    <x v="2"/>
    <d v="2023-12-15T00:00:00"/>
  </r>
  <r>
    <s v="TXN_2526667"/>
    <x v="5"/>
    <n v="3"/>
    <n v="3"/>
    <n v="9"/>
    <x v="3"/>
    <x v="1"/>
    <d v="2023-06-10T00:00:00"/>
  </r>
  <r>
    <s v="TXN_3760598"/>
    <x v="1"/>
    <n v="3"/>
    <n v="3"/>
    <n v="9"/>
    <x v="3"/>
    <x v="1"/>
    <d v="2023-10-24T00:00:00"/>
  </r>
  <r>
    <s v="TXN_7679707"/>
    <x v="8"/>
    <n v="1"/>
    <n v="1.5"/>
    <n v="1.5"/>
    <x v="0"/>
    <x v="1"/>
    <d v="2023-07-22T00:00:00"/>
  </r>
  <r>
    <s v="TXN_3831364"/>
    <x v="8"/>
    <n v="1"/>
    <n v="1.5"/>
    <n v="1.5"/>
    <x v="3"/>
    <x v="2"/>
    <d v="2023-03-03T00:00:00"/>
  </r>
  <r>
    <s v="TXN_5038513"/>
    <x v="2"/>
    <n v="2"/>
    <n v="1"/>
    <n v="2"/>
    <x v="3"/>
    <x v="0"/>
    <d v="2023-10-24T00:00:00"/>
  </r>
  <r>
    <s v="TXN_5007619"/>
    <x v="1"/>
    <n v="5"/>
    <n v="3"/>
    <n v="15"/>
    <x v="0"/>
    <x v="1"/>
    <d v="2023-07-05T00:00:00"/>
  </r>
  <r>
    <s v="TXN_5124870"/>
    <x v="8"/>
    <n v="1"/>
    <n v="1.5"/>
    <n v="1.5"/>
    <x v="3"/>
    <x v="2"/>
    <d v="2023-08-11T00:00:00"/>
  </r>
  <r>
    <s v="TXN_8229546"/>
    <x v="4"/>
    <n v="2"/>
    <n v="4"/>
    <n v="8"/>
    <x v="1"/>
    <x v="2"/>
    <d v="2023-10-16T00:00:00"/>
  </r>
  <r>
    <s v="TXN_3173923"/>
    <x v="2"/>
    <n v="2"/>
    <n v="1"/>
    <n v="2"/>
    <x v="3"/>
    <x v="2"/>
    <d v="2023-06-29T00:00:00"/>
  </r>
  <r>
    <s v="TXN_8460786"/>
    <x v="0"/>
    <n v="1"/>
    <n v="2"/>
    <n v="2"/>
    <x v="1"/>
    <x v="2"/>
    <d v="2023-05-17T00:00:00"/>
  </r>
  <r>
    <s v="TXN_7078232"/>
    <x v="5"/>
    <n v="5"/>
    <n v="3"/>
    <n v="15"/>
    <x v="3"/>
    <x v="0"/>
    <d v="2023-11-21T00:00:00"/>
  </r>
  <r>
    <s v="TXN_7833800"/>
    <x v="0"/>
    <n v="2"/>
    <n v="2"/>
    <n v="4"/>
    <x v="2"/>
    <x v="0"/>
    <m/>
  </r>
  <r>
    <s v="TXN_9625287"/>
    <x v="7"/>
    <n v="2"/>
    <n v="3"/>
    <n v="6"/>
    <x v="1"/>
    <x v="1"/>
    <d v="2023-07-08T00:00:00"/>
  </r>
  <r>
    <s v="TXN_3135132"/>
    <x v="6"/>
    <n v="4"/>
    <n v="4"/>
    <n v="16"/>
    <x v="0"/>
    <x v="0"/>
    <m/>
  </r>
  <r>
    <s v="TXN_4779440"/>
    <x v="2"/>
    <n v="1"/>
    <n v="1"/>
    <n v="1"/>
    <x v="2"/>
    <x v="2"/>
    <d v="2023-07-12T00:00:00"/>
  </r>
  <r>
    <s v="TXN_7337979"/>
    <x v="0"/>
    <n v="1"/>
    <n v="2"/>
    <n v="2"/>
    <x v="3"/>
    <x v="1"/>
    <d v="2023-05-27T00:00:00"/>
  </r>
  <r>
    <s v="TXN_1713098"/>
    <x v="4"/>
    <n v="4"/>
    <n v="4"/>
    <n v="16"/>
    <x v="2"/>
    <x v="2"/>
    <d v="2023-11-22T00:00:00"/>
  </r>
  <r>
    <s v="TXN_5325729"/>
    <x v="0"/>
    <n v="5"/>
    <n v="2"/>
    <n v="10"/>
    <x v="3"/>
    <x v="2"/>
    <d v="2023-05-04T00:00:00"/>
  </r>
  <r>
    <s v="TXN_5630457"/>
    <x v="4"/>
    <n v="1"/>
    <n v="4"/>
    <n v="4"/>
    <x v="0"/>
    <x v="0"/>
    <d v="2023-03-01T00:00:00"/>
  </r>
  <r>
    <s v="TXN_4167859"/>
    <x v="0"/>
    <n v="5"/>
    <n v="2"/>
    <n v="10"/>
    <x v="2"/>
    <x v="0"/>
    <d v="2023-08-17T00:00:00"/>
  </r>
  <r>
    <s v="TXN_4487966"/>
    <x v="7"/>
    <n v="3"/>
    <n v="3"/>
    <n v="9"/>
    <x v="1"/>
    <x v="1"/>
    <d v="2023-08-10T00:00:00"/>
  </r>
  <r>
    <s v="TXN_1122140"/>
    <x v="6"/>
    <n v="4"/>
    <n v="4"/>
    <n v="16"/>
    <x v="1"/>
    <x v="2"/>
    <d v="2023-06-19T00:00:00"/>
  </r>
  <r>
    <s v="TXN_7484682"/>
    <x v="7"/>
    <n v="1"/>
    <n v="3"/>
    <n v="3"/>
    <x v="1"/>
    <x v="2"/>
    <d v="2023-12-28T00:00:00"/>
  </r>
  <r>
    <s v="TXN_5182042"/>
    <x v="6"/>
    <n v="4"/>
    <n v="4"/>
    <n v="16"/>
    <x v="2"/>
    <x v="0"/>
    <d v="2023-02-25T00:00:00"/>
  </r>
  <r>
    <s v="TXN_4040989"/>
    <x v="6"/>
    <n v="1"/>
    <n v="4"/>
    <n v="4"/>
    <x v="2"/>
    <x v="2"/>
    <d v="2023-03-02T00:00:00"/>
  </r>
  <r>
    <s v="TXN_2190793"/>
    <x v="5"/>
    <n v="4"/>
    <n v="1"/>
    <n v="4"/>
    <x v="0"/>
    <x v="0"/>
    <d v="2023-07-29T00:00:00"/>
  </r>
  <r>
    <s v="TXN_3663712"/>
    <x v="8"/>
    <n v="4"/>
    <n v="1.5"/>
    <n v="6"/>
    <x v="3"/>
    <x v="0"/>
    <d v="2023-09-22T00:00:00"/>
  </r>
  <r>
    <s v="TXN_9140598"/>
    <x v="7"/>
    <n v="1"/>
    <n v="3"/>
    <n v="3"/>
    <x v="3"/>
    <x v="0"/>
    <d v="2023-07-10T00:00:00"/>
  </r>
  <r>
    <s v="TXN_5657259"/>
    <x v="5"/>
    <n v="2"/>
    <n v="1.5"/>
    <n v="3"/>
    <x v="2"/>
    <x v="1"/>
    <d v="2023-03-03T00:00:00"/>
  </r>
  <r>
    <s v="TXN_4316299"/>
    <x v="8"/>
    <n v="2"/>
    <n v="1.5"/>
    <n v="3"/>
    <x v="0"/>
    <x v="1"/>
    <m/>
  </r>
  <r>
    <s v="TXN_5601300"/>
    <x v="0"/>
    <n v="2"/>
    <n v="2"/>
    <n v="4"/>
    <x v="3"/>
    <x v="2"/>
    <d v="2023-02-24T00:00:00"/>
  </r>
  <r>
    <s v="TXN_9904662"/>
    <x v="4"/>
    <n v="1"/>
    <n v="4"/>
    <n v="4"/>
    <x v="2"/>
    <x v="1"/>
    <d v="2023-11-19T00:00:00"/>
  </r>
  <r>
    <s v="TXN_3696194"/>
    <x v="3"/>
    <n v="2"/>
    <n v="5"/>
    <n v="10"/>
    <x v="0"/>
    <x v="1"/>
    <d v="2023-11-27T00:00:00"/>
  </r>
  <r>
    <s v="TXN_2964638"/>
    <x v="3"/>
    <n v="2"/>
    <n v="5"/>
    <n v="10"/>
    <x v="3"/>
    <x v="1"/>
    <d v="2023-09-28T00:00:00"/>
  </r>
  <r>
    <s v="TXN_8336656"/>
    <x v="3"/>
    <n v="5"/>
    <n v="5"/>
    <n v="25"/>
    <x v="1"/>
    <x v="0"/>
    <d v="2023-12-02T00:00:00"/>
  </r>
  <r>
    <s v="TXN_2024121"/>
    <x v="7"/>
    <n v="5"/>
    <n v="3"/>
    <n v="15"/>
    <x v="3"/>
    <x v="1"/>
    <d v="2023-11-06T00:00:00"/>
  </r>
  <r>
    <s v="TXN_6287890"/>
    <x v="8"/>
    <n v="5"/>
    <n v="1.5"/>
    <n v="7.5"/>
    <x v="0"/>
    <x v="0"/>
    <d v="2023-02-07T00:00:00"/>
  </r>
  <r>
    <s v="TXN_4712887"/>
    <x v="8"/>
    <n v="5"/>
    <n v="1.5"/>
    <n v="7.5"/>
    <x v="0"/>
    <x v="2"/>
    <d v="2023-01-04T00:00:00"/>
  </r>
  <r>
    <s v="TXN_4336892"/>
    <x v="2"/>
    <n v="2"/>
    <n v="1"/>
    <n v="2"/>
    <x v="2"/>
    <x v="1"/>
    <d v="2023-06-04T00:00:00"/>
  </r>
  <r>
    <s v="TXN_5447694"/>
    <x v="4"/>
    <n v="1"/>
    <n v="4"/>
    <n v="4"/>
    <x v="3"/>
    <x v="1"/>
    <d v="2023-11-18T00:00:00"/>
  </r>
  <r>
    <s v="TXN_2492058"/>
    <x v="4"/>
    <n v="5"/>
    <n v="4"/>
    <n v="20"/>
    <x v="1"/>
    <x v="2"/>
    <d v="2023-09-22T00:00:00"/>
  </r>
  <r>
    <s v="TXN_3439712"/>
    <x v="7"/>
    <n v="4"/>
    <n v="3"/>
    <n v="12"/>
    <x v="2"/>
    <x v="1"/>
    <d v="2023-04-04T00:00:00"/>
  </r>
  <r>
    <s v="TXN_5350401"/>
    <x v="6"/>
    <n v="2"/>
    <n v="4"/>
    <n v="8"/>
    <x v="3"/>
    <x v="1"/>
    <d v="2023-10-28T00:00:00"/>
  </r>
  <r>
    <s v="TXN_8999006"/>
    <x v="4"/>
    <n v="1"/>
    <n v="4"/>
    <n v="4"/>
    <x v="1"/>
    <x v="2"/>
    <d v="2023-02-07T00:00:00"/>
  </r>
  <r>
    <s v="TXN_8514689"/>
    <x v="7"/>
    <n v="5"/>
    <n v="3"/>
    <n v="15"/>
    <x v="2"/>
    <x v="2"/>
    <d v="2023-04-15T00:00:00"/>
  </r>
  <r>
    <s v="TXN_1866028"/>
    <x v="8"/>
    <n v="5"/>
    <n v="1.5"/>
    <n v="7.5"/>
    <x v="0"/>
    <x v="0"/>
    <d v="2023-06-12T00:00:00"/>
  </r>
  <r>
    <s v="TXN_8379141"/>
    <x v="3"/>
    <n v="1"/>
    <n v="5"/>
    <n v="5"/>
    <x v="2"/>
    <x v="1"/>
    <d v="2023-10-01T00:00:00"/>
  </r>
  <r>
    <s v="TXN_9152264"/>
    <x v="1"/>
    <n v="1"/>
    <n v="3"/>
    <n v="3"/>
    <x v="3"/>
    <x v="0"/>
    <d v="2023-03-15T00:00:00"/>
  </r>
  <r>
    <s v="TXN_2287941"/>
    <x v="5"/>
    <n v="1"/>
    <n v="1"/>
    <n v="1"/>
    <x v="2"/>
    <x v="2"/>
    <d v="2023-09-22T00:00:00"/>
  </r>
  <r>
    <s v="TXN_3794585"/>
    <x v="6"/>
    <n v="1"/>
    <n v="4"/>
    <n v="4"/>
    <x v="0"/>
    <x v="1"/>
    <d v="2023-02-10T00:00:00"/>
  </r>
  <r>
    <s v="TXN_3856427"/>
    <x v="7"/>
    <n v="4"/>
    <n v="3"/>
    <n v="12"/>
    <x v="2"/>
    <x v="1"/>
    <d v="2023-03-25T00:00:00"/>
  </r>
  <r>
    <s v="TXN_9890874"/>
    <x v="6"/>
    <n v="5"/>
    <n v="4"/>
    <n v="20"/>
    <x v="1"/>
    <x v="1"/>
    <d v="2023-09-02T00:00:00"/>
  </r>
  <r>
    <s v="TXN_3945716"/>
    <x v="8"/>
    <n v="2"/>
    <n v="1.5"/>
    <n v="3"/>
    <x v="2"/>
    <x v="2"/>
    <d v="2023-09-17T00:00:00"/>
  </r>
  <r>
    <s v="TXN_6254003"/>
    <x v="5"/>
    <n v="2"/>
    <n v="5"/>
    <n v="10"/>
    <x v="2"/>
    <x v="2"/>
    <d v="2023-11-02T00:00:00"/>
  </r>
  <r>
    <s v="TXN_3101575"/>
    <x v="0"/>
    <n v="2"/>
    <n v="2"/>
    <n v="4"/>
    <x v="2"/>
    <x v="0"/>
    <d v="2023-12-03T00:00:00"/>
  </r>
  <r>
    <s v="TXN_4874685"/>
    <x v="4"/>
    <n v="1"/>
    <n v="4"/>
    <n v="4"/>
    <x v="0"/>
    <x v="1"/>
    <m/>
  </r>
  <r>
    <s v="TXN_6269119"/>
    <x v="5"/>
    <n v="2"/>
    <n v="3"/>
    <n v="6"/>
    <x v="3"/>
    <x v="0"/>
    <d v="2023-07-19T00:00:00"/>
  </r>
  <r>
    <s v="TXN_6024625"/>
    <x v="0"/>
    <n v="5"/>
    <n v="2"/>
    <n v="10"/>
    <x v="3"/>
    <x v="0"/>
    <d v="2023-09-13T00:00:00"/>
  </r>
  <r>
    <s v="TXN_7470910"/>
    <x v="3"/>
    <n v="2"/>
    <n v="5"/>
    <n v="10"/>
    <x v="1"/>
    <x v="1"/>
    <d v="2023-11-22T00:00:00"/>
  </r>
  <r>
    <s v="TXN_9911345"/>
    <x v="2"/>
    <n v="1"/>
    <n v="1"/>
    <n v="1"/>
    <x v="3"/>
    <x v="2"/>
    <d v="2023-04-14T00:00:00"/>
  </r>
  <r>
    <s v="TXN_1116119"/>
    <x v="4"/>
    <n v="4"/>
    <n v="4"/>
    <n v="16"/>
    <x v="3"/>
    <x v="1"/>
    <d v="2023-08-07T00:00:00"/>
  </r>
  <r>
    <s v="TXN_3471223"/>
    <x v="0"/>
    <n v="1"/>
    <n v="2"/>
    <n v="2"/>
    <x v="3"/>
    <x v="1"/>
    <d v="2023-10-08T00:00:00"/>
  </r>
  <r>
    <s v="TXN_4491072"/>
    <x v="4"/>
    <n v="4"/>
    <n v="4"/>
    <n v="16"/>
    <x v="0"/>
    <x v="2"/>
    <d v="2023-12-03T00:00:00"/>
  </r>
  <r>
    <s v="TXN_2053993"/>
    <x v="8"/>
    <n v="2"/>
    <n v="1.5"/>
    <n v="3"/>
    <x v="2"/>
    <x v="0"/>
    <d v="2023-09-21T00:00:00"/>
  </r>
  <r>
    <s v="TXN_9086709"/>
    <x v="1"/>
    <n v="1"/>
    <n v="3"/>
    <n v="3"/>
    <x v="2"/>
    <x v="1"/>
    <d v="2023-05-04T00:00:00"/>
  </r>
  <r>
    <s v="TXN_1646009"/>
    <x v="5"/>
    <n v="4"/>
    <n v="5"/>
    <n v="20"/>
    <x v="0"/>
    <x v="2"/>
    <d v="2023-10-11T00:00:00"/>
  </r>
  <r>
    <s v="TXN_8692653"/>
    <x v="7"/>
    <n v="2"/>
    <n v="3"/>
    <n v="6"/>
    <x v="1"/>
    <x v="0"/>
    <d v="2023-11-01T00:00:00"/>
  </r>
  <r>
    <s v="TXN_5021925"/>
    <x v="8"/>
    <n v="4"/>
    <n v="1.5"/>
    <n v="6"/>
    <x v="1"/>
    <x v="1"/>
    <d v="2023-05-07T00:00:00"/>
  </r>
  <r>
    <s v="TXN_1104849"/>
    <x v="5"/>
    <n v="4"/>
    <n v="4"/>
    <n v="16"/>
    <x v="3"/>
    <x v="0"/>
    <d v="2023-07-05T00:00:00"/>
  </r>
  <r>
    <s v="TXN_6358073"/>
    <x v="6"/>
    <n v="3"/>
    <n v="4"/>
    <n v="12"/>
    <x v="2"/>
    <x v="2"/>
    <m/>
  </r>
  <r>
    <s v="TXN_7764154"/>
    <x v="3"/>
    <n v="2"/>
    <n v="5"/>
    <n v="10"/>
    <x v="0"/>
    <x v="0"/>
    <d v="2023-12-09T00:00:00"/>
  </r>
  <r>
    <s v="TXN_5410185"/>
    <x v="5"/>
    <n v="3"/>
    <n v="3"/>
    <n v="9"/>
    <x v="2"/>
    <x v="1"/>
    <d v="2023-02-22T00:00:00"/>
  </r>
  <r>
    <s v="TXN_5651348"/>
    <x v="5"/>
    <n v="3"/>
    <n v="5"/>
    <n v="15"/>
    <x v="1"/>
    <x v="0"/>
    <d v="2023-11-04T00:00:00"/>
  </r>
  <r>
    <s v="TXN_2178735"/>
    <x v="7"/>
    <n v="3"/>
    <n v="3"/>
    <n v="9"/>
    <x v="0"/>
    <x v="0"/>
    <d v="2023-07-24T00:00:00"/>
  </r>
  <r>
    <s v="TXN_4125165"/>
    <x v="0"/>
    <n v="5"/>
    <n v="2"/>
    <n v="10"/>
    <x v="1"/>
    <x v="2"/>
    <d v="2023-04-16T00:00:00"/>
  </r>
  <r>
    <s v="TXN_5014959"/>
    <x v="2"/>
    <n v="2"/>
    <n v="1"/>
    <n v="2"/>
    <x v="0"/>
    <x v="1"/>
    <d v="2023-11-28T00:00:00"/>
  </r>
  <r>
    <s v="TXN_8811565"/>
    <x v="7"/>
    <n v="5"/>
    <n v="3"/>
    <n v="15"/>
    <x v="0"/>
    <x v="2"/>
    <d v="2023-10-01T00:00:00"/>
  </r>
  <r>
    <s v="TXN_9868382"/>
    <x v="0"/>
    <n v="2"/>
    <n v="2"/>
    <n v="4"/>
    <x v="3"/>
    <x v="2"/>
    <d v="2023-06-02T00:00:00"/>
  </r>
  <r>
    <s v="TXN_2924611"/>
    <x v="7"/>
    <n v="3"/>
    <n v="3"/>
    <n v="9"/>
    <x v="1"/>
    <x v="2"/>
    <d v="2023-04-19T00:00:00"/>
  </r>
  <r>
    <s v="TXN_7063124"/>
    <x v="1"/>
    <n v="1"/>
    <n v="3"/>
    <n v="3"/>
    <x v="2"/>
    <x v="0"/>
    <d v="2023-04-10T00:00:00"/>
  </r>
  <r>
    <s v="TXN_2291079"/>
    <x v="0"/>
    <n v="1"/>
    <n v="2"/>
    <n v="2"/>
    <x v="1"/>
    <x v="2"/>
    <d v="2023-10-07T00:00:00"/>
  </r>
  <r>
    <s v="TXN_5348445"/>
    <x v="3"/>
    <n v="5"/>
    <n v="5"/>
    <n v="25"/>
    <x v="3"/>
    <x v="1"/>
    <d v="2023-11-15T00:00:00"/>
  </r>
  <r>
    <s v="TXN_8920751"/>
    <x v="8"/>
    <n v="2"/>
    <n v="1.5"/>
    <n v="3"/>
    <x v="2"/>
    <x v="2"/>
    <d v="2023-04-20T00:00:00"/>
  </r>
  <r>
    <s v="TXN_7215985"/>
    <x v="8"/>
    <n v="4"/>
    <n v="1.5"/>
    <n v="6"/>
    <x v="0"/>
    <x v="1"/>
    <d v="2023-08-07T00:00:00"/>
  </r>
  <r>
    <s v="TXN_7448296"/>
    <x v="2"/>
    <n v="1"/>
    <n v="1"/>
    <n v="1"/>
    <x v="0"/>
    <x v="1"/>
    <d v="2023-11-15T00:00:00"/>
  </r>
  <r>
    <s v="TXN_2625324"/>
    <x v="0"/>
    <n v="1"/>
    <n v="2"/>
    <n v="2"/>
    <x v="2"/>
    <x v="2"/>
    <d v="2023-09-02T00:00:00"/>
  </r>
  <r>
    <s v="TXN_3542902"/>
    <x v="4"/>
    <n v="1"/>
    <n v="4"/>
    <n v="4"/>
    <x v="2"/>
    <x v="1"/>
    <d v="2023-06-10T00:00:00"/>
  </r>
  <r>
    <s v="TXN_1494608"/>
    <x v="8"/>
    <n v="3"/>
    <n v="1.5"/>
    <n v="4.5"/>
    <x v="0"/>
    <x v="1"/>
    <d v="2023-05-07T00:00:00"/>
  </r>
  <r>
    <s v="TXN_7615147"/>
    <x v="6"/>
    <n v="4"/>
    <n v="4"/>
    <n v="16"/>
    <x v="1"/>
    <x v="1"/>
    <d v="2023-05-19T00:00:00"/>
  </r>
  <r>
    <s v="TXN_7225428"/>
    <x v="8"/>
    <n v="2"/>
    <n v="1.5"/>
    <n v="3"/>
    <x v="0"/>
    <x v="0"/>
    <d v="2023-03-07T00:00:00"/>
  </r>
  <r>
    <s v="TXN_3426892"/>
    <x v="3"/>
    <n v="4"/>
    <n v="5"/>
    <n v="20"/>
    <x v="0"/>
    <x v="2"/>
    <d v="2023-05-23T00:00:00"/>
  </r>
  <r>
    <s v="TXN_5892508"/>
    <x v="4"/>
    <n v="1"/>
    <n v="4"/>
    <n v="4"/>
    <x v="0"/>
    <x v="0"/>
    <d v="2023-03-21T00:00:00"/>
  </r>
  <r>
    <s v="TXN_5546684"/>
    <x v="0"/>
    <n v="1"/>
    <n v="2"/>
    <n v="2"/>
    <x v="0"/>
    <x v="1"/>
    <d v="2023-10-02T00:00:00"/>
  </r>
  <r>
    <s v="TXN_6846047"/>
    <x v="3"/>
    <n v="1"/>
    <n v="5"/>
    <n v="5"/>
    <x v="3"/>
    <x v="2"/>
    <d v="2023-04-02T00:00:00"/>
  </r>
  <r>
    <s v="TXN_5373527"/>
    <x v="6"/>
    <n v="2"/>
    <n v="4"/>
    <n v="8"/>
    <x v="2"/>
    <x v="2"/>
    <d v="2023-06-26T00:00:00"/>
  </r>
  <r>
    <s v="TXN_6402128"/>
    <x v="6"/>
    <n v="4"/>
    <n v="4"/>
    <n v="16"/>
    <x v="3"/>
    <x v="1"/>
    <d v="2023-11-09T00:00:00"/>
  </r>
  <r>
    <s v="TXN_5009706"/>
    <x v="6"/>
    <n v="2"/>
    <n v="4"/>
    <n v="8"/>
    <x v="3"/>
    <x v="1"/>
    <d v="2023-09-20T00:00:00"/>
  </r>
  <r>
    <s v="TXN_7223120"/>
    <x v="7"/>
    <n v="1"/>
    <n v="3"/>
    <n v="3"/>
    <x v="2"/>
    <x v="2"/>
    <d v="2023-03-13T00:00:00"/>
  </r>
  <r>
    <s v="TXN_1991104"/>
    <x v="7"/>
    <n v="2"/>
    <n v="3"/>
    <n v="6"/>
    <x v="3"/>
    <x v="0"/>
    <d v="2023-11-29T00:00:00"/>
  </r>
  <r>
    <s v="TXN_3380698"/>
    <x v="0"/>
    <n v="3"/>
    <n v="2"/>
    <n v="6"/>
    <x v="0"/>
    <x v="0"/>
    <d v="2023-12-15T00:00:00"/>
  </r>
  <r>
    <s v="TXN_9084554"/>
    <x v="5"/>
    <n v="4"/>
    <n v="4"/>
    <n v="16"/>
    <x v="0"/>
    <x v="1"/>
    <d v="2023-06-08T00:00:00"/>
  </r>
  <r>
    <s v="TXN_2996948"/>
    <x v="4"/>
    <n v="3"/>
    <n v="4"/>
    <n v="12"/>
    <x v="2"/>
    <x v="2"/>
    <d v="2023-06-25T00:00:00"/>
  </r>
  <r>
    <s v="TXN_1148945"/>
    <x v="0"/>
    <n v="1"/>
    <n v="2"/>
    <n v="2"/>
    <x v="2"/>
    <x v="2"/>
    <d v="2023-09-05T00:00:00"/>
  </r>
  <r>
    <s v="TXN_2078577"/>
    <x v="8"/>
    <n v="4"/>
    <n v="1.5"/>
    <n v="6"/>
    <x v="0"/>
    <x v="2"/>
    <d v="2023-01-31T00:00:00"/>
  </r>
  <r>
    <s v="TXN_4007285"/>
    <x v="6"/>
    <n v="5"/>
    <n v="4"/>
    <n v="20"/>
    <x v="3"/>
    <x v="2"/>
    <d v="2023-01-16T00:00:00"/>
  </r>
  <r>
    <s v="TXN_2336708"/>
    <x v="5"/>
    <n v="2"/>
    <n v="3"/>
    <n v="6"/>
    <x v="1"/>
    <x v="1"/>
    <d v="2023-06-16T00:00:00"/>
  </r>
  <r>
    <s v="TXN_1512118"/>
    <x v="3"/>
    <n v="4"/>
    <n v="5"/>
    <n v="20"/>
    <x v="1"/>
    <x v="1"/>
    <d v="2023-03-01T00:00:00"/>
  </r>
  <r>
    <s v="TXN_6077816"/>
    <x v="1"/>
    <n v="3"/>
    <n v="3"/>
    <n v="9"/>
    <x v="0"/>
    <x v="2"/>
    <d v="2023-09-26T00:00:00"/>
  </r>
  <r>
    <s v="TXN_5136936"/>
    <x v="1"/>
    <n v="3"/>
    <n v="3"/>
    <n v="9"/>
    <x v="1"/>
    <x v="2"/>
    <d v="2023-08-24T00:00:00"/>
  </r>
  <r>
    <s v="TXN_8623443"/>
    <x v="5"/>
    <n v="3"/>
    <n v="5"/>
    <n v="15"/>
    <x v="0"/>
    <x v="1"/>
    <d v="2023-09-04T00:00:00"/>
  </r>
  <r>
    <s v="TXN_5654490"/>
    <x v="8"/>
    <n v="4"/>
    <n v="1.5"/>
    <n v="6"/>
    <x v="0"/>
    <x v="2"/>
    <d v="2023-05-22T00:00:00"/>
  </r>
  <r>
    <s v="TXN_4033888"/>
    <x v="6"/>
    <n v="2"/>
    <n v="4"/>
    <n v="8"/>
    <x v="1"/>
    <x v="1"/>
    <d v="2023-02-04T00:00:00"/>
  </r>
  <r>
    <s v="TXN_4591512"/>
    <x v="8"/>
    <n v="2"/>
    <n v="1.5"/>
    <n v="3"/>
    <x v="2"/>
    <x v="2"/>
    <d v="2023-08-11T00:00:00"/>
  </r>
  <r>
    <s v="TXN_6886495"/>
    <x v="2"/>
    <n v="4"/>
    <n v="1"/>
    <n v="4"/>
    <x v="1"/>
    <x v="2"/>
    <d v="2023-08-07T00:00:00"/>
  </r>
  <r>
    <s v="TXN_9218683"/>
    <x v="1"/>
    <n v="2"/>
    <n v="3"/>
    <n v="6"/>
    <x v="3"/>
    <x v="1"/>
    <m/>
  </r>
  <r>
    <s v="TXN_2153529"/>
    <x v="2"/>
    <n v="1"/>
    <n v="1"/>
    <n v="1"/>
    <x v="0"/>
    <x v="2"/>
    <d v="2023-09-11T00:00:00"/>
  </r>
  <r>
    <s v="TXN_7880148"/>
    <x v="1"/>
    <n v="3"/>
    <n v="3"/>
    <n v="9"/>
    <x v="0"/>
    <x v="0"/>
    <d v="2023-12-12T00:00:00"/>
  </r>
  <r>
    <s v="TXN_3688181"/>
    <x v="1"/>
    <n v="1"/>
    <n v="3"/>
    <n v="3"/>
    <x v="2"/>
    <x v="0"/>
    <d v="2023-08-23T00:00:00"/>
  </r>
  <r>
    <s v="TXN_2482129"/>
    <x v="7"/>
    <n v="1"/>
    <n v="3"/>
    <n v="3"/>
    <x v="1"/>
    <x v="2"/>
    <d v="2023-12-12T00:00:00"/>
  </r>
  <r>
    <s v="TXN_4187420"/>
    <x v="1"/>
    <n v="3"/>
    <n v="3"/>
    <n v="9"/>
    <x v="3"/>
    <x v="1"/>
    <d v="2023-01-31T00:00:00"/>
  </r>
  <r>
    <s v="TXN_4146452"/>
    <x v="4"/>
    <n v="1"/>
    <n v="4"/>
    <n v="4"/>
    <x v="2"/>
    <x v="0"/>
    <d v="2023-05-31T00:00:00"/>
  </r>
  <r>
    <s v="TXN_9553579"/>
    <x v="1"/>
    <n v="2"/>
    <n v="3"/>
    <n v="6"/>
    <x v="0"/>
    <x v="1"/>
    <d v="2023-10-03T00:00:00"/>
  </r>
  <r>
    <s v="TXN_3854285"/>
    <x v="3"/>
    <n v="3"/>
    <n v="5"/>
    <n v="15"/>
    <x v="1"/>
    <x v="0"/>
    <d v="2023-07-18T00:00:00"/>
  </r>
  <r>
    <s v="TXN_5614488"/>
    <x v="6"/>
    <n v="1"/>
    <n v="4"/>
    <n v="4"/>
    <x v="0"/>
    <x v="0"/>
    <d v="2023-07-22T00:00:00"/>
  </r>
  <r>
    <s v="TXN_6187083"/>
    <x v="1"/>
    <n v="5"/>
    <n v="3"/>
    <n v="15"/>
    <x v="2"/>
    <x v="1"/>
    <d v="2023-06-02T00:00:00"/>
  </r>
  <r>
    <s v="TXN_1521486"/>
    <x v="3"/>
    <n v="4"/>
    <n v="5"/>
    <n v="20"/>
    <x v="2"/>
    <x v="2"/>
    <d v="2023-01-28T00:00:00"/>
  </r>
  <r>
    <s v="TXN_6868182"/>
    <x v="5"/>
    <n v="5"/>
    <n v="4"/>
    <n v="20"/>
    <x v="0"/>
    <x v="2"/>
    <d v="2023-01-02T00:00:00"/>
  </r>
  <r>
    <s v="TXN_6035534"/>
    <x v="3"/>
    <n v="4"/>
    <n v="5"/>
    <n v="20"/>
    <x v="0"/>
    <x v="1"/>
    <d v="2023-12-18T00:00:00"/>
  </r>
  <r>
    <s v="TXN_8781128"/>
    <x v="6"/>
    <n v="5"/>
    <n v="4"/>
    <n v="20"/>
    <x v="3"/>
    <x v="0"/>
    <m/>
  </r>
  <r>
    <s v="TXN_7670743"/>
    <x v="3"/>
    <n v="4"/>
    <n v="5"/>
    <n v="20"/>
    <x v="2"/>
    <x v="1"/>
    <d v="2023-04-28T00:00:00"/>
  </r>
  <r>
    <s v="TXN_7201724"/>
    <x v="3"/>
    <n v="1"/>
    <n v="5"/>
    <n v="5"/>
    <x v="1"/>
    <x v="0"/>
    <d v="2023-03-20T00:00:00"/>
  </r>
  <r>
    <s v="TXN_2881199"/>
    <x v="4"/>
    <n v="1"/>
    <n v="4"/>
    <n v="4"/>
    <x v="3"/>
    <x v="2"/>
    <d v="2023-03-05T00:00:00"/>
  </r>
  <r>
    <s v="TXN_3616362"/>
    <x v="4"/>
    <n v="5"/>
    <n v="4"/>
    <n v="20"/>
    <x v="3"/>
    <x v="1"/>
    <d v="2023-12-02T00:00:00"/>
  </r>
  <r>
    <s v="TXN_6113876"/>
    <x v="1"/>
    <n v="3"/>
    <n v="3"/>
    <n v="9"/>
    <x v="1"/>
    <x v="1"/>
    <d v="2023-03-01T00:00:00"/>
  </r>
  <r>
    <s v="TXN_6007079"/>
    <x v="5"/>
    <n v="2"/>
    <n v="1"/>
    <n v="2"/>
    <x v="0"/>
    <x v="1"/>
    <d v="2023-10-09T00:00:00"/>
  </r>
  <r>
    <s v="TXN_3163383"/>
    <x v="8"/>
    <n v="2"/>
    <n v="1.5"/>
    <n v="3"/>
    <x v="2"/>
    <x v="1"/>
    <d v="2023-10-24T00:00:00"/>
  </r>
  <r>
    <s v="TXN_1413304"/>
    <x v="5"/>
    <n v="5"/>
    <n v="5"/>
    <n v="25"/>
    <x v="2"/>
    <x v="0"/>
    <d v="2023-03-17T00:00:00"/>
  </r>
  <r>
    <s v="TXN_4907812"/>
    <x v="6"/>
    <n v="2"/>
    <n v="4"/>
    <n v="8"/>
    <x v="3"/>
    <x v="1"/>
    <d v="2023-08-11T00:00:00"/>
  </r>
  <r>
    <s v="TXN_7894514"/>
    <x v="1"/>
    <n v="1"/>
    <n v="3"/>
    <n v="3"/>
    <x v="2"/>
    <x v="2"/>
    <d v="2023-09-25T00:00:00"/>
  </r>
  <r>
    <s v="TXN_6450138"/>
    <x v="1"/>
    <n v="1"/>
    <n v="3"/>
    <n v="3"/>
    <x v="0"/>
    <x v="0"/>
    <d v="2023-04-13T00:00:00"/>
  </r>
  <r>
    <s v="TXN_9874588"/>
    <x v="6"/>
    <n v="2"/>
    <n v="4"/>
    <n v="8"/>
    <x v="2"/>
    <x v="0"/>
    <d v="2023-06-04T00:00:00"/>
  </r>
  <r>
    <s v="TXN_6732989"/>
    <x v="3"/>
    <n v="2"/>
    <n v="5"/>
    <n v="10"/>
    <x v="0"/>
    <x v="2"/>
    <d v="2023-04-29T00:00:00"/>
  </r>
  <r>
    <s v="TXN_5442610"/>
    <x v="7"/>
    <n v="2"/>
    <n v="3"/>
    <n v="6"/>
    <x v="2"/>
    <x v="0"/>
    <d v="2023-12-10T00:00:00"/>
  </r>
  <r>
    <s v="TXN_2155368"/>
    <x v="5"/>
    <n v="2"/>
    <n v="1"/>
    <n v="2"/>
    <x v="3"/>
    <x v="0"/>
    <d v="2023-02-06T00:00:00"/>
  </r>
  <r>
    <s v="TXN_5236892"/>
    <x v="5"/>
    <n v="1"/>
    <n v="3"/>
    <n v="3"/>
    <x v="3"/>
    <x v="0"/>
    <d v="2023-03-09T00:00:00"/>
  </r>
  <r>
    <s v="TXN_9328595"/>
    <x v="8"/>
    <n v="2"/>
    <n v="1.5"/>
    <n v="3"/>
    <x v="1"/>
    <x v="2"/>
    <d v="2023-10-24T00:00:00"/>
  </r>
  <r>
    <s v="TXN_1324930"/>
    <x v="6"/>
    <n v="5"/>
    <n v="4"/>
    <n v="20"/>
    <x v="0"/>
    <x v="0"/>
    <d v="2023-01-11T00:00:00"/>
  </r>
  <r>
    <s v="TXN_6148397"/>
    <x v="8"/>
    <n v="4"/>
    <n v="1.5"/>
    <n v="6"/>
    <x v="2"/>
    <x v="1"/>
    <d v="2023-03-20T00:00:00"/>
  </r>
  <r>
    <s v="TXN_8298711"/>
    <x v="0"/>
    <n v="3"/>
    <n v="2"/>
    <n v="6"/>
    <x v="2"/>
    <x v="0"/>
    <d v="2023-01-26T00:00:00"/>
  </r>
  <r>
    <s v="TXN_7085875"/>
    <x v="7"/>
    <n v="3"/>
    <n v="3"/>
    <n v="9"/>
    <x v="3"/>
    <x v="1"/>
    <d v="2023-08-23T00:00:00"/>
  </r>
  <r>
    <s v="TXN_3857768"/>
    <x v="0"/>
    <n v="2"/>
    <n v="2"/>
    <n v="4"/>
    <x v="0"/>
    <x v="2"/>
    <d v="2023-01-04T00:00:00"/>
  </r>
  <r>
    <s v="TXN_5474440"/>
    <x v="1"/>
    <n v="2"/>
    <n v="3"/>
    <n v="6"/>
    <x v="0"/>
    <x v="2"/>
    <d v="2023-11-08T00:00:00"/>
  </r>
  <r>
    <s v="TXN_6057379"/>
    <x v="3"/>
    <n v="5"/>
    <n v="5"/>
    <n v="25"/>
    <x v="0"/>
    <x v="0"/>
    <d v="2023-03-18T00:00:00"/>
  </r>
  <r>
    <s v="TXN_4637070"/>
    <x v="8"/>
    <n v="3"/>
    <n v="1.5"/>
    <n v="4.5"/>
    <x v="0"/>
    <x v="2"/>
    <d v="2023-06-13T00:00:00"/>
  </r>
  <r>
    <s v="TXN_9313535"/>
    <x v="2"/>
    <n v="1"/>
    <n v="1"/>
    <n v="1"/>
    <x v="3"/>
    <x v="0"/>
    <d v="2023-06-04T00:00:00"/>
  </r>
  <r>
    <s v="TXN_8161873"/>
    <x v="5"/>
    <n v="1"/>
    <n v="1.5"/>
    <n v="1.5"/>
    <x v="3"/>
    <x v="2"/>
    <d v="2023-02-08T00:00:00"/>
  </r>
  <r>
    <s v="TXN_5441196"/>
    <x v="8"/>
    <n v="1"/>
    <n v="1.5"/>
    <n v="1.5"/>
    <x v="1"/>
    <x v="2"/>
    <d v="2023-05-24T00:00:00"/>
  </r>
  <r>
    <s v="TXN_9626053"/>
    <x v="3"/>
    <n v="1"/>
    <n v="5"/>
    <n v="5"/>
    <x v="1"/>
    <x v="0"/>
    <d v="2023-08-11T00:00:00"/>
  </r>
  <r>
    <s v="TXN_7026504"/>
    <x v="5"/>
    <n v="5"/>
    <n v="4"/>
    <n v="20"/>
    <x v="2"/>
    <x v="2"/>
    <d v="2023-03-29T00:00:00"/>
  </r>
  <r>
    <s v="TXN_4114843"/>
    <x v="6"/>
    <n v="2"/>
    <n v="4"/>
    <n v="8"/>
    <x v="1"/>
    <x v="2"/>
    <d v="2023-05-17T00:00:00"/>
  </r>
  <r>
    <s v="TXN_6622954"/>
    <x v="4"/>
    <n v="2"/>
    <n v="4"/>
    <n v="8"/>
    <x v="2"/>
    <x v="1"/>
    <d v="2023-01-13T00:00:00"/>
  </r>
  <r>
    <s v="TXN_5509088"/>
    <x v="6"/>
    <n v="3"/>
    <n v="4"/>
    <n v="12"/>
    <x v="3"/>
    <x v="2"/>
    <d v="2023-08-28T00:00:00"/>
  </r>
  <r>
    <s v="TXN_5583534"/>
    <x v="2"/>
    <n v="2"/>
    <n v="1"/>
    <n v="2"/>
    <x v="1"/>
    <x v="0"/>
    <d v="2023-10-31T00:00:00"/>
  </r>
  <r>
    <s v="TXN_1438257"/>
    <x v="3"/>
    <n v="4"/>
    <n v="5"/>
    <n v="20"/>
    <x v="0"/>
    <x v="0"/>
    <d v="2023-06-13T00:00:00"/>
  </r>
  <r>
    <s v="TXN_6428593"/>
    <x v="8"/>
    <n v="5"/>
    <n v="1.5"/>
    <n v="7.5"/>
    <x v="2"/>
    <x v="2"/>
    <d v="2023-09-06T00:00:00"/>
  </r>
  <r>
    <s v="TXN_4257830"/>
    <x v="2"/>
    <n v="5"/>
    <n v="1"/>
    <n v="5"/>
    <x v="2"/>
    <x v="1"/>
    <d v="2023-08-04T00:00:00"/>
  </r>
  <r>
    <s v="TXN_8780340"/>
    <x v="1"/>
    <n v="5"/>
    <n v="3"/>
    <n v="15"/>
    <x v="0"/>
    <x v="2"/>
    <d v="2023-08-29T00:00:00"/>
  </r>
  <r>
    <s v="TXN_5801294"/>
    <x v="3"/>
    <n v="1"/>
    <n v="5"/>
    <n v="5"/>
    <x v="2"/>
    <x v="2"/>
    <d v="2023-10-20T00:00:00"/>
  </r>
  <r>
    <s v="TXN_4315988"/>
    <x v="5"/>
    <n v="2"/>
    <n v="5"/>
    <n v="10"/>
    <x v="1"/>
    <x v="0"/>
    <d v="2023-04-12T00:00:00"/>
  </r>
  <r>
    <s v="TXN_3963927"/>
    <x v="6"/>
    <n v="4"/>
    <n v="4"/>
    <n v="16"/>
    <x v="0"/>
    <x v="1"/>
    <d v="2023-01-03T00:00:00"/>
  </r>
  <r>
    <s v="TXN_2906443"/>
    <x v="1"/>
    <n v="4"/>
    <n v="3"/>
    <n v="12"/>
    <x v="2"/>
    <x v="2"/>
    <d v="2023-08-14T00:00:00"/>
  </r>
  <r>
    <s v="TXN_2660295"/>
    <x v="2"/>
    <n v="3"/>
    <n v="1"/>
    <n v="3"/>
    <x v="2"/>
    <x v="2"/>
    <d v="2023-12-06T00:00:00"/>
  </r>
  <r>
    <s v="TXN_7023528"/>
    <x v="8"/>
    <n v="5"/>
    <n v="1.5"/>
    <n v="7.5"/>
    <x v="1"/>
    <x v="1"/>
    <d v="2023-10-28T00:00:00"/>
  </r>
  <r>
    <s v="TXN_5419862"/>
    <x v="7"/>
    <n v="5"/>
    <n v="3"/>
    <n v="15"/>
    <x v="3"/>
    <x v="2"/>
    <d v="2023-05-29T00:00:00"/>
  </r>
  <r>
    <s v="TXN_9124680"/>
    <x v="2"/>
    <n v="2"/>
    <n v="1"/>
    <n v="2"/>
    <x v="1"/>
    <x v="0"/>
    <d v="2023-10-03T00:00:00"/>
  </r>
  <r>
    <s v="TXN_7853635"/>
    <x v="3"/>
    <n v="3"/>
    <n v="5"/>
    <n v="15"/>
    <x v="3"/>
    <x v="0"/>
    <d v="2023-02-16T00:00:00"/>
  </r>
  <r>
    <s v="TXN_2009893"/>
    <x v="4"/>
    <n v="3"/>
    <n v="4"/>
    <n v="12"/>
    <x v="2"/>
    <x v="2"/>
    <d v="2023-12-06T00:00:00"/>
  </r>
  <r>
    <s v="TXN_3516263"/>
    <x v="1"/>
    <n v="2"/>
    <n v="3"/>
    <n v="6"/>
    <x v="3"/>
    <x v="1"/>
    <d v="2023-09-23T00:00:00"/>
  </r>
  <r>
    <s v="TXN_1591640"/>
    <x v="1"/>
    <n v="2"/>
    <n v="3"/>
    <n v="6"/>
    <x v="1"/>
    <x v="1"/>
    <d v="2023-05-26T00:00:00"/>
  </r>
  <r>
    <s v="TXN_9358958"/>
    <x v="4"/>
    <n v="1"/>
    <n v="4"/>
    <n v="4"/>
    <x v="2"/>
    <x v="0"/>
    <d v="2023-05-08T00:00:00"/>
  </r>
  <r>
    <s v="TXN_3008336"/>
    <x v="5"/>
    <n v="5"/>
    <n v="4"/>
    <n v="20"/>
    <x v="0"/>
    <x v="2"/>
    <d v="2023-07-27T00:00:00"/>
  </r>
  <r>
    <s v="TXN_7401710"/>
    <x v="6"/>
    <n v="5"/>
    <n v="4"/>
    <n v="20"/>
    <x v="1"/>
    <x v="2"/>
    <d v="2023-10-24T00:00:00"/>
  </r>
  <r>
    <s v="TXN_2176727"/>
    <x v="8"/>
    <n v="1"/>
    <n v="1.5"/>
    <n v="1.5"/>
    <x v="2"/>
    <x v="0"/>
    <d v="2023-07-26T00:00:00"/>
  </r>
  <r>
    <s v="TXN_5595717"/>
    <x v="7"/>
    <n v="2"/>
    <n v="3"/>
    <n v="6"/>
    <x v="2"/>
    <x v="2"/>
    <d v="2023-06-16T00:00:00"/>
  </r>
  <r>
    <s v="TXN_1697018"/>
    <x v="7"/>
    <n v="4"/>
    <n v="3"/>
    <n v="12"/>
    <x v="3"/>
    <x v="1"/>
    <d v="2023-07-02T00:00:00"/>
  </r>
  <r>
    <s v="TXN_1910957"/>
    <x v="8"/>
    <n v="5"/>
    <n v="1.5"/>
    <n v="7.5"/>
    <x v="2"/>
    <x v="0"/>
    <d v="2023-07-25T00:00:00"/>
  </r>
  <r>
    <s v="TXN_2667225"/>
    <x v="3"/>
    <n v="2"/>
    <n v="5"/>
    <n v="10"/>
    <x v="1"/>
    <x v="1"/>
    <d v="2023-11-21T00:00:00"/>
  </r>
  <r>
    <s v="TXN_3152531"/>
    <x v="0"/>
    <n v="3"/>
    <n v="2"/>
    <n v="6"/>
    <x v="0"/>
    <x v="2"/>
    <d v="2023-11-24T00:00:00"/>
  </r>
  <r>
    <s v="TXN_8605958"/>
    <x v="6"/>
    <n v="5"/>
    <n v="4"/>
    <n v="20"/>
    <x v="1"/>
    <x v="2"/>
    <d v="2023-06-09T00:00:00"/>
  </r>
  <r>
    <s v="TXN_5033045"/>
    <x v="3"/>
    <n v="3"/>
    <n v="5"/>
    <n v="15"/>
    <x v="3"/>
    <x v="2"/>
    <d v="2023-04-21T00:00:00"/>
  </r>
  <r>
    <s v="TXN_7527249"/>
    <x v="8"/>
    <n v="3"/>
    <n v="1.5"/>
    <n v="4.5"/>
    <x v="2"/>
    <x v="0"/>
    <d v="2023-03-29T00:00:00"/>
  </r>
  <r>
    <s v="TXN_9159212"/>
    <x v="4"/>
    <n v="3"/>
    <n v="4"/>
    <n v="12"/>
    <x v="3"/>
    <x v="0"/>
    <d v="2023-01-12T00:00:00"/>
  </r>
  <r>
    <s v="TXN_6881523"/>
    <x v="7"/>
    <n v="5"/>
    <n v="3"/>
    <n v="15"/>
    <x v="2"/>
    <x v="0"/>
    <d v="2023-02-24T00:00:00"/>
  </r>
  <r>
    <s v="TXN_9725369"/>
    <x v="0"/>
    <n v="3"/>
    <n v="2"/>
    <n v="6"/>
    <x v="2"/>
    <x v="0"/>
    <d v="2023-02-10T00:00:00"/>
  </r>
  <r>
    <s v="TXN_3282436"/>
    <x v="3"/>
    <n v="5"/>
    <n v="5"/>
    <n v="25"/>
    <x v="0"/>
    <x v="1"/>
    <d v="2023-12-14T00:00:00"/>
  </r>
  <r>
    <s v="TXN_4206256"/>
    <x v="4"/>
    <n v="3"/>
    <n v="4"/>
    <n v="12"/>
    <x v="2"/>
    <x v="2"/>
    <d v="2023-10-10T00:00:00"/>
  </r>
  <r>
    <s v="TXN_8465274"/>
    <x v="1"/>
    <n v="3"/>
    <n v="3"/>
    <n v="9"/>
    <x v="3"/>
    <x v="0"/>
    <d v="2023-02-01T00:00:00"/>
  </r>
  <r>
    <s v="TXN_1286779"/>
    <x v="4"/>
    <n v="4"/>
    <n v="4"/>
    <n v="16"/>
    <x v="0"/>
    <x v="2"/>
    <d v="2023-04-13T00:00:00"/>
  </r>
  <r>
    <s v="TXN_7216922"/>
    <x v="7"/>
    <n v="5"/>
    <n v="3"/>
    <n v="15"/>
    <x v="2"/>
    <x v="2"/>
    <d v="2023-06-26T00:00:00"/>
  </r>
  <r>
    <s v="TXN_8330446"/>
    <x v="4"/>
    <n v="3"/>
    <n v="4"/>
    <n v="12"/>
    <x v="0"/>
    <x v="1"/>
    <d v="2023-08-06T00:00:00"/>
  </r>
  <r>
    <s v="TXN_1282260"/>
    <x v="6"/>
    <n v="5"/>
    <n v="4"/>
    <n v="20"/>
    <x v="3"/>
    <x v="2"/>
    <d v="2023-07-21T00:00:00"/>
  </r>
  <r>
    <s v="TXN_9582716"/>
    <x v="1"/>
    <n v="2"/>
    <n v="3"/>
    <n v="6"/>
    <x v="2"/>
    <x v="2"/>
    <m/>
  </r>
  <r>
    <s v="TXN_9769410"/>
    <x v="3"/>
    <n v="1"/>
    <n v="5"/>
    <n v="5"/>
    <x v="1"/>
    <x v="1"/>
    <d v="2023-07-22T00:00:00"/>
  </r>
  <r>
    <s v="TXN_7482583"/>
    <x v="8"/>
    <n v="5"/>
    <n v="1.5"/>
    <n v="7.5"/>
    <x v="0"/>
    <x v="2"/>
    <m/>
  </r>
  <r>
    <s v="TXN_3865224"/>
    <x v="0"/>
    <n v="3"/>
    <n v="2"/>
    <n v="6"/>
    <x v="2"/>
    <x v="2"/>
    <d v="2023-07-25T00:00:00"/>
  </r>
  <r>
    <s v="TXN_8135614"/>
    <x v="7"/>
    <n v="2"/>
    <n v="3"/>
    <n v="6"/>
    <x v="3"/>
    <x v="2"/>
    <d v="2023-01-28T00:00:00"/>
  </r>
  <r>
    <s v="TXN_9603131"/>
    <x v="4"/>
    <n v="5"/>
    <n v="4"/>
    <n v="20"/>
    <x v="2"/>
    <x v="2"/>
    <d v="2023-08-19T00:00:00"/>
  </r>
  <r>
    <s v="TXN_1437083"/>
    <x v="4"/>
    <n v="2"/>
    <n v="4"/>
    <n v="8"/>
    <x v="0"/>
    <x v="1"/>
    <d v="2023-03-15T00:00:00"/>
  </r>
  <r>
    <s v="TXN_2955040"/>
    <x v="5"/>
    <n v="5"/>
    <n v="3"/>
    <n v="15"/>
    <x v="2"/>
    <x v="2"/>
    <d v="2023-03-21T00:00:00"/>
  </r>
  <r>
    <s v="TXN_2413626"/>
    <x v="1"/>
    <n v="1"/>
    <n v="3"/>
    <n v="3"/>
    <x v="0"/>
    <x v="0"/>
    <d v="2023-11-06T00:00:00"/>
  </r>
  <r>
    <s v="TXN_1568657"/>
    <x v="0"/>
    <n v="2"/>
    <n v="2"/>
    <n v="4"/>
    <x v="1"/>
    <x v="2"/>
    <m/>
  </r>
  <r>
    <s v="TXN_3392848"/>
    <x v="1"/>
    <n v="2"/>
    <n v="3"/>
    <n v="6"/>
    <x v="1"/>
    <x v="1"/>
    <d v="2023-04-03T00:00:00"/>
  </r>
  <r>
    <s v="TXN_7027905"/>
    <x v="6"/>
    <n v="1"/>
    <n v="4"/>
    <n v="4"/>
    <x v="0"/>
    <x v="1"/>
    <d v="2023-07-17T00:00:00"/>
  </r>
  <r>
    <s v="TXN_8808034"/>
    <x v="4"/>
    <n v="2"/>
    <n v="4"/>
    <n v="8"/>
    <x v="1"/>
    <x v="1"/>
    <d v="2023-08-09T00:00:00"/>
  </r>
  <r>
    <s v="TXN_1663113"/>
    <x v="4"/>
    <n v="4"/>
    <n v="4"/>
    <n v="16"/>
    <x v="0"/>
    <x v="0"/>
    <d v="2023-12-24T00:00:00"/>
  </r>
  <r>
    <s v="TXN_1544070"/>
    <x v="0"/>
    <n v="5"/>
    <n v="2"/>
    <n v="10"/>
    <x v="2"/>
    <x v="0"/>
    <d v="2023-09-05T00:00:00"/>
  </r>
  <r>
    <s v="TXN_6189334"/>
    <x v="6"/>
    <n v="1"/>
    <n v="4"/>
    <n v="4"/>
    <x v="1"/>
    <x v="1"/>
    <d v="2023-01-12T00:00:00"/>
  </r>
  <r>
    <s v="TXN_3412490"/>
    <x v="1"/>
    <n v="2"/>
    <n v="3"/>
    <n v="6"/>
    <x v="1"/>
    <x v="1"/>
    <m/>
  </r>
  <r>
    <s v="TXN_1852586"/>
    <x v="1"/>
    <n v="5"/>
    <n v="3"/>
    <n v="15"/>
    <x v="2"/>
    <x v="1"/>
    <m/>
  </r>
  <r>
    <s v="TXN_3803732"/>
    <x v="3"/>
    <n v="4"/>
    <n v="5"/>
    <n v="20"/>
    <x v="3"/>
    <x v="2"/>
    <d v="2023-01-08T00:00:00"/>
  </r>
  <r>
    <s v="TXN_3410971"/>
    <x v="4"/>
    <n v="1"/>
    <n v="4"/>
    <n v="4"/>
    <x v="2"/>
    <x v="0"/>
    <d v="2023-01-02T00:00:00"/>
  </r>
  <r>
    <s v="TXN_6467618"/>
    <x v="8"/>
    <n v="3"/>
    <n v="1.5"/>
    <n v="4.5"/>
    <x v="2"/>
    <x v="0"/>
    <d v="2023-10-12T00:00:00"/>
  </r>
  <r>
    <s v="TXN_6908287"/>
    <x v="2"/>
    <n v="1"/>
    <n v="1"/>
    <n v="1"/>
    <x v="1"/>
    <x v="1"/>
    <d v="2023-08-04T00:00:00"/>
  </r>
  <r>
    <s v="TXN_2726700"/>
    <x v="5"/>
    <n v="2"/>
    <n v="1.5"/>
    <n v="3"/>
    <x v="3"/>
    <x v="2"/>
    <d v="2023-04-10T00:00:00"/>
  </r>
  <r>
    <s v="TXN_1803889"/>
    <x v="3"/>
    <n v="4"/>
    <n v="5"/>
    <n v="20"/>
    <x v="2"/>
    <x v="2"/>
    <d v="2023-06-23T00:00:00"/>
  </r>
  <r>
    <s v="TXN_6829707"/>
    <x v="6"/>
    <n v="1"/>
    <n v="4"/>
    <n v="4"/>
    <x v="1"/>
    <x v="0"/>
    <d v="2023-08-17T00:00:00"/>
  </r>
  <r>
    <s v="TXN_7303706"/>
    <x v="0"/>
    <n v="2"/>
    <n v="2"/>
    <n v="4"/>
    <x v="1"/>
    <x v="1"/>
    <d v="2023-12-14T00:00:00"/>
  </r>
  <r>
    <s v="TXN_1730647"/>
    <x v="7"/>
    <n v="5"/>
    <n v="3"/>
    <n v="15"/>
    <x v="3"/>
    <x v="1"/>
    <d v="2023-01-18T00:00:00"/>
  </r>
  <r>
    <s v="TXN_9691018"/>
    <x v="6"/>
    <n v="2"/>
    <n v="4"/>
    <n v="8"/>
    <x v="3"/>
    <x v="2"/>
    <d v="2023-07-21T00:00:00"/>
  </r>
  <r>
    <s v="TXN_5480564"/>
    <x v="3"/>
    <n v="3"/>
    <n v="5"/>
    <n v="15"/>
    <x v="3"/>
    <x v="2"/>
    <d v="2023-05-28T00:00:00"/>
  </r>
  <r>
    <s v="TXN_4090904"/>
    <x v="5"/>
    <n v="5"/>
    <n v="1.5"/>
    <n v="7.5"/>
    <x v="3"/>
    <x v="1"/>
    <d v="2023-08-04T00:00:00"/>
  </r>
  <r>
    <s v="TXN_9138791"/>
    <x v="1"/>
    <n v="1"/>
    <n v="3"/>
    <n v="3"/>
    <x v="3"/>
    <x v="1"/>
    <d v="2023-03-22T00:00:00"/>
  </r>
  <r>
    <s v="TXN_2367947"/>
    <x v="4"/>
    <n v="5"/>
    <n v="4"/>
    <n v="20"/>
    <x v="2"/>
    <x v="0"/>
    <d v="2023-05-13T00:00:00"/>
  </r>
  <r>
    <s v="TXN_4936135"/>
    <x v="0"/>
    <n v="4"/>
    <n v="2"/>
    <n v="8"/>
    <x v="1"/>
    <x v="1"/>
    <d v="2023-12-08T00:00:00"/>
  </r>
  <r>
    <s v="TXN_5311015"/>
    <x v="4"/>
    <n v="3"/>
    <n v="4"/>
    <n v="12"/>
    <x v="2"/>
    <x v="2"/>
    <d v="2023-05-11T00:00:00"/>
  </r>
  <r>
    <s v="TXN_2473090"/>
    <x v="5"/>
    <n v="2"/>
    <n v="1.5"/>
    <n v="3"/>
    <x v="0"/>
    <x v="1"/>
    <d v="2023-03-03T00:00:00"/>
  </r>
  <r>
    <s v="TXN_8808631"/>
    <x v="6"/>
    <n v="5"/>
    <n v="4"/>
    <n v="20"/>
    <x v="2"/>
    <x v="0"/>
    <d v="2023-03-26T00:00:00"/>
  </r>
  <r>
    <s v="TXN_8703212"/>
    <x v="5"/>
    <n v="2"/>
    <n v="2"/>
    <n v="4"/>
    <x v="0"/>
    <x v="0"/>
    <d v="2023-04-17T00:00:00"/>
  </r>
  <r>
    <s v="TXN_7732920"/>
    <x v="6"/>
    <n v="5"/>
    <n v="4"/>
    <n v="20"/>
    <x v="1"/>
    <x v="2"/>
    <d v="2023-02-11T00:00:00"/>
  </r>
  <r>
    <s v="TXN_4496665"/>
    <x v="6"/>
    <n v="2"/>
    <n v="4"/>
    <n v="8"/>
    <x v="3"/>
    <x v="0"/>
    <d v="2023-12-10T00:00:00"/>
  </r>
  <r>
    <s v="TXN_5041555"/>
    <x v="5"/>
    <n v="4"/>
    <n v="1.5"/>
    <n v="6"/>
    <x v="3"/>
    <x v="2"/>
    <d v="2023-08-26T00:00:00"/>
  </r>
  <r>
    <s v="TXN_6816094"/>
    <x v="8"/>
    <n v="4"/>
    <n v="1.5"/>
    <n v="6"/>
    <x v="2"/>
    <x v="1"/>
    <d v="2023-12-30T00:00:00"/>
  </r>
  <r>
    <s v="TXN_8209794"/>
    <x v="0"/>
    <n v="5"/>
    <n v="2"/>
    <n v="10"/>
    <x v="0"/>
    <x v="0"/>
    <d v="2023-10-25T00:00:00"/>
  </r>
  <r>
    <s v="TXN_4135454"/>
    <x v="6"/>
    <n v="4"/>
    <n v="4"/>
    <n v="16"/>
    <x v="2"/>
    <x v="1"/>
    <d v="2023-07-23T00:00:00"/>
  </r>
  <r>
    <s v="TXN_3942164"/>
    <x v="0"/>
    <n v="4"/>
    <n v="2"/>
    <n v="8"/>
    <x v="0"/>
    <x v="2"/>
    <m/>
  </r>
  <r>
    <s v="TXN_2761542"/>
    <x v="2"/>
    <n v="4"/>
    <n v="1"/>
    <n v="4"/>
    <x v="2"/>
    <x v="2"/>
    <d v="2023-10-15T00:00:00"/>
  </r>
  <r>
    <s v="TXN_7948095"/>
    <x v="3"/>
    <n v="5"/>
    <n v="5"/>
    <n v="25"/>
    <x v="2"/>
    <x v="0"/>
    <d v="2023-07-18T00:00:00"/>
  </r>
  <r>
    <s v="TXN_3330687"/>
    <x v="1"/>
    <n v="5"/>
    <n v="3"/>
    <n v="15"/>
    <x v="1"/>
    <x v="1"/>
    <d v="2023-12-26T00:00:00"/>
  </r>
  <r>
    <s v="TXN_9822317"/>
    <x v="5"/>
    <n v="3"/>
    <n v="1.5"/>
    <n v="4.5"/>
    <x v="1"/>
    <x v="1"/>
    <d v="2023-09-25T00:00:00"/>
  </r>
  <r>
    <s v="TXN_6243479"/>
    <x v="6"/>
    <n v="5"/>
    <n v="4"/>
    <n v="20"/>
    <x v="2"/>
    <x v="2"/>
    <d v="2023-09-18T00:00:00"/>
  </r>
  <r>
    <s v="TXN_9296807"/>
    <x v="0"/>
    <n v="3"/>
    <n v="2"/>
    <n v="6"/>
    <x v="0"/>
    <x v="2"/>
    <d v="2023-12-20T00:00:00"/>
  </r>
  <r>
    <s v="TXN_7626939"/>
    <x v="0"/>
    <n v="5"/>
    <n v="2"/>
    <n v="10"/>
    <x v="2"/>
    <x v="2"/>
    <m/>
  </r>
  <r>
    <s v="TXN_5354746"/>
    <x v="0"/>
    <n v="4"/>
    <n v="2"/>
    <n v="8"/>
    <x v="3"/>
    <x v="0"/>
    <d v="2023-03-06T00:00:00"/>
  </r>
  <r>
    <s v="TXN_1235969"/>
    <x v="2"/>
    <n v="1"/>
    <n v="1"/>
    <n v="1"/>
    <x v="3"/>
    <x v="2"/>
    <d v="2023-07-08T00:00:00"/>
  </r>
  <r>
    <s v="TXN_4240796"/>
    <x v="7"/>
    <n v="4"/>
    <n v="3"/>
    <n v="12"/>
    <x v="2"/>
    <x v="2"/>
    <d v="2023-03-28T00:00:00"/>
  </r>
  <r>
    <s v="TXN_3736798"/>
    <x v="0"/>
    <n v="4"/>
    <n v="2"/>
    <n v="8"/>
    <x v="3"/>
    <x v="1"/>
    <d v="2023-07-01T00:00:00"/>
  </r>
  <r>
    <s v="TXN_9102030"/>
    <x v="4"/>
    <n v="4"/>
    <n v="4"/>
    <n v="16"/>
    <x v="3"/>
    <x v="1"/>
    <m/>
  </r>
  <r>
    <s v="TXN_8118419"/>
    <x v="1"/>
    <n v="3"/>
    <n v="3"/>
    <n v="9"/>
    <x v="2"/>
    <x v="2"/>
    <d v="2023-12-03T00:00:00"/>
  </r>
  <r>
    <s v="TXN_3089814"/>
    <x v="1"/>
    <n v="5"/>
    <n v="3"/>
    <n v="15"/>
    <x v="3"/>
    <x v="2"/>
    <d v="2023-03-25T00:00:00"/>
  </r>
  <r>
    <s v="TXN_6719521"/>
    <x v="3"/>
    <n v="5"/>
    <n v="5"/>
    <n v="25"/>
    <x v="1"/>
    <x v="1"/>
    <d v="2023-08-03T00:00:00"/>
  </r>
  <r>
    <s v="TXN_6530795"/>
    <x v="2"/>
    <n v="1"/>
    <n v="1"/>
    <n v="1"/>
    <x v="0"/>
    <x v="2"/>
    <d v="2023-04-30T00:00:00"/>
  </r>
  <r>
    <s v="TXN_4176373"/>
    <x v="2"/>
    <n v="3"/>
    <n v="1"/>
    <n v="3"/>
    <x v="1"/>
    <x v="2"/>
    <d v="2023-03-28T00:00:00"/>
  </r>
  <r>
    <s v="TXN_7230500"/>
    <x v="7"/>
    <n v="3"/>
    <n v="3"/>
    <n v="9"/>
    <x v="0"/>
    <x v="2"/>
    <d v="2023-12-12T00:00:00"/>
  </r>
  <r>
    <s v="TXN_7094898"/>
    <x v="3"/>
    <n v="4"/>
    <n v="5"/>
    <n v="20"/>
    <x v="2"/>
    <x v="0"/>
    <d v="2023-06-20T00:00:00"/>
  </r>
  <r>
    <s v="TXN_2400518"/>
    <x v="7"/>
    <n v="3"/>
    <n v="3"/>
    <n v="9"/>
    <x v="0"/>
    <x v="2"/>
    <d v="2023-02-04T00:00:00"/>
  </r>
  <r>
    <s v="TXN_5349288"/>
    <x v="0"/>
    <n v="4"/>
    <n v="2"/>
    <n v="8"/>
    <x v="3"/>
    <x v="2"/>
    <d v="2023-11-20T00:00:00"/>
  </r>
  <r>
    <s v="TXN_6806290"/>
    <x v="3"/>
    <n v="3"/>
    <n v="5"/>
    <n v="15"/>
    <x v="2"/>
    <x v="2"/>
    <d v="2023-05-02T00:00:00"/>
  </r>
  <r>
    <s v="TXN_6191123"/>
    <x v="5"/>
    <n v="2"/>
    <n v="1"/>
    <n v="2"/>
    <x v="3"/>
    <x v="0"/>
    <d v="2023-03-01T00:00:00"/>
  </r>
  <r>
    <s v="TXN_5386752"/>
    <x v="3"/>
    <n v="4"/>
    <n v="5"/>
    <n v="20"/>
    <x v="3"/>
    <x v="1"/>
    <d v="2023-12-07T00:00:00"/>
  </r>
  <r>
    <s v="TXN_1022523"/>
    <x v="3"/>
    <n v="4"/>
    <n v="5"/>
    <n v="20"/>
    <x v="1"/>
    <x v="1"/>
    <d v="2023-11-25T00:00:00"/>
  </r>
  <r>
    <s v="TXN_3125997"/>
    <x v="7"/>
    <n v="4"/>
    <n v="3"/>
    <n v="12"/>
    <x v="2"/>
    <x v="2"/>
    <d v="2023-10-19T00:00:00"/>
  </r>
  <r>
    <s v="TXN_9906002"/>
    <x v="4"/>
    <n v="3"/>
    <n v="4"/>
    <n v="12"/>
    <x v="3"/>
    <x v="1"/>
    <d v="2023-07-13T00:00:00"/>
  </r>
  <r>
    <s v="TXN_6202015"/>
    <x v="2"/>
    <n v="2"/>
    <n v="1"/>
    <n v="2"/>
    <x v="0"/>
    <x v="0"/>
    <d v="2023-08-22T00:00:00"/>
  </r>
  <r>
    <s v="TXN_6928137"/>
    <x v="1"/>
    <n v="3"/>
    <n v="3"/>
    <n v="9"/>
    <x v="3"/>
    <x v="1"/>
    <d v="2023-10-11T00:00:00"/>
  </r>
  <r>
    <s v="TXN_3003809"/>
    <x v="0"/>
    <n v="4"/>
    <n v="2"/>
    <n v="8"/>
    <x v="1"/>
    <x v="2"/>
    <d v="2023-04-21T00:00:00"/>
  </r>
  <r>
    <s v="TXN_5913013"/>
    <x v="2"/>
    <n v="2"/>
    <n v="1"/>
    <n v="2"/>
    <x v="0"/>
    <x v="0"/>
    <d v="2023-11-29T00:00:00"/>
  </r>
  <r>
    <s v="TXN_7433269"/>
    <x v="8"/>
    <n v="1"/>
    <n v="1.5"/>
    <n v="1.5"/>
    <x v="1"/>
    <x v="1"/>
    <d v="2023-05-18T00:00:00"/>
  </r>
  <r>
    <s v="TXN_3103972"/>
    <x v="1"/>
    <n v="1"/>
    <n v="3"/>
    <n v="3"/>
    <x v="2"/>
    <x v="2"/>
    <d v="2023-03-01T00:00:00"/>
  </r>
  <r>
    <s v="TXN_9081115"/>
    <x v="7"/>
    <n v="3"/>
    <n v="3"/>
    <n v="9"/>
    <x v="2"/>
    <x v="2"/>
    <d v="2023-12-04T00:00:00"/>
  </r>
  <r>
    <s v="TXN_1054915"/>
    <x v="5"/>
    <n v="5"/>
    <n v="1"/>
    <n v="5"/>
    <x v="2"/>
    <x v="1"/>
    <d v="2023-01-22T00:00:00"/>
  </r>
  <r>
    <s v="TXN_2633600"/>
    <x v="3"/>
    <n v="5"/>
    <n v="5"/>
    <n v="25"/>
    <x v="1"/>
    <x v="0"/>
    <d v="2023-11-28T00:00:00"/>
  </r>
  <r>
    <s v="TXN_4631695"/>
    <x v="2"/>
    <n v="5"/>
    <n v="1"/>
    <n v="5"/>
    <x v="2"/>
    <x v="1"/>
    <d v="2023-11-18T00:00:00"/>
  </r>
  <r>
    <s v="TXN_3121271"/>
    <x v="4"/>
    <n v="2"/>
    <n v="4"/>
    <n v="8"/>
    <x v="0"/>
    <x v="2"/>
    <d v="2023-08-13T00:00:00"/>
  </r>
  <r>
    <s v="TXN_4613883"/>
    <x v="8"/>
    <n v="1"/>
    <n v="1.5"/>
    <n v="1.5"/>
    <x v="1"/>
    <x v="2"/>
    <d v="2023-05-21T00:00:00"/>
  </r>
  <r>
    <s v="TXN_2766651"/>
    <x v="1"/>
    <n v="3"/>
    <n v="3"/>
    <n v="9"/>
    <x v="2"/>
    <x v="2"/>
    <d v="2023-05-11T00:00:00"/>
  </r>
  <r>
    <s v="TXN_2166064"/>
    <x v="0"/>
    <n v="4"/>
    <n v="2"/>
    <n v="8"/>
    <x v="2"/>
    <x v="1"/>
    <d v="2023-02-08T00:00:00"/>
  </r>
  <r>
    <s v="TXN_4617771"/>
    <x v="4"/>
    <n v="4"/>
    <n v="4"/>
    <n v="16"/>
    <x v="3"/>
    <x v="0"/>
    <d v="2023-09-10T00:00:00"/>
  </r>
  <r>
    <s v="TXN_9444461"/>
    <x v="6"/>
    <n v="2"/>
    <n v="4"/>
    <n v="8"/>
    <x v="2"/>
    <x v="2"/>
    <d v="2023-05-28T00:00:00"/>
  </r>
  <r>
    <s v="TXN_4723978"/>
    <x v="5"/>
    <n v="2"/>
    <n v="1"/>
    <n v="2"/>
    <x v="2"/>
    <x v="2"/>
    <d v="2023-04-20T00:00:00"/>
  </r>
  <r>
    <s v="TXN_1741325"/>
    <x v="8"/>
    <n v="2"/>
    <n v="1.5"/>
    <n v="3"/>
    <x v="0"/>
    <x v="1"/>
    <d v="2023-03-31T00:00:00"/>
  </r>
  <r>
    <s v="TXN_9370294"/>
    <x v="1"/>
    <n v="2"/>
    <n v="3"/>
    <n v="6"/>
    <x v="0"/>
    <x v="2"/>
    <d v="2023-04-23T00:00:00"/>
  </r>
  <r>
    <s v="TXN_9983356"/>
    <x v="6"/>
    <n v="2"/>
    <n v="4"/>
    <n v="8"/>
    <x v="3"/>
    <x v="0"/>
    <d v="2023-09-20T00:00:00"/>
  </r>
  <r>
    <s v="TXN_8964527"/>
    <x v="6"/>
    <n v="4"/>
    <n v="4"/>
    <n v="16"/>
    <x v="3"/>
    <x v="0"/>
    <d v="2023-02-22T00:00:00"/>
  </r>
  <r>
    <s v="TXN_7696120"/>
    <x v="2"/>
    <n v="1"/>
    <n v="1"/>
    <n v="1"/>
    <x v="2"/>
    <x v="1"/>
    <m/>
  </r>
  <r>
    <s v="TXN_3331437"/>
    <x v="5"/>
    <n v="1"/>
    <n v="2"/>
    <n v="2"/>
    <x v="1"/>
    <x v="0"/>
    <d v="2023-02-26T00:00:00"/>
  </r>
  <r>
    <s v="TXN_6313325"/>
    <x v="2"/>
    <n v="5"/>
    <n v="1"/>
    <n v="5"/>
    <x v="2"/>
    <x v="2"/>
    <d v="2023-07-07T00:00:00"/>
  </r>
  <r>
    <s v="TXN_9497634"/>
    <x v="7"/>
    <n v="3"/>
    <n v="3"/>
    <n v="9"/>
    <x v="1"/>
    <x v="2"/>
    <d v="2023-07-20T00:00:00"/>
  </r>
  <r>
    <s v="TXN_9408993"/>
    <x v="6"/>
    <n v="1"/>
    <n v="4"/>
    <n v="4"/>
    <x v="3"/>
    <x v="1"/>
    <d v="2023-08-19T00:00:00"/>
  </r>
  <r>
    <s v="TXN_7810285"/>
    <x v="1"/>
    <n v="4"/>
    <n v="3"/>
    <n v="12"/>
    <x v="1"/>
    <x v="0"/>
    <d v="2023-10-25T00:00:00"/>
  </r>
  <r>
    <s v="TXN_5322809"/>
    <x v="1"/>
    <n v="2"/>
    <n v="3"/>
    <n v="6"/>
    <x v="2"/>
    <x v="2"/>
    <d v="2023-04-30T00:00:00"/>
  </r>
  <r>
    <s v="TXN_1961595"/>
    <x v="4"/>
    <n v="5"/>
    <n v="4"/>
    <n v="20"/>
    <x v="3"/>
    <x v="1"/>
    <d v="2023-07-02T00:00:00"/>
  </r>
  <r>
    <s v="TXN_1200795"/>
    <x v="6"/>
    <n v="1"/>
    <n v="4"/>
    <n v="4"/>
    <x v="2"/>
    <x v="1"/>
    <d v="2023-08-18T00:00:00"/>
  </r>
  <r>
    <s v="TXN_8958073"/>
    <x v="4"/>
    <n v="1"/>
    <n v="4"/>
    <n v="4"/>
    <x v="2"/>
    <x v="2"/>
    <d v="2023-03-31T00:00:00"/>
  </r>
  <r>
    <s v="TXN_4114503"/>
    <x v="3"/>
    <n v="5"/>
    <n v="5"/>
    <n v="25"/>
    <x v="2"/>
    <x v="0"/>
    <d v="2023-11-07T00:00:00"/>
  </r>
  <r>
    <s v="TXN_4179561"/>
    <x v="2"/>
    <n v="2"/>
    <n v="1"/>
    <n v="2"/>
    <x v="3"/>
    <x v="1"/>
    <d v="2023-11-12T00:00:00"/>
  </r>
  <r>
    <s v="TXN_5669113"/>
    <x v="6"/>
    <n v="2"/>
    <n v="4"/>
    <n v="8"/>
    <x v="2"/>
    <x v="0"/>
    <d v="2023-03-19T00:00:00"/>
  </r>
  <r>
    <s v="TXN_7574828"/>
    <x v="0"/>
    <n v="2"/>
    <n v="2"/>
    <n v="4"/>
    <x v="2"/>
    <x v="1"/>
    <d v="2023-09-24T00:00:00"/>
  </r>
  <r>
    <s v="TXN_9056301"/>
    <x v="2"/>
    <n v="2"/>
    <n v="1"/>
    <n v="2"/>
    <x v="0"/>
    <x v="0"/>
    <d v="2023-03-02T00:00:00"/>
  </r>
  <r>
    <s v="TXN_8530924"/>
    <x v="6"/>
    <n v="2"/>
    <n v="4"/>
    <n v="8"/>
    <x v="0"/>
    <x v="2"/>
    <d v="2023-08-05T00:00:00"/>
  </r>
  <r>
    <s v="TXN_1505947"/>
    <x v="5"/>
    <n v="3"/>
    <n v="1"/>
    <n v="3"/>
    <x v="1"/>
    <x v="2"/>
    <d v="2023-11-21T00:00:00"/>
  </r>
  <r>
    <s v="TXN_2114258"/>
    <x v="5"/>
    <n v="1"/>
    <n v="1"/>
    <n v="1"/>
    <x v="3"/>
    <x v="1"/>
    <d v="2023-12-04T00:00:00"/>
  </r>
  <r>
    <s v="TXN_5965422"/>
    <x v="0"/>
    <n v="2"/>
    <n v="2"/>
    <n v="4"/>
    <x v="0"/>
    <x v="2"/>
    <d v="2023-06-20T00:00:00"/>
  </r>
  <r>
    <s v="TXN_6910030"/>
    <x v="0"/>
    <n v="4"/>
    <n v="2"/>
    <n v="8"/>
    <x v="3"/>
    <x v="0"/>
    <d v="2023-07-09T00:00:00"/>
  </r>
  <r>
    <s v="TXN_3713626"/>
    <x v="6"/>
    <n v="2"/>
    <n v="4"/>
    <n v="8"/>
    <x v="1"/>
    <x v="2"/>
    <d v="2023-12-24T00:00:00"/>
  </r>
  <r>
    <s v="TXN_5753095"/>
    <x v="6"/>
    <n v="4"/>
    <n v="4"/>
    <n v="16"/>
    <x v="2"/>
    <x v="2"/>
    <d v="2023-06-25T00:00:00"/>
  </r>
  <r>
    <s v="TXN_5538503"/>
    <x v="4"/>
    <n v="2"/>
    <n v="4"/>
    <n v="8"/>
    <x v="2"/>
    <x v="1"/>
    <d v="2023-09-05T00:00:00"/>
  </r>
  <r>
    <s v="TXN_7609781"/>
    <x v="4"/>
    <n v="3"/>
    <n v="4"/>
    <n v="12"/>
    <x v="1"/>
    <x v="1"/>
    <d v="2023-03-13T00:00:00"/>
  </r>
  <r>
    <s v="TXN_8398059"/>
    <x v="1"/>
    <n v="1"/>
    <n v="3"/>
    <n v="3"/>
    <x v="1"/>
    <x v="0"/>
    <d v="2023-10-15T00:00:00"/>
  </r>
  <r>
    <s v="TXN_3755379"/>
    <x v="2"/>
    <n v="2"/>
    <n v="1"/>
    <n v="2"/>
    <x v="3"/>
    <x v="1"/>
    <d v="2023-11-19T00:00:00"/>
  </r>
  <r>
    <s v="TXN_6565955"/>
    <x v="5"/>
    <n v="3"/>
    <n v="2"/>
    <n v="6"/>
    <x v="3"/>
    <x v="1"/>
    <d v="2023-12-29T00:00:00"/>
  </r>
  <r>
    <s v="TXN_1792573"/>
    <x v="4"/>
    <n v="5"/>
    <n v="4"/>
    <n v="20"/>
    <x v="1"/>
    <x v="0"/>
    <d v="2023-12-07T00:00:00"/>
  </r>
  <r>
    <s v="TXN_4812472"/>
    <x v="1"/>
    <n v="2"/>
    <n v="3"/>
    <n v="6"/>
    <x v="1"/>
    <x v="2"/>
    <d v="2023-09-16T00:00:00"/>
  </r>
  <r>
    <s v="TXN_2923987"/>
    <x v="5"/>
    <n v="4"/>
    <n v="2"/>
    <n v="8"/>
    <x v="1"/>
    <x v="0"/>
    <d v="2023-03-28T00:00:00"/>
  </r>
  <r>
    <s v="TXN_1789644"/>
    <x v="0"/>
    <n v="4"/>
    <n v="2"/>
    <n v="8"/>
    <x v="0"/>
    <x v="1"/>
    <m/>
  </r>
  <r>
    <s v="TXN_5050993"/>
    <x v="2"/>
    <n v="4"/>
    <n v="1"/>
    <n v="4"/>
    <x v="2"/>
    <x v="2"/>
    <d v="2023-02-06T00:00:00"/>
  </r>
  <r>
    <s v="TXN_9991225"/>
    <x v="1"/>
    <n v="5"/>
    <n v="3"/>
    <n v="15"/>
    <x v="0"/>
    <x v="0"/>
    <d v="2023-02-03T00:00:00"/>
  </r>
  <r>
    <s v="TXN_8734476"/>
    <x v="8"/>
    <n v="1"/>
    <n v="1.5"/>
    <n v="1.5"/>
    <x v="1"/>
    <x v="0"/>
    <d v="2023-09-12T00:00:00"/>
  </r>
  <r>
    <s v="TXN_6471962"/>
    <x v="6"/>
    <n v="4"/>
    <n v="4"/>
    <n v="16"/>
    <x v="1"/>
    <x v="0"/>
    <d v="2023-09-21T00:00:00"/>
  </r>
  <r>
    <s v="TXN_1981602"/>
    <x v="6"/>
    <n v="4"/>
    <n v="4"/>
    <n v="16"/>
    <x v="1"/>
    <x v="2"/>
    <d v="2023-09-04T00:00:00"/>
  </r>
  <r>
    <s v="TXN_4792702"/>
    <x v="6"/>
    <n v="1"/>
    <n v="4"/>
    <n v="4"/>
    <x v="1"/>
    <x v="0"/>
    <d v="2023-06-28T00:00:00"/>
  </r>
  <r>
    <s v="TXN_3572190"/>
    <x v="0"/>
    <n v="5"/>
    <n v="2"/>
    <n v="10"/>
    <x v="0"/>
    <x v="0"/>
    <d v="2023-03-05T00:00:00"/>
  </r>
  <r>
    <s v="TXN_6791398"/>
    <x v="0"/>
    <n v="1"/>
    <n v="2"/>
    <n v="2"/>
    <x v="0"/>
    <x v="0"/>
    <d v="2023-12-17T00:00:00"/>
  </r>
  <r>
    <s v="TXN_8361255"/>
    <x v="1"/>
    <n v="3"/>
    <n v="3"/>
    <n v="9"/>
    <x v="1"/>
    <x v="0"/>
    <d v="2023-07-29T00:00:00"/>
  </r>
  <r>
    <s v="TXN_1096690"/>
    <x v="4"/>
    <n v="5"/>
    <n v="4"/>
    <n v="20"/>
    <x v="0"/>
    <x v="2"/>
    <d v="2023-10-09T00:00:00"/>
  </r>
  <r>
    <s v="TXN_1371554"/>
    <x v="6"/>
    <n v="2"/>
    <n v="4"/>
    <n v="8"/>
    <x v="2"/>
    <x v="2"/>
    <d v="2023-05-19T00:00:00"/>
  </r>
  <r>
    <s v="TXN_5080213"/>
    <x v="5"/>
    <n v="1"/>
    <n v="2"/>
    <n v="2"/>
    <x v="3"/>
    <x v="2"/>
    <d v="2023-07-18T00:00:00"/>
  </r>
  <r>
    <s v="TXN_5102956"/>
    <x v="1"/>
    <n v="5"/>
    <n v="3"/>
    <n v="15"/>
    <x v="2"/>
    <x v="2"/>
    <m/>
  </r>
  <r>
    <s v="TXN_5858988"/>
    <x v="7"/>
    <n v="1"/>
    <n v="3"/>
    <n v="3"/>
    <x v="0"/>
    <x v="0"/>
    <d v="2023-06-24T00:00:00"/>
  </r>
  <r>
    <s v="TXN_1476066"/>
    <x v="4"/>
    <n v="2"/>
    <n v="4"/>
    <n v="8"/>
    <x v="2"/>
    <x v="0"/>
    <d v="2023-10-19T00:00:00"/>
  </r>
  <r>
    <s v="TXN_6078834"/>
    <x v="4"/>
    <n v="1"/>
    <n v="4"/>
    <n v="4"/>
    <x v="3"/>
    <x v="0"/>
    <d v="2023-04-28T00:00:00"/>
  </r>
  <r>
    <s v="TXN_7812601"/>
    <x v="8"/>
    <n v="2"/>
    <n v="1.5"/>
    <n v="3"/>
    <x v="0"/>
    <x v="2"/>
    <d v="2023-11-15T00:00:00"/>
  </r>
  <r>
    <s v="TXN_8186625"/>
    <x v="2"/>
    <n v="1"/>
    <n v="1"/>
    <n v="1"/>
    <x v="3"/>
    <x v="0"/>
    <d v="2023-07-21T00:00:00"/>
  </r>
  <r>
    <s v="TXN_3713976"/>
    <x v="7"/>
    <n v="2"/>
    <n v="3"/>
    <n v="6"/>
    <x v="2"/>
    <x v="0"/>
    <d v="2023-11-06T00:00:00"/>
  </r>
  <r>
    <s v="TXN_2946829"/>
    <x v="2"/>
    <n v="2"/>
    <n v="1"/>
    <n v="2"/>
    <x v="3"/>
    <x v="0"/>
    <d v="2023-02-08T00:00:00"/>
  </r>
  <r>
    <s v="TXN_8645889"/>
    <x v="3"/>
    <n v="4"/>
    <n v="5"/>
    <n v="20"/>
    <x v="1"/>
    <x v="2"/>
    <m/>
  </r>
  <r>
    <s v="TXN_8750849"/>
    <x v="1"/>
    <n v="2"/>
    <n v="3"/>
    <n v="6"/>
    <x v="0"/>
    <x v="0"/>
    <d v="2023-03-03T00:00:00"/>
  </r>
  <r>
    <s v="TXN_2889344"/>
    <x v="6"/>
    <n v="3"/>
    <n v="4"/>
    <n v="12"/>
    <x v="2"/>
    <x v="1"/>
    <d v="2023-05-21T00:00:00"/>
  </r>
  <r>
    <s v="TXN_4067814"/>
    <x v="8"/>
    <n v="5"/>
    <n v="1.5"/>
    <n v="7.5"/>
    <x v="1"/>
    <x v="2"/>
    <d v="2023-12-20T00:00:00"/>
  </r>
  <r>
    <s v="TXN_2018654"/>
    <x v="3"/>
    <n v="1"/>
    <n v="5"/>
    <n v="5"/>
    <x v="2"/>
    <x v="2"/>
    <d v="2023-10-23T00:00:00"/>
  </r>
  <r>
    <s v="TXN_1973716"/>
    <x v="3"/>
    <n v="4"/>
    <n v="5"/>
    <n v="20"/>
    <x v="0"/>
    <x v="1"/>
    <d v="2023-01-21T00:00:00"/>
  </r>
  <r>
    <s v="TXN_1105589"/>
    <x v="0"/>
    <n v="5"/>
    <n v="2"/>
    <n v="10"/>
    <x v="1"/>
    <x v="0"/>
    <d v="2023-07-04T00:00:00"/>
  </r>
  <r>
    <s v="TXN_3727374"/>
    <x v="1"/>
    <n v="2"/>
    <n v="3"/>
    <n v="6"/>
    <x v="2"/>
    <x v="1"/>
    <d v="2023-04-10T00:00:00"/>
  </r>
  <r>
    <s v="TXN_9155299"/>
    <x v="7"/>
    <n v="3"/>
    <n v="3"/>
    <n v="9"/>
    <x v="2"/>
    <x v="0"/>
    <d v="2023-02-09T00:00:00"/>
  </r>
  <r>
    <s v="TXN_1346936"/>
    <x v="2"/>
    <n v="5"/>
    <n v="1"/>
    <n v="5"/>
    <x v="2"/>
    <x v="2"/>
    <d v="2023-10-10T00:00:00"/>
  </r>
  <r>
    <s v="TXN_2089778"/>
    <x v="1"/>
    <n v="1"/>
    <n v="3"/>
    <n v="3"/>
    <x v="2"/>
    <x v="1"/>
    <d v="2023-06-12T00:00:00"/>
  </r>
  <r>
    <s v="TXN_4896948"/>
    <x v="1"/>
    <n v="4"/>
    <n v="3"/>
    <n v="12"/>
    <x v="2"/>
    <x v="2"/>
    <d v="2023-10-11T00:00:00"/>
  </r>
  <r>
    <s v="TXN_5375349"/>
    <x v="0"/>
    <n v="1"/>
    <n v="2"/>
    <n v="2"/>
    <x v="2"/>
    <x v="0"/>
    <d v="2023-11-13T00:00:00"/>
  </r>
  <r>
    <s v="TXN_6206171"/>
    <x v="1"/>
    <n v="1"/>
    <n v="3"/>
    <n v="3"/>
    <x v="3"/>
    <x v="2"/>
    <d v="2023-03-19T00:00:00"/>
  </r>
  <r>
    <s v="TXN_9256387"/>
    <x v="8"/>
    <n v="5"/>
    <n v="1.5"/>
    <n v="7.5"/>
    <x v="2"/>
    <x v="2"/>
    <d v="2023-05-31T00:00:00"/>
  </r>
  <r>
    <s v="TXN_6915192"/>
    <x v="0"/>
    <n v="4"/>
    <n v="2"/>
    <n v="8"/>
    <x v="2"/>
    <x v="1"/>
    <d v="2023-12-09T00:00:00"/>
  </r>
  <r>
    <s v="TXN_8908224"/>
    <x v="0"/>
    <n v="4"/>
    <n v="2"/>
    <n v="8"/>
    <x v="2"/>
    <x v="2"/>
    <d v="2023-08-21T00:00:00"/>
  </r>
  <r>
    <s v="TXN_4988665"/>
    <x v="1"/>
    <n v="1"/>
    <n v="3"/>
    <n v="3"/>
    <x v="3"/>
    <x v="0"/>
    <d v="2023-12-16T00:00:00"/>
  </r>
  <r>
    <s v="TXN_7740907"/>
    <x v="4"/>
    <n v="5"/>
    <n v="4"/>
    <n v="20"/>
    <x v="2"/>
    <x v="1"/>
    <d v="2023-02-11T00:00:00"/>
  </r>
  <r>
    <s v="TXN_9596100"/>
    <x v="5"/>
    <n v="4"/>
    <n v="3"/>
    <n v="12"/>
    <x v="1"/>
    <x v="0"/>
    <d v="2023-05-04T00:00:00"/>
  </r>
  <r>
    <s v="TXN_5019407"/>
    <x v="7"/>
    <n v="4"/>
    <n v="3"/>
    <n v="12"/>
    <x v="0"/>
    <x v="2"/>
    <d v="2023-04-17T00:00:00"/>
  </r>
  <r>
    <s v="TXN_2482363"/>
    <x v="8"/>
    <n v="3"/>
    <n v="1.5"/>
    <n v="4.5"/>
    <x v="1"/>
    <x v="2"/>
    <d v="2023-08-06T00:00:00"/>
  </r>
  <r>
    <s v="TXN_5412834"/>
    <x v="4"/>
    <n v="4"/>
    <n v="4"/>
    <n v="16"/>
    <x v="1"/>
    <x v="0"/>
    <d v="2023-07-13T00:00:00"/>
  </r>
  <r>
    <s v="TXN_1389258"/>
    <x v="3"/>
    <n v="1"/>
    <n v="5"/>
    <n v="5"/>
    <x v="1"/>
    <x v="0"/>
    <d v="2023-12-31T00:00:00"/>
  </r>
  <r>
    <s v="TXN_3223187"/>
    <x v="0"/>
    <n v="2"/>
    <n v="2"/>
    <n v="4"/>
    <x v="0"/>
    <x v="2"/>
    <d v="2023-08-21T00:00:00"/>
  </r>
  <r>
    <s v="TXN_9288207"/>
    <x v="1"/>
    <n v="4"/>
    <n v="3"/>
    <n v="12"/>
    <x v="2"/>
    <x v="0"/>
    <d v="2023-05-16T00:00:00"/>
  </r>
  <r>
    <s v="TXN_8300706"/>
    <x v="3"/>
    <n v="2"/>
    <n v="5"/>
    <n v="10"/>
    <x v="3"/>
    <x v="2"/>
    <d v="2023-12-23T00:00:00"/>
  </r>
  <r>
    <s v="TXN_8076559"/>
    <x v="1"/>
    <n v="5"/>
    <n v="3"/>
    <n v="15"/>
    <x v="1"/>
    <x v="0"/>
    <d v="2023-11-02T00:00:00"/>
  </r>
  <r>
    <s v="TXN_2749266"/>
    <x v="6"/>
    <n v="3"/>
    <n v="4"/>
    <n v="12"/>
    <x v="2"/>
    <x v="0"/>
    <d v="2023-02-06T00:00:00"/>
  </r>
  <r>
    <s v="TXN_4310310"/>
    <x v="1"/>
    <n v="3"/>
    <n v="3"/>
    <n v="9"/>
    <x v="1"/>
    <x v="0"/>
    <d v="2023-03-08T00:00:00"/>
  </r>
  <r>
    <s v="TXN_5301689"/>
    <x v="1"/>
    <n v="5"/>
    <n v="3"/>
    <n v="15"/>
    <x v="2"/>
    <x v="1"/>
    <d v="2023-04-11T00:00:00"/>
  </r>
  <r>
    <s v="TXN_9971927"/>
    <x v="4"/>
    <n v="3"/>
    <n v="4"/>
    <n v="12"/>
    <x v="2"/>
    <x v="0"/>
    <d v="2023-08-07T00:00:00"/>
  </r>
  <r>
    <s v="TXN_9143440"/>
    <x v="0"/>
    <n v="4"/>
    <n v="2"/>
    <n v="8"/>
    <x v="3"/>
    <x v="2"/>
    <d v="2023-03-31T00:00:00"/>
  </r>
  <r>
    <s v="TXN_6359777"/>
    <x v="5"/>
    <n v="5"/>
    <n v="4"/>
    <n v="20"/>
    <x v="2"/>
    <x v="2"/>
    <d v="2023-01-13T00:00:00"/>
  </r>
  <r>
    <s v="TXN_2916209"/>
    <x v="1"/>
    <n v="2"/>
    <n v="3"/>
    <n v="6"/>
    <x v="2"/>
    <x v="1"/>
    <d v="2023-04-15T00:00:00"/>
  </r>
  <r>
    <s v="TXN_6411716"/>
    <x v="1"/>
    <n v="4"/>
    <n v="3"/>
    <n v="12"/>
    <x v="0"/>
    <x v="1"/>
    <d v="2023-02-25T00:00:00"/>
  </r>
  <r>
    <s v="TXN_7759607"/>
    <x v="6"/>
    <n v="1"/>
    <n v="4"/>
    <n v="4"/>
    <x v="3"/>
    <x v="2"/>
    <d v="2023-08-11T00:00:00"/>
  </r>
  <r>
    <s v="TXN_8441057"/>
    <x v="1"/>
    <n v="4"/>
    <n v="3"/>
    <n v="12"/>
    <x v="0"/>
    <x v="2"/>
    <d v="2023-11-04T00:00:00"/>
  </r>
  <r>
    <s v="TXN_8283691"/>
    <x v="7"/>
    <n v="3"/>
    <n v="3"/>
    <n v="9"/>
    <x v="2"/>
    <x v="2"/>
    <d v="2023-01-25T00:00:00"/>
  </r>
  <r>
    <s v="TXN_1154979"/>
    <x v="0"/>
    <n v="3"/>
    <n v="2"/>
    <n v="6"/>
    <x v="0"/>
    <x v="1"/>
    <d v="2023-12-11T00:00:00"/>
  </r>
  <r>
    <s v="TXN_4258949"/>
    <x v="1"/>
    <n v="2"/>
    <n v="3"/>
    <n v="6"/>
    <x v="2"/>
    <x v="2"/>
    <d v="2023-03-07T00:00:00"/>
  </r>
  <r>
    <s v="TXN_6129205"/>
    <x v="6"/>
    <n v="5"/>
    <n v="4"/>
    <n v="20"/>
    <x v="1"/>
    <x v="1"/>
    <d v="2023-07-20T00:00:00"/>
  </r>
  <r>
    <s v="TXN_3444519"/>
    <x v="2"/>
    <n v="4"/>
    <n v="1"/>
    <n v="4"/>
    <x v="2"/>
    <x v="0"/>
    <d v="2023-03-10T00:00:00"/>
  </r>
  <r>
    <s v="TXN_6813508"/>
    <x v="3"/>
    <n v="1"/>
    <n v="5"/>
    <n v="5"/>
    <x v="1"/>
    <x v="2"/>
    <d v="2023-10-26T00:00:00"/>
  </r>
  <r>
    <s v="TXN_5540986"/>
    <x v="1"/>
    <n v="3"/>
    <n v="3"/>
    <n v="9"/>
    <x v="2"/>
    <x v="2"/>
    <d v="2023-05-12T00:00:00"/>
  </r>
  <r>
    <s v="TXN_4832513"/>
    <x v="2"/>
    <n v="5"/>
    <n v="1"/>
    <n v="5"/>
    <x v="0"/>
    <x v="1"/>
    <d v="2023-06-05T00:00:00"/>
  </r>
  <r>
    <s v="TXN_6202035"/>
    <x v="8"/>
    <n v="2"/>
    <n v="1.5"/>
    <n v="3"/>
    <x v="2"/>
    <x v="1"/>
    <d v="2023-09-06T00:00:00"/>
  </r>
  <r>
    <s v="TXN_4108120"/>
    <x v="0"/>
    <n v="2"/>
    <n v="2"/>
    <n v="4"/>
    <x v="2"/>
    <x v="1"/>
    <d v="2023-06-14T00:00:00"/>
  </r>
  <r>
    <s v="TXN_8466519"/>
    <x v="5"/>
    <n v="1"/>
    <n v="1"/>
    <n v="1"/>
    <x v="2"/>
    <x v="0"/>
    <d v="2023-08-31T00:00:00"/>
  </r>
  <r>
    <s v="TXN_5379385"/>
    <x v="0"/>
    <n v="5"/>
    <n v="2"/>
    <n v="10"/>
    <x v="0"/>
    <x v="2"/>
    <d v="2023-02-21T00:00:00"/>
  </r>
  <r>
    <s v="TXN_6782228"/>
    <x v="0"/>
    <n v="4"/>
    <n v="2"/>
    <n v="8"/>
    <x v="0"/>
    <x v="2"/>
    <d v="2023-08-18T00:00:00"/>
  </r>
  <r>
    <s v="TXN_7268366"/>
    <x v="7"/>
    <n v="5"/>
    <n v="3"/>
    <n v="15"/>
    <x v="2"/>
    <x v="1"/>
    <d v="2023-12-14T00:00:00"/>
  </r>
  <r>
    <s v="TXN_1180969"/>
    <x v="2"/>
    <n v="1"/>
    <n v="1"/>
    <n v="1"/>
    <x v="3"/>
    <x v="1"/>
    <d v="2023-01-06T00:00:00"/>
  </r>
  <r>
    <s v="TXN_3815345"/>
    <x v="5"/>
    <n v="5"/>
    <n v="1"/>
    <n v="5"/>
    <x v="1"/>
    <x v="1"/>
    <d v="2023-09-16T00:00:00"/>
  </r>
  <r>
    <s v="TXN_7453213"/>
    <x v="0"/>
    <n v="3"/>
    <n v="2"/>
    <n v="6"/>
    <x v="2"/>
    <x v="1"/>
    <d v="2023-10-27T00:00:00"/>
  </r>
  <r>
    <s v="TXN_9469533"/>
    <x v="2"/>
    <n v="4"/>
    <n v="1"/>
    <n v="4"/>
    <x v="1"/>
    <x v="2"/>
    <d v="2023-05-22T00:00:00"/>
  </r>
  <r>
    <s v="TXN_6492919"/>
    <x v="7"/>
    <n v="3"/>
    <n v="3"/>
    <n v="9"/>
    <x v="3"/>
    <x v="2"/>
    <d v="2023-09-24T00:00:00"/>
  </r>
  <r>
    <s v="TXN_4356223"/>
    <x v="3"/>
    <n v="3"/>
    <n v="5"/>
    <n v="15"/>
    <x v="3"/>
    <x v="0"/>
    <d v="2023-11-23T00:00:00"/>
  </r>
  <r>
    <s v="TXN_7515082"/>
    <x v="0"/>
    <n v="2"/>
    <n v="2"/>
    <n v="4"/>
    <x v="2"/>
    <x v="1"/>
    <d v="2023-10-21T00:00:00"/>
  </r>
  <r>
    <s v="TXN_7216161"/>
    <x v="8"/>
    <n v="4"/>
    <n v="1.5"/>
    <n v="6"/>
    <x v="0"/>
    <x v="2"/>
    <d v="2023-07-06T00:00:00"/>
  </r>
  <r>
    <s v="TXN_2426782"/>
    <x v="0"/>
    <n v="2"/>
    <n v="2"/>
    <n v="4"/>
    <x v="0"/>
    <x v="1"/>
    <d v="2023-11-04T00:00:00"/>
  </r>
  <r>
    <s v="TXN_3484520"/>
    <x v="7"/>
    <n v="3"/>
    <n v="3"/>
    <n v="9"/>
    <x v="0"/>
    <x v="2"/>
    <d v="2023-08-15T00:00:00"/>
  </r>
  <r>
    <s v="TXN_2806515"/>
    <x v="4"/>
    <n v="4"/>
    <n v="4"/>
    <n v="16"/>
    <x v="2"/>
    <x v="1"/>
    <d v="2023-12-31T00:00:00"/>
  </r>
  <r>
    <s v="TXN_7198128"/>
    <x v="1"/>
    <n v="2"/>
    <n v="3"/>
    <n v="6"/>
    <x v="2"/>
    <x v="1"/>
    <d v="2023-09-07T00:00:00"/>
  </r>
  <r>
    <s v="TXN_6717061"/>
    <x v="3"/>
    <n v="3"/>
    <n v="5"/>
    <n v="15"/>
    <x v="0"/>
    <x v="2"/>
    <d v="2023-08-07T00:00:00"/>
  </r>
  <r>
    <s v="TXN_3562350"/>
    <x v="0"/>
    <n v="2"/>
    <n v="2"/>
    <n v="4"/>
    <x v="2"/>
    <x v="2"/>
    <d v="2023-02-04T00:00:00"/>
  </r>
  <r>
    <s v="TXN_1987977"/>
    <x v="5"/>
    <n v="2"/>
    <n v="4"/>
    <n v="8"/>
    <x v="2"/>
    <x v="2"/>
    <d v="2023-11-16T00:00:00"/>
  </r>
  <r>
    <s v="TXN_4250492"/>
    <x v="3"/>
    <n v="5"/>
    <n v="5"/>
    <n v="25"/>
    <x v="2"/>
    <x v="0"/>
    <d v="2023-09-29T00:00:00"/>
  </r>
  <r>
    <s v="TXN_2471972"/>
    <x v="2"/>
    <n v="1"/>
    <n v="1"/>
    <n v="1"/>
    <x v="1"/>
    <x v="0"/>
    <d v="2023-04-08T00:00:00"/>
  </r>
  <r>
    <s v="TXN_3060152"/>
    <x v="7"/>
    <n v="5"/>
    <n v="3"/>
    <n v="15"/>
    <x v="3"/>
    <x v="2"/>
    <d v="2023-02-07T00:00:00"/>
  </r>
  <r>
    <s v="TXN_4651514"/>
    <x v="8"/>
    <n v="2"/>
    <n v="1.5"/>
    <n v="3"/>
    <x v="3"/>
    <x v="1"/>
    <d v="2023-03-28T00:00:00"/>
  </r>
  <r>
    <s v="TXN_6555617"/>
    <x v="3"/>
    <n v="2"/>
    <n v="5"/>
    <n v="10"/>
    <x v="3"/>
    <x v="0"/>
    <d v="2023-12-27T00:00:00"/>
  </r>
  <r>
    <s v="TXN_7033977"/>
    <x v="6"/>
    <n v="4"/>
    <n v="4"/>
    <n v="16"/>
    <x v="2"/>
    <x v="0"/>
    <d v="2023-05-04T00:00:00"/>
  </r>
  <r>
    <s v="TXN_6899834"/>
    <x v="1"/>
    <n v="3"/>
    <n v="3"/>
    <n v="9"/>
    <x v="0"/>
    <x v="0"/>
    <d v="2023-01-27T00:00:00"/>
  </r>
  <r>
    <s v="TXN_5031214"/>
    <x v="5"/>
    <n v="5"/>
    <n v="1"/>
    <n v="5"/>
    <x v="2"/>
    <x v="0"/>
    <d v="2023-07-29T00:00:00"/>
  </r>
  <r>
    <s v="TXN_3427950"/>
    <x v="4"/>
    <n v="5"/>
    <n v="4"/>
    <n v="20"/>
    <x v="2"/>
    <x v="1"/>
    <d v="2023-02-23T00:00:00"/>
  </r>
  <r>
    <s v="TXN_8817239"/>
    <x v="5"/>
    <n v="5"/>
    <n v="4"/>
    <n v="20"/>
    <x v="1"/>
    <x v="1"/>
    <d v="2023-01-29T00:00:00"/>
  </r>
  <r>
    <s v="TXN_8543211"/>
    <x v="7"/>
    <n v="3"/>
    <n v="3"/>
    <n v="9"/>
    <x v="2"/>
    <x v="0"/>
    <d v="2023-11-30T00:00:00"/>
  </r>
  <r>
    <s v="TXN_7538570"/>
    <x v="4"/>
    <n v="4"/>
    <n v="4"/>
    <n v="16"/>
    <x v="0"/>
    <x v="0"/>
    <d v="2023-04-18T00:00:00"/>
  </r>
  <r>
    <s v="TXN_8789116"/>
    <x v="3"/>
    <n v="5"/>
    <n v="5"/>
    <n v="25"/>
    <x v="3"/>
    <x v="0"/>
    <d v="2023-01-13T00:00:00"/>
  </r>
  <r>
    <s v="TXN_8930109"/>
    <x v="2"/>
    <n v="5"/>
    <n v="1"/>
    <n v="5"/>
    <x v="3"/>
    <x v="0"/>
    <d v="2023-05-17T00:00:00"/>
  </r>
  <r>
    <s v="TXN_9799798"/>
    <x v="0"/>
    <n v="5"/>
    <n v="2"/>
    <n v="10"/>
    <x v="0"/>
    <x v="0"/>
    <d v="2023-05-23T00:00:00"/>
  </r>
  <r>
    <s v="TXN_8551432"/>
    <x v="5"/>
    <n v="4"/>
    <n v="1.5"/>
    <n v="6"/>
    <x v="2"/>
    <x v="0"/>
    <d v="2023-01-12T00:00:00"/>
  </r>
  <r>
    <s v="TXN_8831813"/>
    <x v="4"/>
    <n v="5"/>
    <n v="4"/>
    <n v="20"/>
    <x v="2"/>
    <x v="2"/>
    <d v="2023-11-23T00:00:00"/>
  </r>
  <r>
    <s v="TXN_5067373"/>
    <x v="2"/>
    <n v="3"/>
    <n v="1"/>
    <n v="3"/>
    <x v="1"/>
    <x v="2"/>
    <d v="2023-10-18T00:00:00"/>
  </r>
  <r>
    <s v="TXN_5755839"/>
    <x v="6"/>
    <n v="3"/>
    <n v="4"/>
    <n v="12"/>
    <x v="0"/>
    <x v="2"/>
    <d v="2023-12-19T00:00:00"/>
  </r>
  <r>
    <s v="TXN_1681153"/>
    <x v="7"/>
    <n v="3"/>
    <n v="3"/>
    <n v="9"/>
    <x v="1"/>
    <x v="0"/>
    <d v="2023-02-09T00:00:00"/>
  </r>
  <r>
    <s v="TXN_4255503"/>
    <x v="0"/>
    <n v="3"/>
    <n v="2"/>
    <n v="6"/>
    <x v="3"/>
    <x v="0"/>
    <d v="2023-11-19T00:00:00"/>
  </r>
  <r>
    <s v="TXN_6086709"/>
    <x v="5"/>
    <n v="5"/>
    <n v="3"/>
    <n v="15"/>
    <x v="2"/>
    <x v="2"/>
    <d v="2023-07-07T00:00:00"/>
  </r>
  <r>
    <s v="TXN_2385697"/>
    <x v="0"/>
    <n v="1"/>
    <n v="2"/>
    <n v="2"/>
    <x v="1"/>
    <x v="0"/>
    <d v="2023-09-10T00:00:00"/>
  </r>
  <r>
    <s v="TXN_9151321"/>
    <x v="6"/>
    <n v="4"/>
    <n v="4"/>
    <n v="16"/>
    <x v="1"/>
    <x v="1"/>
    <d v="2023-01-05T00:00:00"/>
  </r>
  <r>
    <s v="TXN_7369807"/>
    <x v="0"/>
    <n v="4"/>
    <n v="2"/>
    <n v="8"/>
    <x v="2"/>
    <x v="1"/>
    <d v="2023-02-22T00:00:00"/>
  </r>
  <r>
    <s v="TXN_1602799"/>
    <x v="1"/>
    <n v="4"/>
    <n v="3"/>
    <n v="12"/>
    <x v="3"/>
    <x v="0"/>
    <d v="2023-03-23T00:00:00"/>
  </r>
  <r>
    <s v="TXN_3336502"/>
    <x v="6"/>
    <n v="3"/>
    <n v="4"/>
    <n v="12"/>
    <x v="0"/>
    <x v="2"/>
    <d v="2023-05-04T00:00:00"/>
  </r>
  <r>
    <s v="TXN_9579181"/>
    <x v="6"/>
    <n v="1"/>
    <n v="4"/>
    <n v="4"/>
    <x v="3"/>
    <x v="1"/>
    <d v="2023-05-24T00:00:00"/>
  </r>
  <r>
    <s v="TXN_7391267"/>
    <x v="1"/>
    <n v="3"/>
    <n v="3"/>
    <n v="9"/>
    <x v="3"/>
    <x v="1"/>
    <d v="2023-12-07T00:00:00"/>
  </r>
  <r>
    <s v="TXN_1388606"/>
    <x v="1"/>
    <n v="3"/>
    <n v="3"/>
    <n v="9"/>
    <x v="3"/>
    <x v="0"/>
    <d v="2023-08-31T00:00:00"/>
  </r>
  <r>
    <s v="TXN_2336857"/>
    <x v="1"/>
    <n v="3"/>
    <n v="3"/>
    <n v="9"/>
    <x v="1"/>
    <x v="1"/>
    <d v="2023-08-02T00:00:00"/>
  </r>
  <r>
    <s v="TXN_9526867"/>
    <x v="2"/>
    <n v="2"/>
    <n v="1"/>
    <n v="2"/>
    <x v="3"/>
    <x v="0"/>
    <d v="2023-10-21T00:00:00"/>
  </r>
  <r>
    <s v="TXN_4427348"/>
    <x v="1"/>
    <n v="5"/>
    <n v="3"/>
    <n v="15"/>
    <x v="1"/>
    <x v="2"/>
    <d v="2023-12-22T00:00:00"/>
  </r>
  <r>
    <s v="TXN_5901180"/>
    <x v="2"/>
    <n v="3"/>
    <n v="1"/>
    <n v="3"/>
    <x v="3"/>
    <x v="2"/>
    <d v="2023-12-20T00:00:00"/>
  </r>
  <r>
    <s v="TXN_4932018"/>
    <x v="5"/>
    <n v="4"/>
    <n v="4"/>
    <n v="16"/>
    <x v="3"/>
    <x v="0"/>
    <d v="2023-08-23T00:00:00"/>
  </r>
  <r>
    <s v="TXN_3224921"/>
    <x v="6"/>
    <n v="5"/>
    <n v="4"/>
    <n v="20"/>
    <x v="2"/>
    <x v="1"/>
    <d v="2023-04-06T00:00:00"/>
  </r>
  <r>
    <s v="TXN_5792655"/>
    <x v="7"/>
    <n v="1"/>
    <n v="3"/>
    <n v="3"/>
    <x v="3"/>
    <x v="0"/>
    <d v="2023-12-21T00:00:00"/>
  </r>
  <r>
    <s v="TXN_5566652"/>
    <x v="7"/>
    <n v="5"/>
    <n v="3"/>
    <n v="15"/>
    <x v="0"/>
    <x v="2"/>
    <d v="2023-09-16T00:00:00"/>
  </r>
  <r>
    <s v="TXN_7782538"/>
    <x v="7"/>
    <n v="2"/>
    <n v="3"/>
    <n v="6"/>
    <x v="3"/>
    <x v="0"/>
    <d v="2023-08-15T00:00:00"/>
  </r>
  <r>
    <s v="TXN_7478389"/>
    <x v="2"/>
    <n v="5"/>
    <n v="1"/>
    <n v="5"/>
    <x v="3"/>
    <x v="2"/>
    <d v="2023-10-13T00:00:00"/>
  </r>
  <r>
    <s v="TXN_6108428"/>
    <x v="1"/>
    <n v="3"/>
    <n v="3"/>
    <n v="9"/>
    <x v="3"/>
    <x v="2"/>
    <d v="2023-05-08T00:00:00"/>
  </r>
  <r>
    <s v="TXN_3615483"/>
    <x v="6"/>
    <n v="2"/>
    <n v="4"/>
    <n v="8"/>
    <x v="3"/>
    <x v="2"/>
    <d v="2023-09-08T00:00:00"/>
  </r>
  <r>
    <s v="TXN_6404763"/>
    <x v="6"/>
    <n v="5"/>
    <n v="4"/>
    <n v="20"/>
    <x v="3"/>
    <x v="0"/>
    <d v="2023-11-13T00:00:00"/>
  </r>
  <r>
    <s v="TXN_6060764"/>
    <x v="4"/>
    <n v="3"/>
    <n v="4"/>
    <n v="12"/>
    <x v="2"/>
    <x v="1"/>
    <m/>
  </r>
  <r>
    <s v="TXN_2269497"/>
    <x v="0"/>
    <n v="5"/>
    <n v="2"/>
    <n v="10"/>
    <x v="2"/>
    <x v="2"/>
    <d v="2023-08-14T00:00:00"/>
  </r>
  <r>
    <s v="TXN_8205107"/>
    <x v="5"/>
    <n v="4"/>
    <n v="4"/>
    <n v="16"/>
    <x v="2"/>
    <x v="0"/>
    <d v="2023-04-19T00:00:00"/>
  </r>
  <r>
    <s v="TXN_5290522"/>
    <x v="5"/>
    <n v="2"/>
    <n v="2"/>
    <n v="4"/>
    <x v="0"/>
    <x v="0"/>
    <d v="2023-02-16T00:00:00"/>
  </r>
  <r>
    <s v="TXN_8396271"/>
    <x v="5"/>
    <n v="2"/>
    <n v="1"/>
    <n v="2"/>
    <x v="2"/>
    <x v="2"/>
    <d v="2023-09-12T00:00:00"/>
  </r>
  <r>
    <s v="TXN_5153686"/>
    <x v="0"/>
    <n v="5"/>
    <n v="2"/>
    <n v="10"/>
    <x v="2"/>
    <x v="0"/>
    <d v="2023-04-05T00:00:00"/>
  </r>
  <r>
    <s v="TXN_5237569"/>
    <x v="8"/>
    <n v="3"/>
    <n v="1.5"/>
    <n v="4.5"/>
    <x v="2"/>
    <x v="2"/>
    <m/>
  </r>
  <r>
    <s v="TXN_4915908"/>
    <x v="6"/>
    <n v="5"/>
    <n v="4"/>
    <n v="20"/>
    <x v="0"/>
    <x v="1"/>
    <d v="2023-06-06T00:00:00"/>
  </r>
  <r>
    <s v="TXN_7146613"/>
    <x v="4"/>
    <n v="1"/>
    <n v="4"/>
    <n v="4"/>
    <x v="1"/>
    <x v="2"/>
    <d v="2023-08-01T00:00:00"/>
  </r>
  <r>
    <s v="TXN_8219519"/>
    <x v="8"/>
    <n v="5"/>
    <n v="1.5"/>
    <n v="7.5"/>
    <x v="2"/>
    <x v="2"/>
    <d v="2023-11-29T00:00:00"/>
  </r>
  <r>
    <s v="TXN_7867311"/>
    <x v="4"/>
    <n v="2"/>
    <n v="4"/>
    <n v="8"/>
    <x v="2"/>
    <x v="2"/>
    <d v="2023-07-17T00:00:00"/>
  </r>
  <r>
    <s v="TXN_4798534"/>
    <x v="5"/>
    <n v="5"/>
    <n v="5"/>
    <n v="25"/>
    <x v="3"/>
    <x v="0"/>
    <d v="2023-07-23T00:00:00"/>
  </r>
  <r>
    <s v="TXN_9844703"/>
    <x v="5"/>
    <n v="2"/>
    <n v="1.5"/>
    <n v="3"/>
    <x v="2"/>
    <x v="2"/>
    <d v="2023-05-18T00:00:00"/>
  </r>
  <r>
    <s v="TXN_4147073"/>
    <x v="5"/>
    <n v="4"/>
    <n v="3"/>
    <n v="12"/>
    <x v="1"/>
    <x v="0"/>
    <d v="2023-06-16T00:00:00"/>
  </r>
  <r>
    <s v="TXN_4203585"/>
    <x v="1"/>
    <n v="2"/>
    <n v="3"/>
    <n v="6"/>
    <x v="2"/>
    <x v="2"/>
    <d v="2023-09-03T00:00:00"/>
  </r>
  <r>
    <s v="TXN_7222483"/>
    <x v="6"/>
    <n v="5"/>
    <n v="4"/>
    <n v="20"/>
    <x v="2"/>
    <x v="0"/>
    <d v="2023-05-02T00:00:00"/>
  </r>
  <r>
    <s v="TXN_9996968"/>
    <x v="6"/>
    <n v="1"/>
    <n v="4"/>
    <n v="4"/>
    <x v="1"/>
    <x v="1"/>
    <d v="2023-10-14T00:00:00"/>
  </r>
  <r>
    <s v="TXN_4472156"/>
    <x v="2"/>
    <n v="1"/>
    <n v="1"/>
    <n v="1"/>
    <x v="2"/>
    <x v="1"/>
    <d v="2023-11-03T00:00:00"/>
  </r>
  <r>
    <s v="TXN_9121852"/>
    <x v="2"/>
    <n v="1"/>
    <n v="1"/>
    <n v="1"/>
    <x v="0"/>
    <x v="2"/>
    <m/>
  </r>
  <r>
    <s v="TXN_7043825"/>
    <x v="7"/>
    <n v="2"/>
    <n v="3"/>
    <n v="6"/>
    <x v="1"/>
    <x v="0"/>
    <d v="2023-02-07T00:00:00"/>
  </r>
  <r>
    <s v="TXN_2195630"/>
    <x v="6"/>
    <n v="5"/>
    <n v="4"/>
    <n v="20"/>
    <x v="0"/>
    <x v="0"/>
    <d v="2023-03-09T00:00:00"/>
  </r>
  <r>
    <s v="TXN_2539318"/>
    <x v="6"/>
    <n v="4"/>
    <n v="4"/>
    <n v="16"/>
    <x v="3"/>
    <x v="2"/>
    <d v="2023-01-15T00:00:00"/>
  </r>
  <r>
    <s v="TXN_5788769"/>
    <x v="7"/>
    <n v="1"/>
    <n v="3"/>
    <n v="3"/>
    <x v="1"/>
    <x v="1"/>
    <d v="2023-07-19T00:00:00"/>
  </r>
  <r>
    <s v="TXN_3628056"/>
    <x v="1"/>
    <n v="4"/>
    <n v="3"/>
    <n v="12"/>
    <x v="1"/>
    <x v="1"/>
    <d v="2023-07-09T00:00:00"/>
  </r>
  <r>
    <s v="TXN_5735731"/>
    <x v="4"/>
    <n v="2"/>
    <n v="4"/>
    <n v="8"/>
    <x v="0"/>
    <x v="2"/>
    <d v="2023-01-22T00:00:00"/>
  </r>
  <r>
    <s v="TXN_2424930"/>
    <x v="8"/>
    <n v="5"/>
    <n v="1.5"/>
    <n v="7.5"/>
    <x v="3"/>
    <x v="2"/>
    <d v="2023-01-20T00:00:00"/>
  </r>
  <r>
    <s v="TXN_5856820"/>
    <x v="8"/>
    <n v="2"/>
    <n v="1.5"/>
    <n v="3"/>
    <x v="0"/>
    <x v="0"/>
    <d v="2023-07-18T00:00:00"/>
  </r>
  <r>
    <s v="TXN_3753993"/>
    <x v="6"/>
    <n v="5"/>
    <n v="4"/>
    <n v="20"/>
    <x v="0"/>
    <x v="2"/>
    <d v="2023-04-01T00:00:00"/>
  </r>
  <r>
    <s v="TXN_3001647"/>
    <x v="5"/>
    <n v="1"/>
    <n v="5"/>
    <n v="5"/>
    <x v="2"/>
    <x v="2"/>
    <d v="2023-07-01T00:00:00"/>
  </r>
  <r>
    <s v="TXN_9354616"/>
    <x v="8"/>
    <n v="4"/>
    <n v="1.5"/>
    <n v="6"/>
    <x v="3"/>
    <x v="0"/>
    <d v="2023-01-27T00:00:00"/>
  </r>
  <r>
    <s v="TXN_3749365"/>
    <x v="2"/>
    <n v="3"/>
    <n v="1"/>
    <n v="3"/>
    <x v="1"/>
    <x v="2"/>
    <d v="2023-01-19T00:00:00"/>
  </r>
  <r>
    <s v="TXN_6900785"/>
    <x v="7"/>
    <n v="1"/>
    <n v="3"/>
    <n v="3"/>
    <x v="2"/>
    <x v="0"/>
    <d v="2023-09-25T00:00:00"/>
  </r>
  <r>
    <s v="TXN_5775113"/>
    <x v="3"/>
    <n v="1"/>
    <n v="5"/>
    <n v="5"/>
    <x v="3"/>
    <x v="2"/>
    <d v="2023-10-23T00:00:00"/>
  </r>
  <r>
    <s v="TXN_5268203"/>
    <x v="1"/>
    <n v="1"/>
    <n v="3"/>
    <n v="3"/>
    <x v="0"/>
    <x v="0"/>
    <d v="2023-03-04T00:00:00"/>
  </r>
  <r>
    <s v="TXN_3483570"/>
    <x v="6"/>
    <n v="2"/>
    <n v="4"/>
    <n v="8"/>
    <x v="2"/>
    <x v="0"/>
    <d v="2023-03-21T00:00:00"/>
  </r>
  <r>
    <s v="TXN_7406393"/>
    <x v="5"/>
    <n v="5"/>
    <n v="1.5"/>
    <n v="7.5"/>
    <x v="0"/>
    <x v="0"/>
    <d v="2023-06-18T00:00:00"/>
  </r>
  <r>
    <s v="TXN_5226635"/>
    <x v="2"/>
    <n v="4"/>
    <n v="1"/>
    <n v="4"/>
    <x v="0"/>
    <x v="0"/>
    <d v="2023-02-01T00:00:00"/>
  </r>
  <r>
    <s v="TXN_5469063"/>
    <x v="0"/>
    <n v="2"/>
    <n v="2"/>
    <n v="4"/>
    <x v="2"/>
    <x v="0"/>
    <d v="2023-02-24T00:00:00"/>
  </r>
  <r>
    <s v="TXN_9278992"/>
    <x v="4"/>
    <n v="4"/>
    <n v="4"/>
    <n v="16"/>
    <x v="1"/>
    <x v="0"/>
    <d v="2023-12-15T00:00:00"/>
  </r>
  <r>
    <s v="TXN_4369292"/>
    <x v="1"/>
    <n v="1"/>
    <n v="3"/>
    <n v="3"/>
    <x v="0"/>
    <x v="0"/>
    <d v="2023-10-09T00:00:00"/>
  </r>
  <r>
    <s v="TXN_6011884"/>
    <x v="8"/>
    <n v="5"/>
    <n v="1.5"/>
    <n v="7.5"/>
    <x v="2"/>
    <x v="2"/>
    <d v="2023-12-25T00:00:00"/>
  </r>
  <r>
    <s v="TXN_2952715"/>
    <x v="4"/>
    <n v="3"/>
    <n v="4"/>
    <n v="12"/>
    <x v="1"/>
    <x v="1"/>
    <m/>
  </r>
  <r>
    <s v="TXN_3912727"/>
    <x v="8"/>
    <n v="5"/>
    <n v="1.5"/>
    <n v="7.5"/>
    <x v="3"/>
    <x v="0"/>
    <d v="2023-04-13T00:00:00"/>
  </r>
  <r>
    <s v="TXN_1951569"/>
    <x v="3"/>
    <n v="2"/>
    <n v="5"/>
    <n v="10"/>
    <x v="3"/>
    <x v="2"/>
    <d v="2023-02-27T00:00:00"/>
  </r>
  <r>
    <s v="TXN_6983139"/>
    <x v="3"/>
    <n v="2"/>
    <n v="5"/>
    <n v="10"/>
    <x v="0"/>
    <x v="0"/>
    <d v="2023-12-18T00:00:00"/>
  </r>
  <r>
    <s v="TXN_6787560"/>
    <x v="1"/>
    <n v="3"/>
    <n v="3"/>
    <n v="9"/>
    <x v="2"/>
    <x v="2"/>
    <d v="2023-07-13T00:00:00"/>
  </r>
  <r>
    <s v="TXN_5977414"/>
    <x v="1"/>
    <n v="2"/>
    <n v="3"/>
    <n v="6"/>
    <x v="0"/>
    <x v="1"/>
    <d v="2023-08-06T00:00:00"/>
  </r>
  <r>
    <s v="TXN_8517379"/>
    <x v="5"/>
    <n v="4"/>
    <n v="3"/>
    <n v="12"/>
    <x v="3"/>
    <x v="0"/>
    <d v="2023-09-23T00:00:00"/>
  </r>
  <r>
    <s v="TXN_5485384"/>
    <x v="6"/>
    <n v="5"/>
    <n v="4"/>
    <n v="20"/>
    <x v="2"/>
    <x v="2"/>
    <d v="2023-03-04T00:00:00"/>
  </r>
  <r>
    <s v="TXN_9285663"/>
    <x v="2"/>
    <n v="4"/>
    <n v="1"/>
    <n v="4"/>
    <x v="2"/>
    <x v="2"/>
    <d v="2023-11-18T00:00:00"/>
  </r>
  <r>
    <s v="TXN_9074075"/>
    <x v="7"/>
    <n v="5"/>
    <n v="3"/>
    <n v="15"/>
    <x v="0"/>
    <x v="2"/>
    <d v="2023-08-14T00:00:00"/>
  </r>
  <r>
    <s v="TXN_8050034"/>
    <x v="2"/>
    <n v="4"/>
    <n v="1"/>
    <n v="4"/>
    <x v="2"/>
    <x v="1"/>
    <d v="2023-07-29T00:00:00"/>
  </r>
  <r>
    <s v="TXN_8842223"/>
    <x v="6"/>
    <n v="5"/>
    <n v="4"/>
    <n v="20"/>
    <x v="3"/>
    <x v="1"/>
    <d v="2023-01-01T00:00:00"/>
  </r>
  <r>
    <s v="TXN_5121322"/>
    <x v="6"/>
    <n v="3"/>
    <n v="4"/>
    <n v="12"/>
    <x v="2"/>
    <x v="1"/>
    <d v="2023-12-17T00:00:00"/>
  </r>
  <r>
    <s v="TXN_3091582"/>
    <x v="6"/>
    <n v="5"/>
    <n v="4"/>
    <n v="20"/>
    <x v="2"/>
    <x v="2"/>
    <d v="2023-11-28T00:00:00"/>
  </r>
  <r>
    <s v="TXN_8550184"/>
    <x v="7"/>
    <n v="3"/>
    <n v="3"/>
    <n v="9"/>
    <x v="3"/>
    <x v="0"/>
    <d v="2023-04-05T00:00:00"/>
  </r>
  <r>
    <s v="TXN_7604352"/>
    <x v="0"/>
    <n v="3"/>
    <n v="2"/>
    <n v="6"/>
    <x v="2"/>
    <x v="0"/>
    <d v="2023-12-19T00:00:00"/>
  </r>
  <r>
    <s v="TXN_6899248"/>
    <x v="5"/>
    <n v="5"/>
    <n v="3"/>
    <n v="15"/>
    <x v="2"/>
    <x v="2"/>
    <d v="2023-12-13T00:00:00"/>
  </r>
  <r>
    <s v="TXN_2773491"/>
    <x v="3"/>
    <n v="5"/>
    <n v="5"/>
    <n v="25"/>
    <x v="1"/>
    <x v="2"/>
    <d v="2023-11-14T00:00:00"/>
  </r>
  <r>
    <s v="TXN_3071617"/>
    <x v="5"/>
    <n v="4"/>
    <n v="1"/>
    <n v="4"/>
    <x v="0"/>
    <x v="2"/>
    <d v="2023-12-15T00:00:00"/>
  </r>
  <r>
    <s v="TXN_3712466"/>
    <x v="1"/>
    <n v="5"/>
    <n v="3"/>
    <n v="15"/>
    <x v="3"/>
    <x v="2"/>
    <d v="2023-04-10T00:00:00"/>
  </r>
  <r>
    <s v="TXN_3670298"/>
    <x v="5"/>
    <n v="4"/>
    <n v="1"/>
    <n v="4"/>
    <x v="0"/>
    <x v="0"/>
    <d v="2023-02-04T00:00:00"/>
  </r>
  <r>
    <s v="TXN_4901854"/>
    <x v="2"/>
    <n v="5"/>
    <n v="1"/>
    <n v="5"/>
    <x v="2"/>
    <x v="2"/>
    <d v="2023-04-23T00:00:00"/>
  </r>
  <r>
    <s v="TXN_7590801"/>
    <x v="8"/>
    <n v="4"/>
    <n v="1.5"/>
    <n v="6"/>
    <x v="1"/>
    <x v="0"/>
    <m/>
  </r>
  <r>
    <s v="TXN_6962242"/>
    <x v="7"/>
    <n v="1"/>
    <n v="3"/>
    <n v="3"/>
    <x v="3"/>
    <x v="0"/>
    <d v="2023-06-30T00:00:00"/>
  </r>
  <r>
    <s v="TXN_5780931"/>
    <x v="8"/>
    <n v="4"/>
    <n v="1.5"/>
    <n v="6"/>
    <x v="3"/>
    <x v="2"/>
    <d v="2023-10-06T00:00:00"/>
  </r>
  <r>
    <s v="TXN_4563679"/>
    <x v="0"/>
    <n v="4"/>
    <n v="2"/>
    <n v="8"/>
    <x v="2"/>
    <x v="1"/>
    <d v="2023-09-11T00:00:00"/>
  </r>
  <r>
    <s v="TXN_6290642"/>
    <x v="0"/>
    <n v="4"/>
    <n v="2"/>
    <n v="8"/>
    <x v="2"/>
    <x v="0"/>
    <d v="2023-12-23T00:00:00"/>
  </r>
  <r>
    <s v="TXN_6177865"/>
    <x v="7"/>
    <n v="5"/>
    <n v="3"/>
    <n v="15"/>
    <x v="3"/>
    <x v="2"/>
    <d v="2023-01-30T00:00:00"/>
  </r>
  <r>
    <s v="TXN_8115752"/>
    <x v="4"/>
    <n v="2"/>
    <n v="4"/>
    <n v="8"/>
    <x v="3"/>
    <x v="2"/>
    <d v="2023-06-27T00:00:00"/>
  </r>
  <r>
    <s v="TXN_9253398"/>
    <x v="6"/>
    <n v="2"/>
    <n v="4"/>
    <n v="8"/>
    <x v="2"/>
    <x v="0"/>
    <d v="2023-12-14T00:00:00"/>
  </r>
  <r>
    <s v="TXN_3116227"/>
    <x v="1"/>
    <n v="1"/>
    <n v="3"/>
    <n v="3"/>
    <x v="3"/>
    <x v="2"/>
    <d v="2023-05-30T00:00:00"/>
  </r>
  <r>
    <s v="TXN_2494138"/>
    <x v="2"/>
    <n v="3"/>
    <n v="1"/>
    <n v="3"/>
    <x v="1"/>
    <x v="2"/>
    <d v="2023-01-10T00:00:00"/>
  </r>
  <r>
    <s v="TXN_4889269"/>
    <x v="1"/>
    <n v="2"/>
    <n v="3"/>
    <n v="6"/>
    <x v="1"/>
    <x v="2"/>
    <d v="2023-02-19T00:00:00"/>
  </r>
  <r>
    <s v="TXN_9503369"/>
    <x v="2"/>
    <n v="1"/>
    <n v="1"/>
    <n v="1"/>
    <x v="2"/>
    <x v="0"/>
    <m/>
  </r>
  <r>
    <s v="TXN_6105240"/>
    <x v="7"/>
    <n v="5"/>
    <n v="3"/>
    <n v="15"/>
    <x v="2"/>
    <x v="1"/>
    <d v="2023-11-27T00:00:00"/>
  </r>
  <r>
    <s v="TXN_8808162"/>
    <x v="4"/>
    <n v="4"/>
    <n v="4"/>
    <n v="16"/>
    <x v="3"/>
    <x v="2"/>
    <d v="2023-05-07T00:00:00"/>
  </r>
  <r>
    <s v="TXN_4548466"/>
    <x v="8"/>
    <n v="4"/>
    <n v="1.5"/>
    <n v="6"/>
    <x v="0"/>
    <x v="0"/>
    <d v="2023-11-30T00:00:00"/>
  </r>
  <r>
    <s v="TXN_3195257"/>
    <x v="5"/>
    <n v="1"/>
    <n v="5"/>
    <n v="5"/>
    <x v="1"/>
    <x v="2"/>
    <d v="2023-10-09T00:00:00"/>
  </r>
  <r>
    <s v="TXN_9835676"/>
    <x v="2"/>
    <n v="2"/>
    <n v="1"/>
    <n v="2"/>
    <x v="3"/>
    <x v="2"/>
    <d v="2023-03-30T00:00:00"/>
  </r>
  <r>
    <s v="TXN_9728454"/>
    <x v="7"/>
    <n v="4"/>
    <n v="3"/>
    <n v="12"/>
    <x v="3"/>
    <x v="0"/>
    <d v="2023-01-03T00:00:00"/>
  </r>
  <r>
    <s v="TXN_5907854"/>
    <x v="7"/>
    <n v="3"/>
    <n v="3"/>
    <n v="9"/>
    <x v="2"/>
    <x v="1"/>
    <d v="2023-11-11T00:00:00"/>
  </r>
  <r>
    <s v="TXN_8685846"/>
    <x v="8"/>
    <n v="5"/>
    <n v="1.5"/>
    <n v="7.5"/>
    <x v="0"/>
    <x v="2"/>
    <d v="2023-12-27T00:00:00"/>
  </r>
  <r>
    <s v="TXN_1726774"/>
    <x v="3"/>
    <n v="3"/>
    <n v="5"/>
    <n v="15"/>
    <x v="2"/>
    <x v="2"/>
    <d v="2023-11-16T00:00:00"/>
  </r>
  <r>
    <s v="TXN_2594430"/>
    <x v="0"/>
    <n v="1"/>
    <n v="2"/>
    <n v="2"/>
    <x v="2"/>
    <x v="2"/>
    <d v="2023-05-18T00:00:00"/>
  </r>
  <r>
    <s v="TXN_5750278"/>
    <x v="3"/>
    <n v="3"/>
    <n v="5"/>
    <n v="15"/>
    <x v="1"/>
    <x v="0"/>
    <d v="2023-06-08T00:00:00"/>
  </r>
  <r>
    <s v="TXN_6714931"/>
    <x v="7"/>
    <n v="3"/>
    <n v="3"/>
    <n v="9"/>
    <x v="2"/>
    <x v="2"/>
    <d v="2023-07-02T00:00:00"/>
  </r>
  <r>
    <s v="TXN_5537740"/>
    <x v="1"/>
    <n v="3"/>
    <n v="3"/>
    <n v="9"/>
    <x v="0"/>
    <x v="0"/>
    <d v="2023-04-30T00:00:00"/>
  </r>
  <r>
    <s v="TXN_9433769"/>
    <x v="1"/>
    <n v="4"/>
    <n v="3"/>
    <n v="12"/>
    <x v="3"/>
    <x v="2"/>
    <d v="2023-08-13T00:00:00"/>
  </r>
  <r>
    <s v="TXN_5944206"/>
    <x v="2"/>
    <n v="5"/>
    <n v="1"/>
    <n v="5"/>
    <x v="3"/>
    <x v="0"/>
    <d v="2023-05-12T00:00:00"/>
  </r>
  <r>
    <s v="TXN_9212178"/>
    <x v="7"/>
    <n v="1"/>
    <n v="3"/>
    <n v="3"/>
    <x v="0"/>
    <x v="0"/>
    <d v="2023-11-18T00:00:00"/>
  </r>
  <r>
    <s v="TXN_2915856"/>
    <x v="8"/>
    <n v="1"/>
    <n v="1.5"/>
    <n v="1.5"/>
    <x v="2"/>
    <x v="1"/>
    <d v="2023-06-19T00:00:00"/>
  </r>
  <r>
    <s v="TXN_4376214"/>
    <x v="3"/>
    <n v="5"/>
    <n v="5"/>
    <n v="25"/>
    <x v="2"/>
    <x v="2"/>
    <d v="2023-04-26T00:00:00"/>
  </r>
  <r>
    <s v="TXN_9201212"/>
    <x v="4"/>
    <n v="4"/>
    <n v="4"/>
    <n v="16"/>
    <x v="3"/>
    <x v="0"/>
    <d v="2023-06-08T00:00:00"/>
  </r>
  <r>
    <s v="TXN_7752454"/>
    <x v="1"/>
    <n v="3"/>
    <n v="3"/>
    <n v="9"/>
    <x v="2"/>
    <x v="2"/>
    <m/>
  </r>
  <r>
    <s v="TXN_7055260"/>
    <x v="6"/>
    <n v="4"/>
    <n v="4"/>
    <n v="16"/>
    <x v="3"/>
    <x v="1"/>
    <d v="2023-06-20T00:00:00"/>
  </r>
  <r>
    <s v="TXN_4773465"/>
    <x v="0"/>
    <n v="5"/>
    <n v="2"/>
    <n v="10"/>
    <x v="3"/>
    <x v="0"/>
    <d v="2023-11-28T00:00:00"/>
  </r>
  <r>
    <s v="TXN_9087344"/>
    <x v="8"/>
    <n v="5"/>
    <n v="1.5"/>
    <n v="7.5"/>
    <x v="1"/>
    <x v="2"/>
    <d v="2023-07-29T00:00:00"/>
  </r>
  <r>
    <s v="TXN_1757340"/>
    <x v="1"/>
    <n v="2"/>
    <n v="3"/>
    <n v="6"/>
    <x v="0"/>
    <x v="1"/>
    <d v="2023-12-29T00:00:00"/>
  </r>
  <r>
    <s v="TXN_9975321"/>
    <x v="3"/>
    <n v="2"/>
    <n v="5"/>
    <n v="10"/>
    <x v="3"/>
    <x v="2"/>
    <d v="2023-03-25T00:00:00"/>
  </r>
  <r>
    <s v="TXN_8148137"/>
    <x v="8"/>
    <n v="1"/>
    <n v="1.5"/>
    <n v="1.5"/>
    <x v="2"/>
    <x v="1"/>
    <m/>
  </r>
  <r>
    <s v="TXN_1681216"/>
    <x v="1"/>
    <n v="3"/>
    <n v="3"/>
    <n v="9"/>
    <x v="2"/>
    <x v="2"/>
    <d v="2023-03-23T00:00:00"/>
  </r>
  <r>
    <s v="TXN_3835043"/>
    <x v="7"/>
    <n v="2"/>
    <n v="3"/>
    <n v="6"/>
    <x v="1"/>
    <x v="2"/>
    <d v="2023-12-29T00:00:00"/>
  </r>
  <r>
    <s v="TXN_8366002"/>
    <x v="6"/>
    <n v="2"/>
    <n v="4"/>
    <n v="8"/>
    <x v="0"/>
    <x v="2"/>
    <d v="2023-12-26T00:00:00"/>
  </r>
  <r>
    <s v="TXN_9390740"/>
    <x v="1"/>
    <n v="2"/>
    <n v="3"/>
    <n v="6"/>
    <x v="1"/>
    <x v="1"/>
    <d v="2023-12-06T00:00:00"/>
  </r>
  <r>
    <s v="TXN_4928254"/>
    <x v="1"/>
    <n v="1"/>
    <n v="3"/>
    <n v="3"/>
    <x v="0"/>
    <x v="2"/>
    <d v="2023-12-22T00:00:00"/>
  </r>
  <r>
    <s v="TXN_5191642"/>
    <x v="3"/>
    <n v="5"/>
    <n v="5"/>
    <n v="25"/>
    <x v="1"/>
    <x v="2"/>
    <d v="2023-04-15T00:00:00"/>
  </r>
  <r>
    <s v="TXN_9117434"/>
    <x v="1"/>
    <n v="1"/>
    <n v="3"/>
    <n v="3"/>
    <x v="2"/>
    <x v="1"/>
    <d v="2023-07-18T00:00:00"/>
  </r>
  <r>
    <s v="TXN_2820788"/>
    <x v="5"/>
    <n v="5"/>
    <n v="1"/>
    <n v="5"/>
    <x v="2"/>
    <x v="2"/>
    <d v="2023-09-25T00:00:00"/>
  </r>
  <r>
    <s v="TXN_3593060"/>
    <x v="4"/>
    <n v="4"/>
    <n v="4"/>
    <n v="16"/>
    <x v="1"/>
    <x v="2"/>
    <d v="2023-03-05T00:00:00"/>
  </r>
  <r>
    <s v="TXN_7531745"/>
    <x v="1"/>
    <n v="2"/>
    <n v="3"/>
    <n v="6"/>
    <x v="1"/>
    <x v="2"/>
    <d v="2023-06-23T00:00:00"/>
  </r>
  <r>
    <s v="TXN_1082421"/>
    <x v="3"/>
    <n v="1"/>
    <n v="5"/>
    <n v="5"/>
    <x v="3"/>
    <x v="1"/>
    <d v="2023-12-19T00:00:00"/>
  </r>
  <r>
    <s v="TXN_2148444"/>
    <x v="7"/>
    <n v="2"/>
    <n v="3"/>
    <n v="6"/>
    <x v="1"/>
    <x v="2"/>
    <d v="2023-11-27T00:00:00"/>
  </r>
  <r>
    <s v="TXN_5402385"/>
    <x v="5"/>
    <n v="2"/>
    <n v="3"/>
    <n v="6"/>
    <x v="1"/>
    <x v="1"/>
    <d v="2023-06-18T00:00:00"/>
  </r>
  <r>
    <s v="TXN_1494502"/>
    <x v="3"/>
    <n v="5"/>
    <n v="5"/>
    <n v="25"/>
    <x v="3"/>
    <x v="2"/>
    <m/>
  </r>
  <r>
    <s v="TXN_9277146"/>
    <x v="1"/>
    <n v="5"/>
    <n v="3"/>
    <n v="15"/>
    <x v="0"/>
    <x v="2"/>
    <d v="2023-07-11T00:00:00"/>
  </r>
  <r>
    <s v="TXN_9333347"/>
    <x v="4"/>
    <n v="5"/>
    <n v="4"/>
    <n v="20"/>
    <x v="1"/>
    <x v="2"/>
    <d v="2023-09-10T00:00:00"/>
  </r>
  <r>
    <s v="TXN_9127105"/>
    <x v="7"/>
    <n v="3"/>
    <n v="3"/>
    <n v="9"/>
    <x v="1"/>
    <x v="2"/>
    <d v="2023-03-04T00:00:00"/>
  </r>
  <r>
    <s v="TXN_1417724"/>
    <x v="6"/>
    <n v="2"/>
    <n v="4"/>
    <n v="8"/>
    <x v="3"/>
    <x v="2"/>
    <d v="2023-06-07T00:00:00"/>
  </r>
  <r>
    <s v="TXN_6451377"/>
    <x v="3"/>
    <n v="5"/>
    <n v="5"/>
    <n v="25"/>
    <x v="0"/>
    <x v="0"/>
    <d v="2023-03-19T00:00:00"/>
  </r>
  <r>
    <s v="TXN_2142961"/>
    <x v="0"/>
    <n v="5"/>
    <n v="2"/>
    <n v="10"/>
    <x v="0"/>
    <x v="0"/>
    <d v="2023-09-21T00:00:00"/>
  </r>
  <r>
    <s v="TXN_5927884"/>
    <x v="0"/>
    <n v="4"/>
    <n v="2"/>
    <n v="8"/>
    <x v="2"/>
    <x v="2"/>
    <d v="2023-12-21T00:00:00"/>
  </r>
  <r>
    <s v="TXN_8588335"/>
    <x v="3"/>
    <n v="4"/>
    <n v="5"/>
    <n v="20"/>
    <x v="0"/>
    <x v="2"/>
    <d v="2023-09-04T00:00:00"/>
  </r>
  <r>
    <s v="TXN_6738350"/>
    <x v="7"/>
    <n v="2"/>
    <n v="3"/>
    <n v="6"/>
    <x v="3"/>
    <x v="2"/>
    <d v="2023-11-02T00:00:00"/>
  </r>
  <r>
    <s v="TXN_5575561"/>
    <x v="8"/>
    <n v="4"/>
    <n v="1.5"/>
    <n v="6"/>
    <x v="3"/>
    <x v="0"/>
    <d v="2023-02-13T00:00:00"/>
  </r>
  <r>
    <s v="TXN_1007347"/>
    <x v="3"/>
    <n v="4"/>
    <n v="5"/>
    <n v="20"/>
    <x v="3"/>
    <x v="1"/>
    <d v="2023-08-28T00:00:00"/>
  </r>
  <r>
    <s v="TXN_8933459"/>
    <x v="7"/>
    <n v="1"/>
    <n v="3"/>
    <n v="3"/>
    <x v="2"/>
    <x v="2"/>
    <d v="2023-12-31T00:00:00"/>
  </r>
  <r>
    <s v="TXN_3678091"/>
    <x v="7"/>
    <n v="3"/>
    <n v="3"/>
    <n v="9"/>
    <x v="1"/>
    <x v="2"/>
    <d v="2023-09-07T00:00:00"/>
  </r>
  <r>
    <s v="TXN_7692628"/>
    <x v="8"/>
    <n v="2"/>
    <n v="1.5"/>
    <n v="3"/>
    <x v="1"/>
    <x v="2"/>
    <d v="2023-05-01T00:00:00"/>
  </r>
  <r>
    <s v="TXN_6731518"/>
    <x v="2"/>
    <n v="1"/>
    <n v="1"/>
    <n v="1"/>
    <x v="3"/>
    <x v="0"/>
    <d v="2023-12-04T00:00:00"/>
  </r>
  <r>
    <s v="TXN_3455702"/>
    <x v="3"/>
    <n v="1"/>
    <n v="5"/>
    <n v="5"/>
    <x v="1"/>
    <x v="0"/>
    <d v="2023-03-23T00:00:00"/>
  </r>
  <r>
    <s v="TXN_7794561"/>
    <x v="7"/>
    <n v="4"/>
    <n v="3"/>
    <n v="12"/>
    <x v="0"/>
    <x v="1"/>
    <d v="2023-05-18T00:00:00"/>
  </r>
  <r>
    <s v="TXN_8908193"/>
    <x v="4"/>
    <n v="5"/>
    <n v="4"/>
    <n v="20"/>
    <x v="1"/>
    <x v="2"/>
    <d v="2023-04-02T00:00:00"/>
  </r>
  <r>
    <s v="TXN_7688625"/>
    <x v="0"/>
    <n v="1"/>
    <n v="2"/>
    <n v="2"/>
    <x v="0"/>
    <x v="1"/>
    <d v="2023-12-15T00:00:00"/>
  </r>
  <r>
    <s v="TXN_7012065"/>
    <x v="0"/>
    <n v="3"/>
    <n v="2"/>
    <n v="6"/>
    <x v="2"/>
    <x v="2"/>
    <d v="2023-08-05T00:00:00"/>
  </r>
  <r>
    <s v="TXN_4323570"/>
    <x v="5"/>
    <n v="1"/>
    <n v="1"/>
    <n v="1"/>
    <x v="1"/>
    <x v="2"/>
    <d v="2023-03-04T00:00:00"/>
  </r>
  <r>
    <s v="TXN_8831924"/>
    <x v="0"/>
    <n v="3"/>
    <n v="2"/>
    <n v="6"/>
    <x v="3"/>
    <x v="1"/>
    <d v="2023-07-12T00:00:00"/>
  </r>
  <r>
    <s v="TXN_2865104"/>
    <x v="1"/>
    <n v="5"/>
    <n v="3"/>
    <n v="15"/>
    <x v="2"/>
    <x v="1"/>
    <d v="2023-03-12T00:00:00"/>
  </r>
  <r>
    <s v="TXN_1360998"/>
    <x v="2"/>
    <n v="2"/>
    <n v="1"/>
    <n v="2"/>
    <x v="1"/>
    <x v="0"/>
    <d v="2023-07-30T00:00:00"/>
  </r>
  <r>
    <s v="TXN_4125921"/>
    <x v="7"/>
    <n v="5"/>
    <n v="3"/>
    <n v="15"/>
    <x v="0"/>
    <x v="2"/>
    <d v="2023-01-26T00:00:00"/>
  </r>
  <r>
    <s v="TXN_4657842"/>
    <x v="5"/>
    <n v="5"/>
    <n v="1"/>
    <n v="5"/>
    <x v="1"/>
    <x v="0"/>
    <d v="2023-09-29T00:00:00"/>
  </r>
  <r>
    <s v="TXN_8149585"/>
    <x v="7"/>
    <n v="1"/>
    <n v="3"/>
    <n v="3"/>
    <x v="0"/>
    <x v="2"/>
    <d v="2023-02-21T00:00:00"/>
  </r>
  <r>
    <s v="TXN_9047278"/>
    <x v="8"/>
    <n v="4"/>
    <n v="1.5"/>
    <n v="6"/>
    <x v="0"/>
    <x v="0"/>
    <d v="2023-06-20T00:00:00"/>
  </r>
  <r>
    <s v="TXN_8666003"/>
    <x v="4"/>
    <n v="4"/>
    <n v="4"/>
    <n v="16"/>
    <x v="2"/>
    <x v="0"/>
    <d v="2023-06-09T00:00:00"/>
  </r>
  <r>
    <s v="TXN_7606512"/>
    <x v="2"/>
    <n v="5"/>
    <n v="1"/>
    <n v="5"/>
    <x v="1"/>
    <x v="2"/>
    <d v="2023-12-03T00:00:00"/>
  </r>
  <r>
    <s v="TXN_1819615"/>
    <x v="0"/>
    <n v="4"/>
    <n v="2"/>
    <n v="8"/>
    <x v="2"/>
    <x v="2"/>
    <d v="2023-06-03T00:00:00"/>
  </r>
  <r>
    <s v="TXN_1931404"/>
    <x v="1"/>
    <n v="5"/>
    <n v="3"/>
    <n v="15"/>
    <x v="2"/>
    <x v="1"/>
    <d v="2023-10-01T00:00:00"/>
  </r>
  <r>
    <s v="TXN_4516901"/>
    <x v="8"/>
    <n v="2"/>
    <n v="1.5"/>
    <n v="3"/>
    <x v="0"/>
    <x v="1"/>
    <d v="2023-09-05T00:00:00"/>
  </r>
  <r>
    <s v="TXN_6817795"/>
    <x v="8"/>
    <n v="1"/>
    <n v="1.5"/>
    <n v="1.5"/>
    <x v="1"/>
    <x v="0"/>
    <d v="2023-09-12T00:00:00"/>
  </r>
  <r>
    <s v="TXN_4643515"/>
    <x v="5"/>
    <n v="1"/>
    <n v="4"/>
    <n v="4"/>
    <x v="3"/>
    <x v="1"/>
    <d v="2023-10-03T00:00:00"/>
  </r>
  <r>
    <s v="TXN_9762385"/>
    <x v="8"/>
    <n v="3"/>
    <n v="1.5"/>
    <n v="4.5"/>
    <x v="2"/>
    <x v="2"/>
    <d v="2023-05-19T00:00:00"/>
  </r>
  <r>
    <s v="TXN_6809170"/>
    <x v="4"/>
    <n v="4"/>
    <n v="4"/>
    <n v="16"/>
    <x v="1"/>
    <x v="0"/>
    <d v="2023-08-10T00:00:00"/>
  </r>
  <r>
    <s v="TXN_7365744"/>
    <x v="2"/>
    <n v="4"/>
    <n v="1"/>
    <n v="4"/>
    <x v="1"/>
    <x v="1"/>
    <d v="2023-08-20T00:00:00"/>
  </r>
  <r>
    <s v="TXN_9847116"/>
    <x v="3"/>
    <n v="3"/>
    <n v="5"/>
    <n v="15"/>
    <x v="1"/>
    <x v="0"/>
    <d v="2023-07-28T00:00:00"/>
  </r>
  <r>
    <s v="TXN_8356338"/>
    <x v="3"/>
    <n v="5"/>
    <n v="5"/>
    <n v="25"/>
    <x v="0"/>
    <x v="1"/>
    <d v="2023-08-06T00:00:00"/>
  </r>
  <r>
    <s v="TXN_4413506"/>
    <x v="7"/>
    <n v="4"/>
    <n v="3"/>
    <n v="12"/>
    <x v="3"/>
    <x v="1"/>
    <d v="2023-10-29T00:00:00"/>
  </r>
  <r>
    <s v="TXN_1057209"/>
    <x v="5"/>
    <n v="5"/>
    <n v="1"/>
    <n v="5"/>
    <x v="0"/>
    <x v="1"/>
    <d v="2023-09-17T00:00:00"/>
  </r>
  <r>
    <s v="TXN_9534685"/>
    <x v="3"/>
    <n v="1"/>
    <n v="5"/>
    <n v="5"/>
    <x v="2"/>
    <x v="0"/>
    <d v="2023-04-27T00:00:00"/>
  </r>
  <r>
    <s v="TXN_4893692"/>
    <x v="3"/>
    <n v="2"/>
    <n v="5"/>
    <n v="10"/>
    <x v="2"/>
    <x v="2"/>
    <d v="2023-01-02T00:00:00"/>
  </r>
  <r>
    <s v="TXN_5680629"/>
    <x v="1"/>
    <n v="2"/>
    <n v="3"/>
    <n v="6"/>
    <x v="2"/>
    <x v="0"/>
    <d v="2023-04-30T00:00:00"/>
  </r>
  <r>
    <s v="TXN_2494194"/>
    <x v="3"/>
    <n v="5"/>
    <n v="5"/>
    <n v="25"/>
    <x v="3"/>
    <x v="2"/>
    <d v="2023-02-11T00:00:00"/>
  </r>
  <r>
    <s v="TXN_4549825"/>
    <x v="3"/>
    <n v="2"/>
    <n v="5"/>
    <n v="10"/>
    <x v="3"/>
    <x v="2"/>
    <m/>
  </r>
  <r>
    <s v="TXN_4737392"/>
    <x v="6"/>
    <n v="2"/>
    <n v="4"/>
    <n v="8"/>
    <x v="1"/>
    <x v="1"/>
    <d v="2023-02-17T00:00:00"/>
  </r>
  <r>
    <s v="TXN_9538738"/>
    <x v="0"/>
    <n v="4"/>
    <n v="2"/>
    <n v="8"/>
    <x v="1"/>
    <x v="1"/>
    <d v="2023-09-25T00:00:00"/>
  </r>
  <r>
    <s v="TXN_1854102"/>
    <x v="0"/>
    <n v="2"/>
    <n v="2"/>
    <n v="4"/>
    <x v="3"/>
    <x v="0"/>
    <d v="2023-07-18T00:00:00"/>
  </r>
  <r>
    <s v="TXN_3109692"/>
    <x v="7"/>
    <n v="4"/>
    <n v="3"/>
    <n v="12"/>
    <x v="0"/>
    <x v="1"/>
    <d v="2023-06-21T00:00:00"/>
  </r>
  <r>
    <s v="TXN_5395229"/>
    <x v="0"/>
    <n v="5"/>
    <n v="2"/>
    <n v="10"/>
    <x v="1"/>
    <x v="2"/>
    <d v="2023-11-29T00:00:00"/>
  </r>
  <r>
    <s v="TXN_8918902"/>
    <x v="0"/>
    <n v="5"/>
    <n v="2"/>
    <n v="10"/>
    <x v="2"/>
    <x v="2"/>
    <d v="2023-05-22T00:00:00"/>
  </r>
  <r>
    <s v="TXN_8837375"/>
    <x v="6"/>
    <n v="2"/>
    <n v="4"/>
    <n v="8"/>
    <x v="3"/>
    <x v="0"/>
    <d v="2023-11-21T00:00:00"/>
  </r>
  <r>
    <s v="TXN_3952218"/>
    <x v="3"/>
    <n v="5"/>
    <n v="5"/>
    <n v="25"/>
    <x v="2"/>
    <x v="2"/>
    <d v="2023-04-07T00:00:00"/>
  </r>
  <r>
    <s v="TXN_3225552"/>
    <x v="3"/>
    <n v="1"/>
    <n v="5"/>
    <n v="5"/>
    <x v="2"/>
    <x v="1"/>
    <d v="2023-05-16T00:00:00"/>
  </r>
  <r>
    <s v="TXN_7950226"/>
    <x v="8"/>
    <n v="1"/>
    <n v="1.5"/>
    <n v="1.5"/>
    <x v="3"/>
    <x v="1"/>
    <d v="2023-10-13T00:00:00"/>
  </r>
  <r>
    <s v="TXN_9086541"/>
    <x v="3"/>
    <n v="3"/>
    <n v="5"/>
    <n v="15"/>
    <x v="1"/>
    <x v="1"/>
    <d v="2023-02-15T00:00:00"/>
  </r>
  <r>
    <s v="TXN_1817596"/>
    <x v="8"/>
    <n v="2"/>
    <n v="1.5"/>
    <n v="3"/>
    <x v="2"/>
    <x v="1"/>
    <d v="2023-11-04T00:00:00"/>
  </r>
  <r>
    <s v="TXN_7644786"/>
    <x v="2"/>
    <n v="3"/>
    <n v="1"/>
    <n v="3"/>
    <x v="0"/>
    <x v="0"/>
    <d v="2023-01-20T00:00:00"/>
  </r>
  <r>
    <s v="TXN_8017969"/>
    <x v="7"/>
    <n v="1"/>
    <n v="3"/>
    <n v="3"/>
    <x v="1"/>
    <x v="0"/>
    <d v="2023-03-26T00:00:00"/>
  </r>
  <r>
    <s v="TXN_6667388"/>
    <x v="1"/>
    <n v="3"/>
    <n v="3"/>
    <n v="9"/>
    <x v="1"/>
    <x v="1"/>
    <d v="2023-08-14T00:00:00"/>
  </r>
  <r>
    <s v="TXN_3488611"/>
    <x v="8"/>
    <n v="1"/>
    <n v="1.5"/>
    <n v="1.5"/>
    <x v="1"/>
    <x v="2"/>
    <d v="2023-02-13T00:00:00"/>
  </r>
  <r>
    <s v="TXN_3165950"/>
    <x v="5"/>
    <n v="1"/>
    <n v="2"/>
    <n v="2"/>
    <x v="3"/>
    <x v="2"/>
    <m/>
  </r>
  <r>
    <s v="TXN_3109334"/>
    <x v="4"/>
    <n v="3"/>
    <n v="4"/>
    <n v="12"/>
    <x v="2"/>
    <x v="1"/>
    <d v="2023-04-06T00:00:00"/>
  </r>
  <r>
    <s v="TXN_9425645"/>
    <x v="1"/>
    <n v="3"/>
    <n v="3"/>
    <n v="9"/>
    <x v="0"/>
    <x v="0"/>
    <d v="2023-03-19T00:00:00"/>
  </r>
  <r>
    <s v="TXN_2461238"/>
    <x v="0"/>
    <n v="1"/>
    <n v="2"/>
    <n v="2"/>
    <x v="2"/>
    <x v="0"/>
    <d v="2023-01-29T00:00:00"/>
  </r>
  <r>
    <s v="TXN_4692976"/>
    <x v="7"/>
    <n v="1"/>
    <n v="3"/>
    <n v="3"/>
    <x v="3"/>
    <x v="2"/>
    <d v="2023-11-06T00:00:00"/>
  </r>
  <r>
    <s v="TXN_6747376"/>
    <x v="4"/>
    <n v="3"/>
    <n v="4"/>
    <n v="12"/>
    <x v="3"/>
    <x v="1"/>
    <d v="2023-11-20T00:00:00"/>
  </r>
  <r>
    <s v="TXN_3689335"/>
    <x v="7"/>
    <n v="1"/>
    <n v="3"/>
    <n v="3"/>
    <x v="2"/>
    <x v="0"/>
    <d v="2023-12-11T00:00:00"/>
  </r>
  <r>
    <s v="TXN_9662568"/>
    <x v="8"/>
    <n v="5"/>
    <n v="1.5"/>
    <n v="7.5"/>
    <x v="1"/>
    <x v="2"/>
    <d v="2023-10-30T00:00:00"/>
  </r>
  <r>
    <s v="TXN_9817681"/>
    <x v="5"/>
    <n v="4"/>
    <n v="1.5"/>
    <n v="6"/>
    <x v="2"/>
    <x v="0"/>
    <m/>
  </r>
  <r>
    <s v="TXN_5470087"/>
    <x v="3"/>
    <n v="2"/>
    <n v="5"/>
    <n v="10"/>
    <x v="2"/>
    <x v="0"/>
    <d v="2023-10-11T00:00:00"/>
  </r>
  <r>
    <s v="TXN_3717372"/>
    <x v="7"/>
    <n v="2"/>
    <n v="3"/>
    <n v="6"/>
    <x v="0"/>
    <x v="2"/>
    <d v="2023-02-15T00:00:00"/>
  </r>
  <r>
    <s v="TXN_6727985"/>
    <x v="3"/>
    <n v="5"/>
    <n v="5"/>
    <n v="25"/>
    <x v="0"/>
    <x v="1"/>
    <d v="2023-06-16T00:00:00"/>
  </r>
  <r>
    <s v="TXN_1755661"/>
    <x v="3"/>
    <n v="5"/>
    <n v="5"/>
    <n v="25"/>
    <x v="2"/>
    <x v="1"/>
    <d v="2023-07-14T00:00:00"/>
  </r>
  <r>
    <s v="TXN_9899571"/>
    <x v="5"/>
    <n v="2"/>
    <n v="5"/>
    <n v="10"/>
    <x v="0"/>
    <x v="0"/>
    <d v="2023-02-18T00:00:00"/>
  </r>
  <r>
    <s v="TXN_5692316"/>
    <x v="4"/>
    <n v="1"/>
    <n v="4"/>
    <n v="4"/>
    <x v="3"/>
    <x v="2"/>
    <d v="2023-06-22T00:00:00"/>
  </r>
  <r>
    <s v="TXN_2062269"/>
    <x v="7"/>
    <n v="4"/>
    <n v="3"/>
    <n v="12"/>
    <x v="3"/>
    <x v="0"/>
    <d v="2023-09-08T00:00:00"/>
  </r>
  <r>
    <s v="TXN_2160316"/>
    <x v="6"/>
    <n v="1"/>
    <n v="4"/>
    <n v="4"/>
    <x v="2"/>
    <x v="1"/>
    <d v="2023-10-24T00:00:00"/>
  </r>
  <r>
    <s v="TXN_4220743"/>
    <x v="6"/>
    <n v="4"/>
    <n v="4"/>
    <n v="16"/>
    <x v="2"/>
    <x v="1"/>
    <d v="2023-10-22T00:00:00"/>
  </r>
  <r>
    <s v="TXN_2726843"/>
    <x v="6"/>
    <n v="1"/>
    <n v="4"/>
    <n v="4"/>
    <x v="2"/>
    <x v="1"/>
    <d v="2023-05-31T00:00:00"/>
  </r>
  <r>
    <s v="TXN_9969283"/>
    <x v="6"/>
    <n v="3"/>
    <n v="4"/>
    <n v="12"/>
    <x v="3"/>
    <x v="2"/>
    <d v="2023-10-26T00:00:00"/>
  </r>
  <r>
    <s v="TXN_8540115"/>
    <x v="5"/>
    <n v="2"/>
    <n v="1.5"/>
    <n v="3"/>
    <x v="2"/>
    <x v="2"/>
    <d v="2023-06-26T00:00:00"/>
  </r>
  <r>
    <s v="TXN_8313892"/>
    <x v="3"/>
    <n v="3"/>
    <n v="5"/>
    <n v="15"/>
    <x v="0"/>
    <x v="0"/>
    <d v="2023-11-29T00:00:00"/>
  </r>
  <r>
    <s v="TXN_3131761"/>
    <x v="4"/>
    <n v="1"/>
    <n v="4"/>
    <n v="4"/>
    <x v="2"/>
    <x v="0"/>
    <d v="2023-10-18T00:00:00"/>
  </r>
  <r>
    <s v="TXN_1243964"/>
    <x v="5"/>
    <n v="3"/>
    <n v="1.5"/>
    <n v="4.5"/>
    <x v="2"/>
    <x v="0"/>
    <d v="2023-12-01T00:00:00"/>
  </r>
  <r>
    <s v="TXN_1856112"/>
    <x v="3"/>
    <n v="3"/>
    <n v="5"/>
    <n v="15"/>
    <x v="0"/>
    <x v="2"/>
    <d v="2023-06-08T00:00:00"/>
  </r>
  <r>
    <s v="TXN_4532651"/>
    <x v="0"/>
    <n v="2"/>
    <n v="2"/>
    <n v="4"/>
    <x v="2"/>
    <x v="1"/>
    <d v="2023-09-13T00:00:00"/>
  </r>
  <r>
    <s v="TXN_4083736"/>
    <x v="0"/>
    <n v="1"/>
    <n v="2"/>
    <n v="2"/>
    <x v="2"/>
    <x v="1"/>
    <d v="2023-08-21T00:00:00"/>
  </r>
  <r>
    <s v="TXN_4493176"/>
    <x v="8"/>
    <n v="3"/>
    <n v="1.5"/>
    <n v="4.5"/>
    <x v="2"/>
    <x v="2"/>
    <d v="2023-10-14T00:00:00"/>
  </r>
  <r>
    <s v="TXN_6712994"/>
    <x v="0"/>
    <n v="3"/>
    <n v="2"/>
    <n v="6"/>
    <x v="1"/>
    <x v="0"/>
    <d v="2023-10-02T00:00:00"/>
  </r>
  <r>
    <s v="TXN_1840566"/>
    <x v="0"/>
    <n v="4"/>
    <n v="2"/>
    <n v="8"/>
    <x v="2"/>
    <x v="2"/>
    <d v="2023-01-05T00:00:00"/>
  </r>
  <r>
    <s v="TXN_6257776"/>
    <x v="7"/>
    <n v="5"/>
    <n v="3"/>
    <n v="15"/>
    <x v="1"/>
    <x v="1"/>
    <d v="2023-10-28T00:00:00"/>
  </r>
  <r>
    <s v="TXN_9039165"/>
    <x v="6"/>
    <n v="4"/>
    <n v="4"/>
    <n v="16"/>
    <x v="2"/>
    <x v="0"/>
    <d v="2023-03-10T00:00:00"/>
  </r>
  <r>
    <s v="TXN_7056051"/>
    <x v="1"/>
    <n v="2"/>
    <n v="3"/>
    <n v="6"/>
    <x v="2"/>
    <x v="2"/>
    <m/>
  </r>
  <r>
    <s v="TXN_3869150"/>
    <x v="2"/>
    <n v="3"/>
    <n v="1"/>
    <n v="3"/>
    <x v="1"/>
    <x v="2"/>
    <d v="2023-03-26T00:00:00"/>
  </r>
  <r>
    <s v="TXN_3604156"/>
    <x v="0"/>
    <n v="5"/>
    <n v="2"/>
    <n v="10"/>
    <x v="0"/>
    <x v="0"/>
    <d v="2023-11-08T00:00:00"/>
  </r>
  <r>
    <s v="TXN_2018236"/>
    <x v="0"/>
    <n v="5"/>
    <n v="2"/>
    <n v="10"/>
    <x v="1"/>
    <x v="2"/>
    <d v="2023-04-19T00:00:00"/>
  </r>
  <r>
    <s v="TXN_4430176"/>
    <x v="6"/>
    <n v="4"/>
    <n v="4"/>
    <n v="16"/>
    <x v="0"/>
    <x v="0"/>
    <d v="2023-08-27T00:00:00"/>
  </r>
  <r>
    <s v="TXN_6073195"/>
    <x v="6"/>
    <n v="3"/>
    <n v="4"/>
    <n v="12"/>
    <x v="0"/>
    <x v="0"/>
    <d v="2023-09-13T00:00:00"/>
  </r>
  <r>
    <s v="TXN_5245399"/>
    <x v="5"/>
    <n v="5"/>
    <n v="2"/>
    <n v="10"/>
    <x v="2"/>
    <x v="2"/>
    <d v="2023-12-25T00:00:00"/>
  </r>
  <r>
    <s v="TXN_4178872"/>
    <x v="8"/>
    <n v="1"/>
    <n v="1.5"/>
    <n v="1.5"/>
    <x v="0"/>
    <x v="2"/>
    <d v="2023-01-25T00:00:00"/>
  </r>
  <r>
    <s v="TXN_8836650"/>
    <x v="4"/>
    <n v="5"/>
    <n v="4"/>
    <n v="20"/>
    <x v="2"/>
    <x v="2"/>
    <d v="2023-05-22T00:00:00"/>
  </r>
  <r>
    <s v="TXN_5882584"/>
    <x v="1"/>
    <n v="5"/>
    <n v="3"/>
    <n v="15"/>
    <x v="2"/>
    <x v="1"/>
    <d v="2023-09-16T00:00:00"/>
  </r>
  <r>
    <s v="TXN_4291132"/>
    <x v="1"/>
    <n v="2"/>
    <n v="3"/>
    <n v="6"/>
    <x v="0"/>
    <x v="0"/>
    <d v="2023-08-07T00:00:00"/>
  </r>
  <r>
    <s v="TXN_1622123"/>
    <x v="2"/>
    <n v="2"/>
    <n v="1"/>
    <n v="2"/>
    <x v="1"/>
    <x v="0"/>
    <d v="2023-01-05T00:00:00"/>
  </r>
  <r>
    <s v="TXN_2878078"/>
    <x v="1"/>
    <n v="2"/>
    <n v="3"/>
    <n v="6"/>
    <x v="3"/>
    <x v="0"/>
    <d v="2023-12-15T00:00:00"/>
  </r>
  <r>
    <s v="TXN_7134579"/>
    <x v="2"/>
    <n v="5"/>
    <n v="1"/>
    <n v="5"/>
    <x v="3"/>
    <x v="0"/>
    <d v="2023-06-06T00:00:00"/>
  </r>
  <r>
    <s v="TXN_6921057"/>
    <x v="6"/>
    <n v="4"/>
    <n v="4"/>
    <n v="16"/>
    <x v="3"/>
    <x v="0"/>
    <d v="2023-07-10T00:00:00"/>
  </r>
  <r>
    <s v="TXN_2335088"/>
    <x v="3"/>
    <n v="4"/>
    <n v="5"/>
    <n v="20"/>
    <x v="1"/>
    <x v="1"/>
    <d v="2023-10-27T00:00:00"/>
  </r>
  <r>
    <s v="TXN_9778859"/>
    <x v="2"/>
    <n v="3"/>
    <n v="1"/>
    <n v="3"/>
    <x v="1"/>
    <x v="0"/>
    <d v="2023-06-05T00:00:00"/>
  </r>
  <r>
    <s v="TXN_3850274"/>
    <x v="7"/>
    <n v="5"/>
    <n v="3"/>
    <n v="15"/>
    <x v="2"/>
    <x v="2"/>
    <d v="2023-09-08T00:00:00"/>
  </r>
  <r>
    <s v="TXN_4428448"/>
    <x v="2"/>
    <n v="4"/>
    <n v="1"/>
    <n v="4"/>
    <x v="2"/>
    <x v="2"/>
    <d v="2023-02-04T00:00:00"/>
  </r>
  <r>
    <s v="TXN_1062822"/>
    <x v="7"/>
    <n v="2"/>
    <n v="3"/>
    <n v="6"/>
    <x v="0"/>
    <x v="2"/>
    <d v="2023-06-28T00:00:00"/>
  </r>
  <r>
    <s v="TXN_6386662"/>
    <x v="3"/>
    <n v="5"/>
    <n v="5"/>
    <n v="25"/>
    <x v="0"/>
    <x v="0"/>
    <d v="2023-12-04T00:00:00"/>
  </r>
  <r>
    <s v="TXN_5491825"/>
    <x v="1"/>
    <n v="4"/>
    <n v="3"/>
    <n v="12"/>
    <x v="1"/>
    <x v="1"/>
    <d v="2023-06-09T00:00:00"/>
  </r>
  <r>
    <s v="TXN_5330930"/>
    <x v="1"/>
    <n v="1"/>
    <n v="3"/>
    <n v="3"/>
    <x v="2"/>
    <x v="1"/>
    <d v="2023-07-12T00:00:00"/>
  </r>
  <r>
    <s v="TXN_5580933"/>
    <x v="4"/>
    <n v="3"/>
    <n v="4"/>
    <n v="12"/>
    <x v="1"/>
    <x v="0"/>
    <d v="2023-10-19T00:00:00"/>
  </r>
  <r>
    <s v="TXN_3326110"/>
    <x v="0"/>
    <n v="2"/>
    <n v="2"/>
    <n v="4"/>
    <x v="0"/>
    <x v="0"/>
    <d v="2023-08-13T00:00:00"/>
  </r>
  <r>
    <s v="TXN_5455079"/>
    <x v="3"/>
    <n v="2"/>
    <n v="5"/>
    <n v="10"/>
    <x v="1"/>
    <x v="1"/>
    <d v="2023-11-30T00:00:00"/>
  </r>
  <r>
    <s v="TXN_5526475"/>
    <x v="8"/>
    <n v="4"/>
    <n v="1.5"/>
    <n v="6"/>
    <x v="1"/>
    <x v="1"/>
    <d v="2023-05-06T00:00:00"/>
  </r>
  <r>
    <s v="TXN_3800253"/>
    <x v="1"/>
    <n v="2"/>
    <n v="3"/>
    <n v="6"/>
    <x v="1"/>
    <x v="0"/>
    <d v="2023-01-15T00:00:00"/>
  </r>
  <r>
    <s v="TXN_2091128"/>
    <x v="1"/>
    <n v="1"/>
    <n v="3"/>
    <n v="3"/>
    <x v="0"/>
    <x v="2"/>
    <m/>
  </r>
  <r>
    <s v="TXN_9169782"/>
    <x v="7"/>
    <n v="5"/>
    <n v="3"/>
    <n v="15"/>
    <x v="0"/>
    <x v="2"/>
    <d v="2023-09-18T00:00:00"/>
  </r>
  <r>
    <s v="TXN_4639621"/>
    <x v="0"/>
    <n v="2"/>
    <n v="2"/>
    <n v="4"/>
    <x v="2"/>
    <x v="1"/>
    <d v="2023-10-12T00:00:00"/>
  </r>
  <r>
    <s v="TXN_4432823"/>
    <x v="5"/>
    <n v="5"/>
    <n v="4"/>
    <n v="20"/>
    <x v="2"/>
    <x v="1"/>
    <d v="2023-02-10T00:00:00"/>
  </r>
  <r>
    <s v="TXN_8138157"/>
    <x v="5"/>
    <n v="2"/>
    <n v="4"/>
    <n v="8"/>
    <x v="1"/>
    <x v="0"/>
    <d v="2023-05-07T00:00:00"/>
  </r>
  <r>
    <s v="TXN_4134478"/>
    <x v="7"/>
    <n v="2"/>
    <n v="3"/>
    <n v="6"/>
    <x v="0"/>
    <x v="0"/>
    <d v="2023-06-25T00:00:00"/>
  </r>
  <r>
    <s v="TXN_6298532"/>
    <x v="4"/>
    <n v="4"/>
    <n v="4"/>
    <n v="16"/>
    <x v="3"/>
    <x v="2"/>
    <m/>
  </r>
  <r>
    <s v="TXN_4997327"/>
    <x v="0"/>
    <n v="2"/>
    <n v="2"/>
    <n v="4"/>
    <x v="2"/>
    <x v="1"/>
    <d v="2023-03-19T00:00:00"/>
  </r>
  <r>
    <s v="TXN_9522899"/>
    <x v="4"/>
    <n v="5"/>
    <n v="4"/>
    <n v="20"/>
    <x v="0"/>
    <x v="0"/>
    <m/>
  </r>
  <r>
    <s v="TXN_4049949"/>
    <x v="2"/>
    <n v="1"/>
    <n v="1"/>
    <n v="1"/>
    <x v="2"/>
    <x v="0"/>
    <d v="2023-11-06T00:00:00"/>
  </r>
  <r>
    <s v="TXN_7296498"/>
    <x v="3"/>
    <n v="5"/>
    <n v="5"/>
    <n v="25"/>
    <x v="0"/>
    <x v="0"/>
    <d v="2023-05-19T00:00:00"/>
  </r>
  <r>
    <s v="TXN_4706042"/>
    <x v="3"/>
    <n v="5"/>
    <n v="5"/>
    <n v="25"/>
    <x v="2"/>
    <x v="1"/>
    <d v="2023-12-01T00:00:00"/>
  </r>
  <r>
    <s v="TXN_2488987"/>
    <x v="8"/>
    <n v="5"/>
    <n v="1.5"/>
    <n v="7.5"/>
    <x v="1"/>
    <x v="1"/>
    <d v="2023-06-12T00:00:00"/>
  </r>
  <r>
    <s v="TXN_6708156"/>
    <x v="8"/>
    <n v="5"/>
    <n v="1.5"/>
    <n v="7.5"/>
    <x v="0"/>
    <x v="2"/>
    <d v="2023-11-26T00:00:00"/>
  </r>
  <r>
    <s v="TXN_7616002"/>
    <x v="8"/>
    <n v="2"/>
    <n v="1.5"/>
    <n v="3"/>
    <x v="2"/>
    <x v="1"/>
    <d v="2023-11-08T00:00:00"/>
  </r>
  <r>
    <s v="TXN_1865735"/>
    <x v="4"/>
    <n v="2"/>
    <n v="4"/>
    <n v="8"/>
    <x v="3"/>
    <x v="1"/>
    <d v="2023-09-22T00:00:00"/>
  </r>
  <r>
    <s v="TXN_5396450"/>
    <x v="7"/>
    <n v="3"/>
    <n v="3"/>
    <n v="9"/>
    <x v="3"/>
    <x v="2"/>
    <d v="2023-12-09T00:00:00"/>
  </r>
  <r>
    <s v="TXN_5881757"/>
    <x v="6"/>
    <n v="3"/>
    <n v="4"/>
    <n v="12"/>
    <x v="0"/>
    <x v="2"/>
    <d v="2023-08-15T00:00:00"/>
  </r>
  <r>
    <s v="TXN_3404479"/>
    <x v="5"/>
    <n v="4"/>
    <n v="4"/>
    <n v="16"/>
    <x v="0"/>
    <x v="2"/>
    <d v="2023-08-23T00:00:00"/>
  </r>
  <r>
    <s v="TXN_5342589"/>
    <x v="8"/>
    <n v="2"/>
    <n v="1.5"/>
    <n v="3"/>
    <x v="3"/>
    <x v="2"/>
    <d v="2023-04-06T00:00:00"/>
  </r>
  <r>
    <s v="TXN_1987212"/>
    <x v="4"/>
    <n v="5"/>
    <n v="4"/>
    <n v="20"/>
    <x v="0"/>
    <x v="0"/>
    <d v="2023-04-07T00:00:00"/>
  </r>
  <r>
    <s v="TXN_5303275"/>
    <x v="2"/>
    <n v="4"/>
    <n v="1"/>
    <n v="4"/>
    <x v="1"/>
    <x v="0"/>
    <d v="2023-09-18T00:00:00"/>
  </r>
  <r>
    <s v="TXN_9193760"/>
    <x v="3"/>
    <n v="5"/>
    <n v="5"/>
    <n v="25"/>
    <x v="2"/>
    <x v="2"/>
    <d v="2023-01-20T00:00:00"/>
  </r>
  <r>
    <s v="TXN_8541074"/>
    <x v="3"/>
    <n v="4"/>
    <n v="5"/>
    <n v="20"/>
    <x v="2"/>
    <x v="1"/>
    <d v="2023-11-08T00:00:00"/>
  </r>
  <r>
    <s v="TXN_1075183"/>
    <x v="8"/>
    <n v="2"/>
    <n v="1.5"/>
    <n v="3"/>
    <x v="0"/>
    <x v="2"/>
    <d v="2023-01-09T00:00:00"/>
  </r>
  <r>
    <s v="TXN_9316158"/>
    <x v="6"/>
    <n v="5"/>
    <n v="4"/>
    <n v="20"/>
    <x v="1"/>
    <x v="1"/>
    <d v="2023-10-31T00:00:00"/>
  </r>
  <r>
    <s v="TXN_8207244"/>
    <x v="8"/>
    <n v="5"/>
    <n v="1.5"/>
    <n v="7.5"/>
    <x v="1"/>
    <x v="0"/>
    <d v="2023-05-04T00:00:00"/>
  </r>
  <r>
    <s v="TXN_2346001"/>
    <x v="5"/>
    <n v="2"/>
    <n v="5"/>
    <n v="10"/>
    <x v="3"/>
    <x v="0"/>
    <d v="2023-08-21T00:00:00"/>
  </r>
  <r>
    <s v="TXN_2814866"/>
    <x v="4"/>
    <n v="1"/>
    <n v="4"/>
    <n v="4"/>
    <x v="3"/>
    <x v="1"/>
    <d v="2023-07-29T00:00:00"/>
  </r>
  <r>
    <s v="TXN_8454044"/>
    <x v="0"/>
    <n v="5"/>
    <n v="2"/>
    <n v="10"/>
    <x v="0"/>
    <x v="2"/>
    <d v="2023-05-27T00:00:00"/>
  </r>
  <r>
    <s v="TXN_8321092"/>
    <x v="5"/>
    <n v="2"/>
    <n v="3"/>
    <n v="6"/>
    <x v="0"/>
    <x v="2"/>
    <d v="2023-09-28T00:00:00"/>
  </r>
  <r>
    <s v="TXN_2560137"/>
    <x v="1"/>
    <n v="1"/>
    <n v="3"/>
    <n v="3"/>
    <x v="1"/>
    <x v="0"/>
    <d v="2023-10-13T00:00:00"/>
  </r>
  <r>
    <s v="TXN_7350571"/>
    <x v="4"/>
    <n v="1"/>
    <n v="4"/>
    <n v="4"/>
    <x v="0"/>
    <x v="1"/>
    <d v="2023-02-19T00:00:00"/>
  </r>
  <r>
    <s v="TXN_3915802"/>
    <x v="0"/>
    <n v="3"/>
    <n v="2"/>
    <n v="6"/>
    <x v="1"/>
    <x v="0"/>
    <d v="2023-12-16T00:00:00"/>
  </r>
  <r>
    <s v="TXN_5019143"/>
    <x v="0"/>
    <n v="5"/>
    <n v="2"/>
    <n v="10"/>
    <x v="1"/>
    <x v="2"/>
    <d v="2023-02-21T00:00:00"/>
  </r>
  <r>
    <s v="TXN_1785371"/>
    <x v="0"/>
    <n v="1"/>
    <n v="2"/>
    <n v="2"/>
    <x v="2"/>
    <x v="0"/>
    <d v="2023-01-16T00:00:00"/>
  </r>
  <r>
    <s v="TXN_6441650"/>
    <x v="1"/>
    <n v="5"/>
    <n v="3"/>
    <n v="15"/>
    <x v="2"/>
    <x v="0"/>
    <d v="2023-09-06T00:00:00"/>
  </r>
  <r>
    <s v="TXN_2493262"/>
    <x v="2"/>
    <n v="2"/>
    <n v="1"/>
    <n v="2"/>
    <x v="0"/>
    <x v="0"/>
    <d v="2023-01-03T00:00:00"/>
  </r>
  <r>
    <s v="TXN_3257591"/>
    <x v="6"/>
    <n v="1"/>
    <n v="4"/>
    <n v="4"/>
    <x v="0"/>
    <x v="1"/>
    <m/>
  </r>
  <r>
    <s v="TXN_6038791"/>
    <x v="7"/>
    <n v="2"/>
    <n v="3"/>
    <n v="6"/>
    <x v="3"/>
    <x v="1"/>
    <d v="2023-03-06T00:00:00"/>
  </r>
  <r>
    <s v="TXN_1335337"/>
    <x v="8"/>
    <n v="3"/>
    <n v="1.5"/>
    <n v="4.5"/>
    <x v="0"/>
    <x v="1"/>
    <d v="2023-09-06T00:00:00"/>
  </r>
  <r>
    <s v="TXN_2275914"/>
    <x v="6"/>
    <n v="2"/>
    <n v="4"/>
    <n v="8"/>
    <x v="2"/>
    <x v="0"/>
    <d v="2023-10-24T00:00:00"/>
  </r>
  <r>
    <s v="TXN_6258276"/>
    <x v="6"/>
    <n v="5"/>
    <n v="4"/>
    <n v="20"/>
    <x v="0"/>
    <x v="2"/>
    <d v="2023-01-29T00:00:00"/>
  </r>
  <r>
    <s v="TXN_2340312"/>
    <x v="1"/>
    <n v="4"/>
    <n v="3"/>
    <n v="12"/>
    <x v="2"/>
    <x v="0"/>
    <d v="2023-07-30T00:00:00"/>
  </r>
  <r>
    <s v="TXN_6066433"/>
    <x v="8"/>
    <n v="2"/>
    <n v="1.5"/>
    <n v="3"/>
    <x v="1"/>
    <x v="2"/>
    <d v="2023-06-17T00:00:00"/>
  </r>
  <r>
    <s v="TXN_1872922"/>
    <x v="6"/>
    <n v="5"/>
    <n v="4"/>
    <n v="20"/>
    <x v="2"/>
    <x v="1"/>
    <d v="2023-07-16T00:00:00"/>
  </r>
  <r>
    <s v="TXN_7730388"/>
    <x v="2"/>
    <n v="5"/>
    <n v="1"/>
    <n v="5"/>
    <x v="3"/>
    <x v="1"/>
    <d v="2023-09-09T00:00:00"/>
  </r>
  <r>
    <s v="TXN_3330377"/>
    <x v="5"/>
    <n v="5"/>
    <n v="2"/>
    <n v="10"/>
    <x v="2"/>
    <x v="2"/>
    <d v="2023-05-08T00:00:00"/>
  </r>
  <r>
    <s v="TXN_3147198"/>
    <x v="4"/>
    <n v="2"/>
    <n v="4"/>
    <n v="8"/>
    <x v="3"/>
    <x v="2"/>
    <d v="2023-02-04T00:00:00"/>
  </r>
  <r>
    <s v="TXN_6363897"/>
    <x v="3"/>
    <n v="5"/>
    <n v="5"/>
    <n v="25"/>
    <x v="0"/>
    <x v="0"/>
    <d v="2023-11-26T00:00:00"/>
  </r>
  <r>
    <s v="TXN_1893222"/>
    <x v="4"/>
    <n v="5"/>
    <n v="4"/>
    <n v="20"/>
    <x v="0"/>
    <x v="1"/>
    <d v="2023-12-20T00:00:00"/>
  </r>
  <r>
    <s v="TXN_9262803"/>
    <x v="7"/>
    <n v="5"/>
    <n v="3"/>
    <n v="15"/>
    <x v="3"/>
    <x v="2"/>
    <d v="2023-10-04T00:00:00"/>
  </r>
  <r>
    <s v="TXN_9491912"/>
    <x v="8"/>
    <n v="4"/>
    <n v="1.5"/>
    <n v="6"/>
    <x v="1"/>
    <x v="1"/>
    <m/>
  </r>
  <r>
    <s v="TXN_6992164"/>
    <x v="6"/>
    <n v="2"/>
    <n v="4"/>
    <n v="8"/>
    <x v="1"/>
    <x v="0"/>
    <m/>
  </r>
  <r>
    <s v="TXN_6577035"/>
    <x v="4"/>
    <n v="2"/>
    <n v="4"/>
    <n v="8"/>
    <x v="2"/>
    <x v="1"/>
    <d v="2023-05-20T00:00:00"/>
  </r>
  <r>
    <s v="TXN_9970966"/>
    <x v="0"/>
    <n v="5"/>
    <n v="2"/>
    <n v="10"/>
    <x v="2"/>
    <x v="1"/>
    <d v="2023-09-09T00:00:00"/>
  </r>
  <r>
    <s v="TXN_5624179"/>
    <x v="2"/>
    <n v="1"/>
    <n v="1"/>
    <n v="1"/>
    <x v="1"/>
    <x v="0"/>
    <d v="2023-10-26T00:00:00"/>
  </r>
  <r>
    <s v="TXN_3450160"/>
    <x v="1"/>
    <n v="4"/>
    <n v="3"/>
    <n v="12"/>
    <x v="0"/>
    <x v="1"/>
    <d v="2023-10-23T00:00:00"/>
  </r>
  <r>
    <s v="TXN_4075432"/>
    <x v="6"/>
    <n v="5"/>
    <n v="4"/>
    <n v="20"/>
    <x v="1"/>
    <x v="1"/>
    <d v="2023-09-12T00:00:00"/>
  </r>
  <r>
    <s v="TXN_2023802"/>
    <x v="1"/>
    <n v="2"/>
    <n v="3"/>
    <n v="6"/>
    <x v="1"/>
    <x v="1"/>
    <d v="2023-02-28T00:00:00"/>
  </r>
  <r>
    <s v="TXN_5130399"/>
    <x v="2"/>
    <n v="3"/>
    <n v="1"/>
    <n v="3"/>
    <x v="2"/>
    <x v="2"/>
    <d v="2023-10-21T00:00:00"/>
  </r>
  <r>
    <s v="TXN_6745832"/>
    <x v="0"/>
    <n v="2"/>
    <n v="2"/>
    <n v="4"/>
    <x v="0"/>
    <x v="2"/>
    <d v="2023-10-02T00:00:00"/>
  </r>
  <r>
    <s v="TXN_7560989"/>
    <x v="6"/>
    <n v="3"/>
    <n v="4"/>
    <n v="12"/>
    <x v="3"/>
    <x v="2"/>
    <d v="2023-06-16T00:00:00"/>
  </r>
  <r>
    <s v="TXN_9367492"/>
    <x v="8"/>
    <n v="2"/>
    <n v="1.5"/>
    <n v="3"/>
    <x v="1"/>
    <x v="1"/>
    <d v="2023-06-19T00:00:00"/>
  </r>
  <r>
    <s v="TXN_3115258"/>
    <x v="3"/>
    <n v="1"/>
    <n v="5"/>
    <n v="5"/>
    <x v="2"/>
    <x v="0"/>
    <d v="2023-12-06T00:00:00"/>
  </r>
  <r>
    <s v="TXN_8182245"/>
    <x v="6"/>
    <n v="5"/>
    <n v="4"/>
    <n v="20"/>
    <x v="3"/>
    <x v="0"/>
    <d v="2023-10-24T00:00:00"/>
  </r>
  <r>
    <s v="TXN_3970335"/>
    <x v="7"/>
    <n v="5"/>
    <n v="3"/>
    <n v="15"/>
    <x v="3"/>
    <x v="0"/>
    <d v="2023-09-01T00:00:00"/>
  </r>
  <r>
    <s v="TXN_6376630"/>
    <x v="5"/>
    <n v="2"/>
    <n v="3"/>
    <n v="6"/>
    <x v="1"/>
    <x v="1"/>
    <d v="2023-01-24T00:00:00"/>
  </r>
  <r>
    <s v="TXN_7100596"/>
    <x v="4"/>
    <n v="5"/>
    <n v="4"/>
    <n v="20"/>
    <x v="0"/>
    <x v="1"/>
    <d v="2023-09-14T00:00:00"/>
  </r>
  <r>
    <s v="TXN_1481116"/>
    <x v="8"/>
    <n v="2"/>
    <n v="1.5"/>
    <n v="3"/>
    <x v="3"/>
    <x v="1"/>
    <d v="2023-02-26T00:00:00"/>
  </r>
  <r>
    <s v="TXN_9454212"/>
    <x v="7"/>
    <n v="5"/>
    <n v="3"/>
    <n v="15"/>
    <x v="1"/>
    <x v="1"/>
    <d v="2023-11-19T00:00:00"/>
  </r>
  <r>
    <s v="TXN_3648327"/>
    <x v="1"/>
    <n v="1"/>
    <n v="3"/>
    <n v="3"/>
    <x v="3"/>
    <x v="0"/>
    <d v="2023-08-17T00:00:00"/>
  </r>
  <r>
    <s v="TXN_6188394"/>
    <x v="7"/>
    <n v="5"/>
    <n v="3"/>
    <n v="15"/>
    <x v="0"/>
    <x v="1"/>
    <d v="2023-10-05T00:00:00"/>
  </r>
  <r>
    <s v="TXN_2553803"/>
    <x v="7"/>
    <n v="1"/>
    <n v="3"/>
    <n v="3"/>
    <x v="1"/>
    <x v="1"/>
    <d v="2023-12-29T00:00:00"/>
  </r>
  <r>
    <s v="TXN_5700545"/>
    <x v="3"/>
    <n v="2"/>
    <n v="5"/>
    <n v="10"/>
    <x v="0"/>
    <x v="2"/>
    <d v="2023-05-25T00:00:00"/>
  </r>
  <r>
    <s v="TXN_8018479"/>
    <x v="8"/>
    <n v="1"/>
    <n v="1.5"/>
    <n v="1.5"/>
    <x v="3"/>
    <x v="0"/>
    <d v="2023-09-15T00:00:00"/>
  </r>
  <r>
    <s v="TXN_9465300"/>
    <x v="8"/>
    <n v="2"/>
    <n v="1.5"/>
    <n v="3"/>
    <x v="0"/>
    <x v="2"/>
    <d v="2023-09-01T00:00:00"/>
  </r>
  <r>
    <s v="TXN_3046108"/>
    <x v="8"/>
    <n v="5"/>
    <n v="1.5"/>
    <n v="7.5"/>
    <x v="3"/>
    <x v="0"/>
    <d v="2023-01-15T00:00:00"/>
  </r>
  <r>
    <s v="TXN_5998419"/>
    <x v="7"/>
    <n v="4"/>
    <n v="3"/>
    <n v="12"/>
    <x v="2"/>
    <x v="0"/>
    <d v="2023-09-26T00:00:00"/>
  </r>
  <r>
    <s v="TXN_4454198"/>
    <x v="8"/>
    <n v="1"/>
    <n v="1.5"/>
    <n v="1.5"/>
    <x v="3"/>
    <x v="1"/>
    <d v="2023-08-22T00:00:00"/>
  </r>
  <r>
    <s v="TXN_5855756"/>
    <x v="6"/>
    <n v="1"/>
    <n v="4"/>
    <n v="4"/>
    <x v="0"/>
    <x v="1"/>
    <d v="2023-08-29T00:00:00"/>
  </r>
  <r>
    <s v="TXN_5182399"/>
    <x v="5"/>
    <n v="3"/>
    <n v="2"/>
    <n v="6"/>
    <x v="3"/>
    <x v="0"/>
    <d v="2023-09-08T00:00:00"/>
  </r>
  <r>
    <s v="TXN_6758675"/>
    <x v="7"/>
    <n v="1"/>
    <n v="3"/>
    <n v="3"/>
    <x v="0"/>
    <x v="1"/>
    <d v="2023-11-05T00:00:00"/>
  </r>
  <r>
    <s v="TXN_1962275"/>
    <x v="0"/>
    <n v="5"/>
    <n v="2"/>
    <n v="10"/>
    <x v="0"/>
    <x v="0"/>
    <d v="2023-05-26T00:00:00"/>
  </r>
  <r>
    <s v="TXN_9530003"/>
    <x v="3"/>
    <n v="1"/>
    <n v="5"/>
    <n v="5"/>
    <x v="3"/>
    <x v="2"/>
    <d v="2023-08-24T00:00:00"/>
  </r>
  <r>
    <s v="TXN_2347596"/>
    <x v="7"/>
    <n v="4"/>
    <n v="3"/>
    <n v="12"/>
    <x v="0"/>
    <x v="2"/>
    <d v="2023-12-27T00:00:00"/>
  </r>
  <r>
    <s v="TXN_6215303"/>
    <x v="3"/>
    <n v="4"/>
    <n v="5"/>
    <n v="20"/>
    <x v="2"/>
    <x v="0"/>
    <d v="2023-08-20T00:00:00"/>
  </r>
  <r>
    <s v="TXN_5524352"/>
    <x v="6"/>
    <n v="1"/>
    <n v="4"/>
    <n v="4"/>
    <x v="2"/>
    <x v="2"/>
    <d v="2023-01-05T00:00:00"/>
  </r>
  <r>
    <s v="TXN_6668414"/>
    <x v="1"/>
    <n v="1"/>
    <n v="3"/>
    <n v="3"/>
    <x v="2"/>
    <x v="1"/>
    <d v="2023-12-29T00:00:00"/>
  </r>
  <r>
    <s v="TXN_8715122"/>
    <x v="1"/>
    <n v="2"/>
    <n v="3"/>
    <n v="6"/>
    <x v="1"/>
    <x v="0"/>
    <m/>
  </r>
  <r>
    <s v="TXN_1525046"/>
    <x v="4"/>
    <n v="2"/>
    <n v="4"/>
    <n v="8"/>
    <x v="1"/>
    <x v="2"/>
    <d v="2023-12-02T00:00:00"/>
  </r>
  <r>
    <s v="TXN_9867948"/>
    <x v="4"/>
    <n v="2"/>
    <n v="4"/>
    <n v="8"/>
    <x v="3"/>
    <x v="2"/>
    <d v="2023-10-07T00:00:00"/>
  </r>
  <r>
    <s v="TXN_8512466"/>
    <x v="5"/>
    <n v="5"/>
    <n v="3"/>
    <n v="15"/>
    <x v="2"/>
    <x v="2"/>
    <d v="2023-02-10T00:00:00"/>
  </r>
  <r>
    <s v="TXN_9663990"/>
    <x v="7"/>
    <n v="1"/>
    <n v="3"/>
    <n v="3"/>
    <x v="2"/>
    <x v="2"/>
    <d v="2023-01-06T00:00:00"/>
  </r>
  <r>
    <s v="TXN_7681072"/>
    <x v="2"/>
    <n v="1"/>
    <n v="1"/>
    <n v="1"/>
    <x v="0"/>
    <x v="0"/>
    <d v="2023-07-07T00:00:00"/>
  </r>
  <r>
    <s v="TXN_3099191"/>
    <x v="3"/>
    <n v="2"/>
    <n v="5"/>
    <n v="10"/>
    <x v="2"/>
    <x v="2"/>
    <d v="2023-05-19T00:00:00"/>
  </r>
  <r>
    <s v="TXN_8789986"/>
    <x v="1"/>
    <n v="2"/>
    <n v="3"/>
    <n v="6"/>
    <x v="1"/>
    <x v="0"/>
    <d v="2023-09-21T00:00:00"/>
  </r>
  <r>
    <s v="TXN_8382825"/>
    <x v="0"/>
    <n v="5"/>
    <n v="2"/>
    <n v="10"/>
    <x v="1"/>
    <x v="1"/>
    <d v="2023-01-20T00:00:00"/>
  </r>
  <r>
    <s v="TXN_4486700"/>
    <x v="1"/>
    <n v="2"/>
    <n v="3"/>
    <n v="6"/>
    <x v="3"/>
    <x v="0"/>
    <d v="2023-02-08T00:00:00"/>
  </r>
  <r>
    <s v="TXN_2668108"/>
    <x v="2"/>
    <n v="5"/>
    <n v="1"/>
    <n v="5"/>
    <x v="1"/>
    <x v="2"/>
    <d v="2023-09-23T00:00:00"/>
  </r>
  <r>
    <s v="TXN_5085328"/>
    <x v="0"/>
    <n v="4"/>
    <n v="2"/>
    <n v="8"/>
    <x v="3"/>
    <x v="0"/>
    <d v="2023-02-03T00:00:00"/>
  </r>
  <r>
    <s v="TXN_6023823"/>
    <x v="2"/>
    <n v="2"/>
    <n v="1"/>
    <n v="2"/>
    <x v="3"/>
    <x v="2"/>
    <d v="2023-04-20T00:00:00"/>
  </r>
  <r>
    <s v="TXN_6541659"/>
    <x v="6"/>
    <n v="3"/>
    <n v="4"/>
    <n v="12"/>
    <x v="2"/>
    <x v="0"/>
    <d v="2023-01-29T00:00:00"/>
  </r>
  <r>
    <s v="TXN_3203928"/>
    <x v="0"/>
    <n v="3"/>
    <n v="2"/>
    <n v="6"/>
    <x v="2"/>
    <x v="1"/>
    <d v="2023-12-04T00:00:00"/>
  </r>
  <r>
    <s v="TXN_3443235"/>
    <x v="6"/>
    <n v="5"/>
    <n v="4"/>
    <n v="20"/>
    <x v="2"/>
    <x v="2"/>
    <d v="2023-10-11T00:00:00"/>
  </r>
  <r>
    <s v="TXN_6191769"/>
    <x v="3"/>
    <n v="1"/>
    <n v="5"/>
    <n v="5"/>
    <x v="0"/>
    <x v="0"/>
    <d v="2023-05-17T00:00:00"/>
  </r>
  <r>
    <s v="TXN_6110386"/>
    <x v="4"/>
    <n v="1"/>
    <n v="4"/>
    <n v="4"/>
    <x v="1"/>
    <x v="1"/>
    <d v="2023-03-17T00:00:00"/>
  </r>
  <r>
    <s v="TXN_7355635"/>
    <x v="7"/>
    <n v="3"/>
    <n v="3"/>
    <n v="9"/>
    <x v="2"/>
    <x v="1"/>
    <d v="2023-12-21T00:00:00"/>
  </r>
  <r>
    <s v="TXN_2944518"/>
    <x v="5"/>
    <n v="3"/>
    <n v="3"/>
    <n v="9"/>
    <x v="2"/>
    <x v="0"/>
    <d v="2023-09-14T00:00:00"/>
  </r>
  <r>
    <s v="TXN_9169536"/>
    <x v="1"/>
    <n v="5"/>
    <n v="3"/>
    <n v="15"/>
    <x v="1"/>
    <x v="1"/>
    <d v="2023-06-10T00:00:00"/>
  </r>
  <r>
    <s v="TXN_8257774"/>
    <x v="2"/>
    <n v="5"/>
    <n v="1"/>
    <n v="5"/>
    <x v="1"/>
    <x v="0"/>
    <d v="2023-03-04T00:00:00"/>
  </r>
  <r>
    <s v="TXN_3873718"/>
    <x v="5"/>
    <n v="1"/>
    <n v="5"/>
    <n v="5"/>
    <x v="1"/>
    <x v="1"/>
    <d v="2023-03-07T00:00:00"/>
  </r>
  <r>
    <s v="TXN_8767676"/>
    <x v="4"/>
    <n v="1"/>
    <n v="4"/>
    <n v="4"/>
    <x v="2"/>
    <x v="2"/>
    <d v="2023-11-30T00:00:00"/>
  </r>
  <r>
    <s v="TXN_1225638"/>
    <x v="1"/>
    <n v="4"/>
    <n v="3"/>
    <n v="12"/>
    <x v="1"/>
    <x v="0"/>
    <d v="2023-05-28T00:00:00"/>
  </r>
  <r>
    <s v="TXN_5050111"/>
    <x v="5"/>
    <n v="3"/>
    <n v="5"/>
    <n v="15"/>
    <x v="1"/>
    <x v="1"/>
    <d v="2023-06-13T00:00:00"/>
  </r>
  <r>
    <s v="TXN_5508620"/>
    <x v="6"/>
    <n v="2"/>
    <n v="4"/>
    <n v="8"/>
    <x v="1"/>
    <x v="1"/>
    <d v="2023-08-26T00:00:00"/>
  </r>
  <r>
    <s v="TXN_7864080"/>
    <x v="8"/>
    <n v="5"/>
    <n v="1.5"/>
    <n v="7.5"/>
    <x v="0"/>
    <x v="0"/>
    <d v="2023-11-12T00:00:00"/>
  </r>
  <r>
    <s v="TXN_6066883"/>
    <x v="1"/>
    <n v="2"/>
    <n v="3"/>
    <n v="6"/>
    <x v="0"/>
    <x v="2"/>
    <d v="2023-12-21T00:00:00"/>
  </r>
  <r>
    <s v="TXN_6034785"/>
    <x v="0"/>
    <n v="3"/>
    <n v="2"/>
    <n v="6"/>
    <x v="3"/>
    <x v="2"/>
    <d v="2023-06-17T00:00:00"/>
  </r>
  <r>
    <s v="TXN_7818024"/>
    <x v="1"/>
    <n v="3"/>
    <n v="3"/>
    <n v="9"/>
    <x v="2"/>
    <x v="2"/>
    <d v="2023-08-16T00:00:00"/>
  </r>
  <r>
    <s v="TXN_2463115"/>
    <x v="6"/>
    <n v="5"/>
    <n v="4"/>
    <n v="20"/>
    <x v="0"/>
    <x v="0"/>
    <d v="2023-09-12T00:00:00"/>
  </r>
  <r>
    <s v="TXN_9948425"/>
    <x v="1"/>
    <n v="3"/>
    <n v="3"/>
    <n v="9"/>
    <x v="2"/>
    <x v="0"/>
    <d v="2023-11-21T00:00:00"/>
  </r>
  <r>
    <s v="TXN_2540440"/>
    <x v="5"/>
    <n v="2"/>
    <n v="1.5"/>
    <n v="3"/>
    <x v="3"/>
    <x v="2"/>
    <d v="2023-12-30T00:00:00"/>
  </r>
  <r>
    <s v="TXN_2006923"/>
    <x v="3"/>
    <n v="5"/>
    <n v="5"/>
    <n v="25"/>
    <x v="3"/>
    <x v="2"/>
    <d v="2023-05-31T00:00:00"/>
  </r>
  <r>
    <s v="TXN_6762172"/>
    <x v="0"/>
    <n v="5"/>
    <n v="2"/>
    <n v="10"/>
    <x v="1"/>
    <x v="0"/>
    <d v="2023-01-19T00:00:00"/>
  </r>
  <r>
    <s v="TXN_6638051"/>
    <x v="4"/>
    <n v="2"/>
    <n v="4"/>
    <n v="8"/>
    <x v="1"/>
    <x v="2"/>
    <d v="2023-11-05T00:00:00"/>
  </r>
  <r>
    <s v="TXN_9834329"/>
    <x v="4"/>
    <n v="1"/>
    <n v="4"/>
    <n v="4"/>
    <x v="1"/>
    <x v="2"/>
    <d v="2023-09-17T00:00:00"/>
  </r>
  <r>
    <s v="TXN_9172616"/>
    <x v="5"/>
    <n v="4"/>
    <n v="2"/>
    <n v="8"/>
    <x v="2"/>
    <x v="0"/>
    <d v="2023-11-21T00:00:00"/>
  </r>
  <r>
    <s v="TXN_8867300"/>
    <x v="4"/>
    <n v="4"/>
    <n v="4"/>
    <n v="16"/>
    <x v="2"/>
    <x v="1"/>
    <d v="2023-05-06T00:00:00"/>
  </r>
  <r>
    <s v="TXN_6987950"/>
    <x v="1"/>
    <n v="4"/>
    <n v="3"/>
    <n v="12"/>
    <x v="0"/>
    <x v="2"/>
    <d v="2023-05-04T00:00:00"/>
  </r>
  <r>
    <s v="TXN_9967728"/>
    <x v="0"/>
    <n v="4"/>
    <n v="2"/>
    <n v="8"/>
    <x v="2"/>
    <x v="2"/>
    <d v="2023-01-30T00:00:00"/>
  </r>
  <r>
    <s v="TXN_5591967"/>
    <x v="6"/>
    <n v="1"/>
    <n v="4"/>
    <n v="4"/>
    <x v="0"/>
    <x v="0"/>
    <d v="2023-04-08T00:00:00"/>
  </r>
  <r>
    <s v="TXN_5861158"/>
    <x v="6"/>
    <n v="3"/>
    <n v="4"/>
    <n v="12"/>
    <x v="0"/>
    <x v="0"/>
    <d v="2023-11-21T00:00:00"/>
  </r>
  <r>
    <s v="TXN_7501002"/>
    <x v="0"/>
    <n v="1"/>
    <n v="2"/>
    <n v="2"/>
    <x v="3"/>
    <x v="2"/>
    <d v="2023-08-23T00:00:00"/>
  </r>
  <r>
    <s v="TXN_2848654"/>
    <x v="4"/>
    <n v="5"/>
    <n v="4"/>
    <n v="20"/>
    <x v="3"/>
    <x v="1"/>
    <d v="2023-03-15T00:00:00"/>
  </r>
  <r>
    <s v="TXN_2406254"/>
    <x v="5"/>
    <n v="5"/>
    <n v="3"/>
    <n v="15"/>
    <x v="2"/>
    <x v="0"/>
    <d v="2023-11-12T00:00:00"/>
  </r>
  <r>
    <s v="TXN_3034652"/>
    <x v="7"/>
    <n v="5"/>
    <n v="3"/>
    <n v="15"/>
    <x v="0"/>
    <x v="1"/>
    <d v="2023-11-04T00:00:00"/>
  </r>
  <r>
    <s v="TXN_2710779"/>
    <x v="6"/>
    <n v="5"/>
    <n v="4"/>
    <n v="20"/>
    <x v="3"/>
    <x v="1"/>
    <d v="2023-09-30T00:00:00"/>
  </r>
  <r>
    <s v="TXN_2333576"/>
    <x v="8"/>
    <n v="2"/>
    <n v="1.5"/>
    <n v="3"/>
    <x v="3"/>
    <x v="0"/>
    <d v="2023-11-22T00:00:00"/>
  </r>
  <r>
    <s v="TXN_6330369"/>
    <x v="7"/>
    <n v="1"/>
    <n v="3"/>
    <n v="3"/>
    <x v="2"/>
    <x v="2"/>
    <d v="2023-01-25T00:00:00"/>
  </r>
  <r>
    <s v="TXN_7852032"/>
    <x v="6"/>
    <n v="1"/>
    <n v="4"/>
    <n v="4"/>
    <x v="1"/>
    <x v="2"/>
    <d v="2023-03-19T00:00:00"/>
  </r>
  <r>
    <s v="TXN_7189368"/>
    <x v="6"/>
    <n v="2"/>
    <n v="4"/>
    <n v="8"/>
    <x v="0"/>
    <x v="2"/>
    <d v="2023-01-22T00:00:00"/>
  </r>
  <r>
    <s v="TXN_6306655"/>
    <x v="5"/>
    <n v="4"/>
    <n v="1"/>
    <n v="4"/>
    <x v="3"/>
    <x v="0"/>
    <d v="2023-01-22T00:00:00"/>
  </r>
  <r>
    <s v="TXN_7169320"/>
    <x v="0"/>
    <n v="3"/>
    <n v="2"/>
    <n v="6"/>
    <x v="0"/>
    <x v="2"/>
    <m/>
  </r>
  <r>
    <s v="TXN_6607568"/>
    <x v="0"/>
    <n v="2"/>
    <n v="2"/>
    <n v="4"/>
    <x v="1"/>
    <x v="1"/>
    <d v="2023-03-24T00:00:00"/>
  </r>
  <r>
    <s v="TXN_8245906"/>
    <x v="1"/>
    <n v="1"/>
    <n v="3"/>
    <n v="3"/>
    <x v="3"/>
    <x v="2"/>
    <d v="2023-02-08T00:00:00"/>
  </r>
  <r>
    <s v="TXN_9837568"/>
    <x v="3"/>
    <n v="5"/>
    <n v="5"/>
    <n v="25"/>
    <x v="1"/>
    <x v="1"/>
    <d v="2023-04-17T00:00:00"/>
  </r>
  <r>
    <s v="TXN_9603263"/>
    <x v="2"/>
    <n v="5"/>
    <n v="1"/>
    <n v="5"/>
    <x v="1"/>
    <x v="2"/>
    <d v="2023-05-02T00:00:00"/>
  </r>
  <r>
    <s v="TXN_9425610"/>
    <x v="6"/>
    <n v="3"/>
    <n v="4"/>
    <n v="12"/>
    <x v="1"/>
    <x v="1"/>
    <d v="2023-01-08T00:00:00"/>
  </r>
  <r>
    <s v="TXN_8092496"/>
    <x v="7"/>
    <n v="4"/>
    <n v="3"/>
    <n v="12"/>
    <x v="2"/>
    <x v="1"/>
    <d v="2023-03-11T00:00:00"/>
  </r>
  <r>
    <s v="TXN_3611851"/>
    <x v="5"/>
    <n v="4"/>
    <m/>
    <m/>
    <x v="0"/>
    <x v="2"/>
    <d v="2023-02-09T00:00:00"/>
  </r>
  <r>
    <s v="TXN_9749333"/>
    <x v="2"/>
    <n v="5"/>
    <n v="1"/>
    <n v="5"/>
    <x v="1"/>
    <x v="1"/>
    <d v="2023-02-27T00:00:00"/>
  </r>
  <r>
    <s v="TXN_2771364"/>
    <x v="0"/>
    <n v="1"/>
    <n v="2"/>
    <n v="2"/>
    <x v="3"/>
    <x v="2"/>
    <d v="2023-01-23T00:00:00"/>
  </r>
  <r>
    <s v="TXN_5180326"/>
    <x v="7"/>
    <n v="4"/>
    <n v="3"/>
    <n v="12"/>
    <x v="2"/>
    <x v="2"/>
    <d v="2023-04-26T00:00:00"/>
  </r>
  <r>
    <s v="TXN_7376092"/>
    <x v="2"/>
    <n v="4"/>
    <n v="1"/>
    <n v="4"/>
    <x v="1"/>
    <x v="1"/>
    <d v="2023-11-07T00:00:00"/>
  </r>
  <r>
    <s v="TXN_9279347"/>
    <x v="6"/>
    <n v="5"/>
    <n v="4"/>
    <n v="20"/>
    <x v="0"/>
    <x v="2"/>
    <d v="2023-02-27T00:00:00"/>
  </r>
  <r>
    <s v="TXN_8278982"/>
    <x v="4"/>
    <n v="5"/>
    <n v="4"/>
    <n v="20"/>
    <x v="0"/>
    <x v="0"/>
    <d v="2023-09-06T00:00:00"/>
  </r>
  <r>
    <s v="TXN_7686476"/>
    <x v="0"/>
    <n v="3"/>
    <n v="2"/>
    <n v="6"/>
    <x v="3"/>
    <x v="0"/>
    <d v="2023-01-03T00:00:00"/>
  </r>
  <r>
    <s v="TXN_4283563"/>
    <x v="5"/>
    <n v="2"/>
    <n v="1.5"/>
    <n v="3"/>
    <x v="1"/>
    <x v="2"/>
    <d v="2023-05-04T00:00:00"/>
  </r>
  <r>
    <s v="TXN_1926278"/>
    <x v="2"/>
    <n v="1"/>
    <n v="1"/>
    <n v="1"/>
    <x v="0"/>
    <x v="2"/>
    <d v="2023-07-29T00:00:00"/>
  </r>
  <r>
    <s v="TXN_3981000"/>
    <x v="8"/>
    <n v="1"/>
    <n v="1.5"/>
    <n v="1.5"/>
    <x v="3"/>
    <x v="1"/>
    <d v="2023-05-24T00:00:00"/>
  </r>
  <r>
    <s v="TXN_6167259"/>
    <x v="7"/>
    <n v="2"/>
    <n v="3"/>
    <n v="6"/>
    <x v="3"/>
    <x v="2"/>
    <d v="2023-04-14T00:00:00"/>
  </r>
  <r>
    <s v="TXN_7068653"/>
    <x v="2"/>
    <n v="2"/>
    <n v="1"/>
    <n v="2"/>
    <x v="1"/>
    <x v="1"/>
    <d v="2023-06-05T00:00:00"/>
  </r>
  <r>
    <s v="TXN_1572930"/>
    <x v="0"/>
    <n v="3"/>
    <n v="2"/>
    <n v="6"/>
    <x v="2"/>
    <x v="1"/>
    <d v="2023-07-17T00:00:00"/>
  </r>
  <r>
    <s v="TXN_2788797"/>
    <x v="8"/>
    <n v="2"/>
    <n v="1.5"/>
    <n v="3"/>
    <x v="2"/>
    <x v="2"/>
    <d v="2023-03-23T00:00:00"/>
  </r>
  <r>
    <s v="TXN_4255767"/>
    <x v="7"/>
    <n v="1"/>
    <n v="3"/>
    <n v="3"/>
    <x v="2"/>
    <x v="2"/>
    <d v="2023-05-25T00:00:00"/>
  </r>
  <r>
    <s v="TXN_7367474"/>
    <x v="7"/>
    <n v="5"/>
    <n v="3"/>
    <n v="15"/>
    <x v="3"/>
    <x v="0"/>
    <d v="2023-01-01T00:00:00"/>
  </r>
  <r>
    <s v="TXN_7551097"/>
    <x v="1"/>
    <n v="2"/>
    <n v="3"/>
    <n v="6"/>
    <x v="3"/>
    <x v="2"/>
    <d v="2023-06-12T00:00:00"/>
  </r>
  <r>
    <s v="TXN_1546695"/>
    <x v="0"/>
    <n v="5"/>
    <n v="2"/>
    <n v="10"/>
    <x v="2"/>
    <x v="0"/>
    <d v="2023-03-06T00:00:00"/>
  </r>
  <r>
    <s v="TXN_4030010"/>
    <x v="6"/>
    <n v="5"/>
    <n v="4"/>
    <n v="20"/>
    <x v="2"/>
    <x v="0"/>
    <m/>
  </r>
  <r>
    <s v="TXN_4567455"/>
    <x v="0"/>
    <n v="3"/>
    <n v="2"/>
    <n v="6"/>
    <x v="2"/>
    <x v="1"/>
    <d v="2023-02-01T00:00:00"/>
  </r>
  <r>
    <s v="TXN_7958487"/>
    <x v="2"/>
    <n v="5"/>
    <n v="1"/>
    <n v="5"/>
    <x v="2"/>
    <x v="2"/>
    <d v="2023-01-20T00:00:00"/>
  </r>
  <r>
    <s v="TXN_2864420"/>
    <x v="6"/>
    <n v="1"/>
    <n v="4"/>
    <n v="4"/>
    <x v="2"/>
    <x v="2"/>
    <d v="2023-07-12T00:00:00"/>
  </r>
  <r>
    <s v="TXN_1498343"/>
    <x v="3"/>
    <n v="2"/>
    <n v="5"/>
    <n v="10"/>
    <x v="0"/>
    <x v="0"/>
    <d v="2023-03-31T00:00:00"/>
  </r>
  <r>
    <s v="TXN_3107619"/>
    <x v="2"/>
    <n v="2"/>
    <n v="1"/>
    <n v="2"/>
    <x v="3"/>
    <x v="0"/>
    <d v="2023-05-31T00:00:00"/>
  </r>
  <r>
    <s v="TXN_1923349"/>
    <x v="5"/>
    <n v="4"/>
    <n v="1.5"/>
    <n v="6"/>
    <x v="2"/>
    <x v="2"/>
    <d v="2023-07-06T00:00:00"/>
  </r>
  <r>
    <s v="TXN_7380217"/>
    <x v="8"/>
    <n v="1"/>
    <n v="1.5"/>
    <n v="1.5"/>
    <x v="3"/>
    <x v="2"/>
    <d v="2023-09-10T00:00:00"/>
  </r>
  <r>
    <s v="TXN_3195132"/>
    <x v="3"/>
    <n v="4"/>
    <n v="5"/>
    <n v="20"/>
    <x v="0"/>
    <x v="2"/>
    <d v="2023-08-26T00:00:00"/>
  </r>
  <r>
    <s v="TXN_9001088"/>
    <x v="0"/>
    <n v="2"/>
    <n v="2"/>
    <n v="4"/>
    <x v="0"/>
    <x v="2"/>
    <d v="2023-08-19T00:00:00"/>
  </r>
  <r>
    <s v="TXN_2101437"/>
    <x v="5"/>
    <n v="2"/>
    <n v="4"/>
    <n v="8"/>
    <x v="1"/>
    <x v="1"/>
    <d v="2023-08-27T00:00:00"/>
  </r>
  <r>
    <s v="TXN_7411993"/>
    <x v="1"/>
    <n v="2"/>
    <n v="3"/>
    <n v="6"/>
    <x v="3"/>
    <x v="1"/>
    <d v="2023-02-11T00:00:00"/>
  </r>
  <r>
    <s v="TXN_2879092"/>
    <x v="5"/>
    <n v="3"/>
    <n v="1.5"/>
    <n v="4.5"/>
    <x v="1"/>
    <x v="2"/>
    <d v="2023-05-22T00:00:00"/>
  </r>
  <r>
    <s v="TXN_8791641"/>
    <x v="8"/>
    <n v="5"/>
    <n v="1.5"/>
    <n v="7.5"/>
    <x v="2"/>
    <x v="1"/>
    <d v="2023-01-25T00:00:00"/>
  </r>
  <r>
    <s v="TXN_4679593"/>
    <x v="7"/>
    <n v="1"/>
    <n v="3"/>
    <n v="3"/>
    <x v="1"/>
    <x v="1"/>
    <d v="2023-01-10T00:00:00"/>
  </r>
  <r>
    <s v="TXN_1907250"/>
    <x v="2"/>
    <n v="1"/>
    <n v="1"/>
    <n v="1"/>
    <x v="0"/>
    <x v="2"/>
    <d v="2023-11-15T00:00:00"/>
  </r>
  <r>
    <s v="TXN_8504764"/>
    <x v="5"/>
    <n v="2"/>
    <n v="4"/>
    <n v="8"/>
    <x v="3"/>
    <x v="0"/>
    <d v="2023-02-19T00:00:00"/>
  </r>
  <r>
    <s v="TXN_1630051"/>
    <x v="4"/>
    <n v="5"/>
    <n v="4"/>
    <n v="20"/>
    <x v="3"/>
    <x v="0"/>
    <d v="2023-03-17T00:00:00"/>
  </r>
  <r>
    <s v="TXN_2566258"/>
    <x v="2"/>
    <n v="4"/>
    <n v="1"/>
    <n v="4"/>
    <x v="1"/>
    <x v="0"/>
    <d v="2023-06-08T00:00:00"/>
  </r>
  <r>
    <s v="TXN_5785600"/>
    <x v="3"/>
    <n v="5"/>
    <n v="5"/>
    <n v="25"/>
    <x v="1"/>
    <x v="1"/>
    <d v="2023-12-10T00:00:00"/>
  </r>
  <r>
    <s v="TXN_4864206"/>
    <x v="2"/>
    <n v="5"/>
    <n v="1"/>
    <n v="5"/>
    <x v="1"/>
    <x v="1"/>
    <d v="2023-03-18T00:00:00"/>
  </r>
  <r>
    <s v="TXN_4360040"/>
    <x v="3"/>
    <n v="1"/>
    <n v="5"/>
    <n v="5"/>
    <x v="0"/>
    <x v="2"/>
    <d v="2023-11-15T00:00:00"/>
  </r>
  <r>
    <s v="TXN_9490163"/>
    <x v="3"/>
    <n v="4"/>
    <n v="5"/>
    <n v="20"/>
    <x v="0"/>
    <x v="2"/>
    <d v="2023-02-23T00:00:00"/>
  </r>
  <r>
    <s v="TXN_2640727"/>
    <x v="5"/>
    <n v="3"/>
    <n v="3"/>
    <n v="9"/>
    <x v="3"/>
    <x v="0"/>
    <d v="2023-03-05T00:00:00"/>
  </r>
  <r>
    <s v="TXN_9927061"/>
    <x v="2"/>
    <n v="2"/>
    <n v="1"/>
    <n v="2"/>
    <x v="2"/>
    <x v="2"/>
    <d v="2023-10-17T00:00:00"/>
  </r>
  <r>
    <s v="TXN_5113993"/>
    <x v="0"/>
    <n v="1"/>
    <n v="2"/>
    <n v="2"/>
    <x v="0"/>
    <x v="0"/>
    <d v="2023-02-10T00:00:00"/>
  </r>
  <r>
    <s v="TXN_2192787"/>
    <x v="6"/>
    <n v="5"/>
    <n v="4"/>
    <n v="20"/>
    <x v="1"/>
    <x v="1"/>
    <d v="2023-01-01T00:00:00"/>
  </r>
  <r>
    <s v="TXN_2127588"/>
    <x v="1"/>
    <n v="4"/>
    <n v="3"/>
    <n v="12"/>
    <x v="1"/>
    <x v="1"/>
    <d v="2023-07-17T00:00:00"/>
  </r>
  <r>
    <s v="TXN_5284338"/>
    <x v="5"/>
    <n v="4"/>
    <n v="2"/>
    <n v="8"/>
    <x v="1"/>
    <x v="0"/>
    <d v="2023-03-30T00:00:00"/>
  </r>
  <r>
    <s v="TXN_8108748"/>
    <x v="6"/>
    <n v="1"/>
    <n v="4"/>
    <n v="4"/>
    <x v="1"/>
    <x v="2"/>
    <d v="2023-06-19T00:00:00"/>
  </r>
  <r>
    <s v="TXN_5538713"/>
    <x v="2"/>
    <n v="2"/>
    <n v="1"/>
    <n v="2"/>
    <x v="3"/>
    <x v="0"/>
    <d v="2023-09-20T00:00:00"/>
  </r>
  <r>
    <s v="TXN_5949811"/>
    <x v="8"/>
    <n v="2"/>
    <n v="1.5"/>
    <n v="3"/>
    <x v="3"/>
    <x v="1"/>
    <d v="2023-02-21T00:00:00"/>
  </r>
  <r>
    <s v="TXN_2565449"/>
    <x v="4"/>
    <n v="3"/>
    <n v="4"/>
    <n v="12"/>
    <x v="0"/>
    <x v="1"/>
    <d v="2023-10-04T00:00:00"/>
  </r>
  <r>
    <s v="TXN_7264039"/>
    <x v="1"/>
    <n v="5"/>
    <n v="3"/>
    <n v="15"/>
    <x v="1"/>
    <x v="2"/>
    <d v="2023-09-19T00:00:00"/>
  </r>
  <r>
    <s v="TXN_9224501"/>
    <x v="3"/>
    <n v="5"/>
    <n v="5"/>
    <n v="25"/>
    <x v="0"/>
    <x v="1"/>
    <d v="2023-12-08T00:00:00"/>
  </r>
  <r>
    <s v="TXN_5767393"/>
    <x v="4"/>
    <n v="3"/>
    <n v="4"/>
    <n v="12"/>
    <x v="3"/>
    <x v="1"/>
    <d v="2023-09-11T00:00:00"/>
  </r>
  <r>
    <s v="TXN_2628024"/>
    <x v="4"/>
    <n v="1"/>
    <n v="4"/>
    <n v="4"/>
    <x v="2"/>
    <x v="1"/>
    <d v="2023-05-02T00:00:00"/>
  </r>
  <r>
    <s v="TXN_4638629"/>
    <x v="4"/>
    <n v="4"/>
    <n v="4"/>
    <n v="16"/>
    <x v="0"/>
    <x v="2"/>
    <d v="2023-02-10T00:00:00"/>
  </r>
  <r>
    <s v="TXN_9287133"/>
    <x v="1"/>
    <n v="5"/>
    <n v="3"/>
    <n v="15"/>
    <x v="3"/>
    <x v="1"/>
    <d v="2023-04-20T00:00:00"/>
  </r>
  <r>
    <s v="TXN_6223786"/>
    <x v="1"/>
    <n v="5"/>
    <n v="3"/>
    <n v="15"/>
    <x v="1"/>
    <x v="2"/>
    <d v="2023-07-05T00:00:00"/>
  </r>
  <r>
    <s v="TXN_5460750"/>
    <x v="7"/>
    <n v="3"/>
    <n v="3"/>
    <n v="9"/>
    <x v="0"/>
    <x v="2"/>
    <d v="2023-07-31T00:00:00"/>
  </r>
  <r>
    <s v="TXN_6792445"/>
    <x v="1"/>
    <n v="3"/>
    <n v="3"/>
    <n v="9"/>
    <x v="1"/>
    <x v="2"/>
    <d v="2023-12-03T00:00:00"/>
  </r>
  <r>
    <s v="TXN_2543138"/>
    <x v="6"/>
    <n v="1"/>
    <n v="4"/>
    <n v="4"/>
    <x v="0"/>
    <x v="2"/>
    <d v="2023-05-20T00:00:00"/>
  </r>
  <r>
    <s v="TXN_7134064"/>
    <x v="4"/>
    <n v="5"/>
    <n v="4"/>
    <n v="20"/>
    <x v="0"/>
    <x v="0"/>
    <d v="2023-04-04T00:00:00"/>
  </r>
  <r>
    <s v="TXN_8616163"/>
    <x v="4"/>
    <n v="2"/>
    <n v="4"/>
    <n v="8"/>
    <x v="2"/>
    <x v="0"/>
    <m/>
  </r>
  <r>
    <s v="TXN_9201988"/>
    <x v="0"/>
    <n v="3"/>
    <n v="2"/>
    <n v="6"/>
    <x v="2"/>
    <x v="2"/>
    <d v="2023-05-14T00:00:00"/>
  </r>
  <r>
    <s v="TXN_5486063"/>
    <x v="4"/>
    <n v="3"/>
    <n v="4"/>
    <n v="12"/>
    <x v="1"/>
    <x v="1"/>
    <d v="2023-05-21T00:00:00"/>
  </r>
  <r>
    <s v="TXN_2285849"/>
    <x v="8"/>
    <n v="2"/>
    <n v="1.5"/>
    <n v="3"/>
    <x v="0"/>
    <x v="0"/>
    <d v="2023-09-10T00:00:00"/>
  </r>
  <r>
    <s v="TXN_9577271"/>
    <x v="6"/>
    <n v="5"/>
    <n v="4"/>
    <n v="20"/>
    <x v="1"/>
    <x v="1"/>
    <d v="2023-09-30T00:00:00"/>
  </r>
  <r>
    <s v="TXN_6568536"/>
    <x v="1"/>
    <n v="1"/>
    <n v="3"/>
    <n v="3"/>
    <x v="1"/>
    <x v="2"/>
    <d v="2023-12-29T00:00:00"/>
  </r>
  <r>
    <s v="TXN_6802372"/>
    <x v="7"/>
    <n v="3"/>
    <n v="3"/>
    <n v="9"/>
    <x v="2"/>
    <x v="1"/>
    <d v="2023-07-20T00:00:00"/>
  </r>
  <r>
    <s v="TXN_2624121"/>
    <x v="8"/>
    <n v="5"/>
    <n v="1.5"/>
    <n v="7.5"/>
    <x v="3"/>
    <x v="1"/>
    <d v="2023-01-28T00:00:00"/>
  </r>
  <r>
    <s v="TXN_8994477"/>
    <x v="0"/>
    <n v="3"/>
    <n v="2"/>
    <n v="6"/>
    <x v="2"/>
    <x v="1"/>
    <d v="2023-04-19T00:00:00"/>
  </r>
  <r>
    <s v="TXN_7868879"/>
    <x v="6"/>
    <n v="4"/>
    <n v="4"/>
    <n v="16"/>
    <x v="1"/>
    <x v="0"/>
    <d v="2023-05-02T00:00:00"/>
  </r>
  <r>
    <s v="TXN_8321225"/>
    <x v="5"/>
    <n v="4"/>
    <n v="1.5"/>
    <n v="6"/>
    <x v="0"/>
    <x v="0"/>
    <d v="2023-08-20T00:00:00"/>
  </r>
  <r>
    <s v="TXN_1439390"/>
    <x v="7"/>
    <n v="4"/>
    <n v="3"/>
    <n v="12"/>
    <x v="2"/>
    <x v="1"/>
    <d v="2023-02-14T00:00:00"/>
  </r>
  <r>
    <s v="TXN_9373436"/>
    <x v="3"/>
    <n v="4"/>
    <n v="5"/>
    <n v="20"/>
    <x v="3"/>
    <x v="2"/>
    <d v="2023-04-06T00:00:00"/>
  </r>
  <r>
    <s v="TXN_6243519"/>
    <x v="0"/>
    <n v="3"/>
    <n v="2"/>
    <n v="6"/>
    <x v="1"/>
    <x v="0"/>
    <d v="2023-03-03T00:00:00"/>
  </r>
  <r>
    <s v="TXN_8668901"/>
    <x v="7"/>
    <n v="2"/>
    <n v="3"/>
    <n v="6"/>
    <x v="0"/>
    <x v="0"/>
    <d v="2023-06-30T00:00:00"/>
  </r>
  <r>
    <s v="TXN_4903004"/>
    <x v="8"/>
    <n v="4"/>
    <n v="1.5"/>
    <n v="6"/>
    <x v="3"/>
    <x v="1"/>
    <d v="2023-12-03T00:00:00"/>
  </r>
  <r>
    <s v="TXN_2195218"/>
    <x v="1"/>
    <n v="4"/>
    <n v="3"/>
    <n v="12"/>
    <x v="3"/>
    <x v="1"/>
    <d v="2023-09-10T00:00:00"/>
  </r>
  <r>
    <s v="TXN_9678108"/>
    <x v="3"/>
    <n v="3"/>
    <n v="5"/>
    <n v="15"/>
    <x v="2"/>
    <x v="0"/>
    <d v="2023-10-10T00:00:00"/>
  </r>
  <r>
    <s v="TXN_3206876"/>
    <x v="3"/>
    <n v="4"/>
    <n v="5"/>
    <n v="20"/>
    <x v="2"/>
    <x v="1"/>
    <d v="2023-11-07T00:00:00"/>
  </r>
  <r>
    <s v="TXN_3064922"/>
    <x v="5"/>
    <n v="2"/>
    <n v="5"/>
    <n v="10"/>
    <x v="1"/>
    <x v="2"/>
    <d v="2023-11-12T00:00:00"/>
  </r>
  <r>
    <s v="TXN_7362525"/>
    <x v="1"/>
    <n v="5"/>
    <n v="3"/>
    <n v="15"/>
    <x v="1"/>
    <x v="0"/>
    <d v="2023-06-09T00:00:00"/>
  </r>
  <r>
    <s v="TXN_2161341"/>
    <x v="3"/>
    <n v="5"/>
    <n v="5"/>
    <n v="25"/>
    <x v="3"/>
    <x v="2"/>
    <d v="2023-03-12T00:00:00"/>
  </r>
  <r>
    <s v="TXN_8753888"/>
    <x v="2"/>
    <n v="4"/>
    <n v="1"/>
    <n v="4"/>
    <x v="0"/>
    <x v="0"/>
    <d v="2023-12-25T00:00:00"/>
  </r>
  <r>
    <s v="TXN_3265596"/>
    <x v="8"/>
    <n v="1"/>
    <n v="1.5"/>
    <n v="1.5"/>
    <x v="1"/>
    <x v="2"/>
    <d v="2023-12-28T00:00:00"/>
  </r>
  <r>
    <s v="TXN_2815691"/>
    <x v="7"/>
    <n v="5"/>
    <n v="3"/>
    <n v="15"/>
    <x v="3"/>
    <x v="2"/>
    <d v="2023-02-06T00:00:00"/>
  </r>
  <r>
    <s v="TXN_8956534"/>
    <x v="0"/>
    <n v="5"/>
    <n v="2"/>
    <n v="10"/>
    <x v="1"/>
    <x v="0"/>
    <d v="2023-06-05T00:00:00"/>
  </r>
  <r>
    <s v="TXN_7957208"/>
    <x v="8"/>
    <n v="1"/>
    <n v="1.5"/>
    <n v="1.5"/>
    <x v="3"/>
    <x v="0"/>
    <d v="2023-04-14T00:00:00"/>
  </r>
  <r>
    <s v="TXN_6851213"/>
    <x v="7"/>
    <n v="1"/>
    <n v="3"/>
    <n v="3"/>
    <x v="3"/>
    <x v="2"/>
    <d v="2023-05-19T00:00:00"/>
  </r>
  <r>
    <s v="TXN_7127903"/>
    <x v="0"/>
    <n v="5"/>
    <n v="2"/>
    <n v="10"/>
    <x v="2"/>
    <x v="1"/>
    <d v="2023-11-27T00:00:00"/>
  </r>
  <r>
    <s v="TXN_7543722"/>
    <x v="2"/>
    <n v="3"/>
    <n v="1"/>
    <n v="3"/>
    <x v="3"/>
    <x v="2"/>
    <d v="2023-08-26T00:00:00"/>
  </r>
  <r>
    <s v="TXN_7952680"/>
    <x v="5"/>
    <n v="1"/>
    <n v="5"/>
    <n v="5"/>
    <x v="2"/>
    <x v="2"/>
    <d v="2023-06-09T00:00:00"/>
  </r>
  <r>
    <s v="TXN_8556062"/>
    <x v="6"/>
    <n v="5"/>
    <n v="4"/>
    <n v="20"/>
    <x v="2"/>
    <x v="2"/>
    <d v="2023-08-07T00:00:00"/>
  </r>
  <r>
    <s v="TXN_8429412"/>
    <x v="4"/>
    <n v="4"/>
    <n v="4"/>
    <n v="16"/>
    <x v="2"/>
    <x v="2"/>
    <d v="2023-06-23T00:00:00"/>
  </r>
  <r>
    <s v="TXN_3817784"/>
    <x v="3"/>
    <n v="1"/>
    <n v="5"/>
    <n v="5"/>
    <x v="2"/>
    <x v="2"/>
    <d v="2023-11-25T00:00:00"/>
  </r>
  <r>
    <s v="TXN_1749105"/>
    <x v="6"/>
    <n v="5"/>
    <n v="4"/>
    <n v="20"/>
    <x v="1"/>
    <x v="1"/>
    <d v="2023-10-17T00:00:00"/>
  </r>
  <r>
    <s v="TXN_9731530"/>
    <x v="8"/>
    <n v="4"/>
    <n v="1.5"/>
    <n v="6"/>
    <x v="0"/>
    <x v="2"/>
    <d v="2023-06-23T00:00:00"/>
  </r>
  <r>
    <s v="TXN_1248266"/>
    <x v="3"/>
    <n v="3"/>
    <n v="5"/>
    <n v="15"/>
    <x v="0"/>
    <x v="1"/>
    <d v="2023-10-14T00:00:00"/>
  </r>
  <r>
    <s v="TXN_5400273"/>
    <x v="4"/>
    <n v="4"/>
    <n v="4"/>
    <n v="16"/>
    <x v="0"/>
    <x v="2"/>
    <d v="2023-05-24T00:00:00"/>
  </r>
  <r>
    <s v="TXN_2255634"/>
    <x v="3"/>
    <n v="4"/>
    <n v="5"/>
    <n v="20"/>
    <x v="2"/>
    <x v="2"/>
    <d v="2023-04-09T00:00:00"/>
  </r>
  <r>
    <s v="TXN_3312002"/>
    <x v="4"/>
    <n v="4"/>
    <n v="4"/>
    <n v="16"/>
    <x v="3"/>
    <x v="2"/>
    <d v="2023-04-30T00:00:00"/>
  </r>
  <r>
    <s v="TXN_5331122"/>
    <x v="3"/>
    <n v="4"/>
    <n v="5"/>
    <n v="20"/>
    <x v="0"/>
    <x v="1"/>
    <d v="2023-09-26T00:00:00"/>
  </r>
  <r>
    <s v="TXN_1227800"/>
    <x v="7"/>
    <n v="3"/>
    <n v="3"/>
    <n v="9"/>
    <x v="1"/>
    <x v="0"/>
    <d v="2023-02-19T00:00:00"/>
  </r>
  <r>
    <s v="TXN_1867836"/>
    <x v="7"/>
    <n v="1"/>
    <n v="3"/>
    <n v="3"/>
    <x v="0"/>
    <x v="2"/>
    <d v="2023-03-21T00:00:00"/>
  </r>
  <r>
    <s v="TXN_3051509"/>
    <x v="2"/>
    <n v="5"/>
    <n v="1"/>
    <n v="5"/>
    <x v="2"/>
    <x v="1"/>
    <d v="2023-03-07T00:00:00"/>
  </r>
  <r>
    <s v="TXN_5108804"/>
    <x v="7"/>
    <n v="1"/>
    <n v="3"/>
    <n v="3"/>
    <x v="3"/>
    <x v="1"/>
    <d v="2023-09-26T00:00:00"/>
  </r>
  <r>
    <s v="TXN_2699583"/>
    <x v="6"/>
    <n v="5"/>
    <n v="4"/>
    <n v="20"/>
    <x v="3"/>
    <x v="1"/>
    <d v="2023-07-26T00:00:00"/>
  </r>
  <r>
    <s v="TXN_1622577"/>
    <x v="7"/>
    <n v="1"/>
    <n v="3"/>
    <n v="3"/>
    <x v="1"/>
    <x v="2"/>
    <d v="2023-03-14T00:00:00"/>
  </r>
  <r>
    <s v="TXN_9508880"/>
    <x v="0"/>
    <n v="4"/>
    <n v="2"/>
    <n v="8"/>
    <x v="2"/>
    <x v="1"/>
    <d v="2023-10-26T00:00:00"/>
  </r>
  <r>
    <s v="TXN_2156218"/>
    <x v="4"/>
    <n v="2"/>
    <n v="4"/>
    <n v="8"/>
    <x v="3"/>
    <x v="1"/>
    <d v="2023-07-24T00:00:00"/>
  </r>
  <r>
    <s v="TXN_8271025"/>
    <x v="7"/>
    <n v="5"/>
    <n v="3"/>
    <n v="15"/>
    <x v="0"/>
    <x v="2"/>
    <d v="2023-03-09T00:00:00"/>
  </r>
  <r>
    <s v="TXN_4894699"/>
    <x v="2"/>
    <n v="2"/>
    <n v="1"/>
    <n v="2"/>
    <x v="3"/>
    <x v="1"/>
    <d v="2023-02-20T00:00:00"/>
  </r>
  <r>
    <s v="TXN_5427338"/>
    <x v="1"/>
    <n v="2"/>
    <n v="3"/>
    <n v="6"/>
    <x v="3"/>
    <x v="1"/>
    <d v="2023-04-27T00:00:00"/>
  </r>
  <r>
    <s v="TXN_8631468"/>
    <x v="1"/>
    <n v="1"/>
    <n v="3"/>
    <n v="3"/>
    <x v="0"/>
    <x v="1"/>
    <d v="2023-10-10T00:00:00"/>
  </r>
  <r>
    <s v="TXN_6315590"/>
    <x v="8"/>
    <n v="5"/>
    <n v="1.5"/>
    <n v="7.5"/>
    <x v="2"/>
    <x v="1"/>
    <d v="2023-10-04T00:00:00"/>
  </r>
  <r>
    <s v="TXN_7825457"/>
    <x v="1"/>
    <n v="5"/>
    <n v="3"/>
    <n v="15"/>
    <x v="1"/>
    <x v="2"/>
    <d v="2023-09-15T00:00:00"/>
  </r>
  <r>
    <s v="TXN_7468777"/>
    <x v="3"/>
    <n v="1"/>
    <n v="5"/>
    <n v="5"/>
    <x v="3"/>
    <x v="1"/>
    <m/>
  </r>
  <r>
    <s v="TXN_2378096"/>
    <x v="8"/>
    <n v="3"/>
    <n v="1.5"/>
    <n v="4.5"/>
    <x v="1"/>
    <x v="0"/>
    <d v="2023-09-22T00:00:00"/>
  </r>
  <r>
    <s v="TXN_2627056"/>
    <x v="6"/>
    <n v="4"/>
    <n v="4"/>
    <n v="16"/>
    <x v="3"/>
    <x v="2"/>
    <d v="2023-04-22T00:00:00"/>
  </r>
  <r>
    <s v="TXN_5062280"/>
    <x v="4"/>
    <n v="4"/>
    <n v="4"/>
    <n v="16"/>
    <x v="0"/>
    <x v="2"/>
    <d v="2023-07-05T00:00:00"/>
  </r>
  <r>
    <s v="TXN_3620110"/>
    <x v="0"/>
    <n v="1"/>
    <n v="2"/>
    <n v="2"/>
    <x v="3"/>
    <x v="0"/>
    <d v="2023-06-01T00:00:00"/>
  </r>
  <r>
    <s v="TXN_7290923"/>
    <x v="3"/>
    <n v="3"/>
    <n v="5"/>
    <n v="15"/>
    <x v="2"/>
    <x v="2"/>
    <d v="2023-02-09T00:00:00"/>
  </r>
  <r>
    <s v="TXN_7844687"/>
    <x v="1"/>
    <n v="1"/>
    <n v="3"/>
    <n v="3"/>
    <x v="2"/>
    <x v="1"/>
    <m/>
  </r>
  <r>
    <s v="TXN_1005331"/>
    <x v="0"/>
    <n v="1"/>
    <n v="2"/>
    <n v="2"/>
    <x v="3"/>
    <x v="0"/>
    <d v="2023-11-04T00:00:00"/>
  </r>
  <r>
    <s v="TXN_1579182"/>
    <x v="7"/>
    <n v="5"/>
    <n v="3"/>
    <n v="15"/>
    <x v="1"/>
    <x v="1"/>
    <d v="2023-02-20T00:00:00"/>
  </r>
  <r>
    <s v="TXN_7311097"/>
    <x v="0"/>
    <n v="5"/>
    <n v="2"/>
    <n v="10"/>
    <x v="2"/>
    <x v="1"/>
    <d v="2023-08-05T00:00:00"/>
  </r>
  <r>
    <s v="TXN_1185118"/>
    <x v="5"/>
    <n v="5"/>
    <n v="3"/>
    <n v="15"/>
    <x v="2"/>
    <x v="2"/>
    <m/>
  </r>
  <r>
    <s v="TXN_4836614"/>
    <x v="5"/>
    <n v="4"/>
    <n v="1.5"/>
    <n v="6"/>
    <x v="3"/>
    <x v="2"/>
    <d v="2023-04-03T00:00:00"/>
  </r>
  <r>
    <s v="TXN_7477271"/>
    <x v="8"/>
    <n v="5"/>
    <n v="1.5"/>
    <n v="7.5"/>
    <x v="2"/>
    <x v="0"/>
    <d v="2023-07-12T00:00:00"/>
  </r>
  <r>
    <s v="TXN_6503052"/>
    <x v="7"/>
    <n v="4"/>
    <n v="3"/>
    <n v="12"/>
    <x v="2"/>
    <x v="2"/>
    <d v="2023-04-21T00:00:00"/>
  </r>
  <r>
    <s v="TXN_6471268"/>
    <x v="4"/>
    <n v="5"/>
    <n v="4"/>
    <n v="20"/>
    <x v="3"/>
    <x v="2"/>
    <d v="2023-02-10T00:00:00"/>
  </r>
  <r>
    <s v="TXN_3985301"/>
    <x v="4"/>
    <n v="2"/>
    <n v="4"/>
    <n v="8"/>
    <x v="2"/>
    <x v="1"/>
    <m/>
  </r>
  <r>
    <s v="TXN_6843517"/>
    <x v="6"/>
    <n v="5"/>
    <n v="4"/>
    <n v="20"/>
    <x v="0"/>
    <x v="1"/>
    <d v="2023-01-02T00:00:00"/>
  </r>
  <r>
    <s v="TXN_9370304"/>
    <x v="4"/>
    <n v="4"/>
    <n v="4"/>
    <n v="16"/>
    <x v="2"/>
    <x v="0"/>
    <d v="2023-09-01T00:00:00"/>
  </r>
  <r>
    <s v="TXN_9298053"/>
    <x v="7"/>
    <n v="5"/>
    <n v="3"/>
    <n v="15"/>
    <x v="1"/>
    <x v="1"/>
    <d v="2023-06-29T00:00:00"/>
  </r>
  <r>
    <s v="TXN_1446862"/>
    <x v="1"/>
    <n v="3"/>
    <n v="3"/>
    <n v="9"/>
    <x v="2"/>
    <x v="0"/>
    <d v="2023-09-26T00:00:00"/>
  </r>
  <r>
    <s v="TXN_4987246"/>
    <x v="2"/>
    <n v="3"/>
    <n v="1"/>
    <n v="3"/>
    <x v="3"/>
    <x v="0"/>
    <d v="2023-11-24T00:00:00"/>
  </r>
  <r>
    <s v="TXN_6271219"/>
    <x v="6"/>
    <n v="3"/>
    <n v="4"/>
    <n v="12"/>
    <x v="1"/>
    <x v="2"/>
    <d v="2023-06-07T00:00:00"/>
  </r>
  <r>
    <s v="TXN_2614545"/>
    <x v="8"/>
    <n v="1"/>
    <n v="1.5"/>
    <n v="1.5"/>
    <x v="2"/>
    <x v="1"/>
    <d v="2023-08-10T00:00:00"/>
  </r>
  <r>
    <s v="TXN_4917580"/>
    <x v="5"/>
    <n v="3"/>
    <n v="2"/>
    <n v="6"/>
    <x v="2"/>
    <x v="1"/>
    <d v="2023-03-08T00:00:00"/>
  </r>
  <r>
    <s v="TXN_6236864"/>
    <x v="8"/>
    <n v="2"/>
    <n v="1.5"/>
    <n v="3"/>
    <x v="3"/>
    <x v="1"/>
    <d v="2023-08-17T00:00:00"/>
  </r>
  <r>
    <s v="TXN_7825648"/>
    <x v="0"/>
    <n v="1"/>
    <n v="2"/>
    <n v="2"/>
    <x v="2"/>
    <x v="0"/>
    <d v="2023-05-18T00:00:00"/>
  </r>
  <r>
    <s v="TXN_1853196"/>
    <x v="6"/>
    <n v="1"/>
    <n v="4"/>
    <n v="4"/>
    <x v="0"/>
    <x v="2"/>
    <d v="2023-08-28T00:00:00"/>
  </r>
  <r>
    <s v="TXN_7201361"/>
    <x v="4"/>
    <n v="3"/>
    <n v="4"/>
    <n v="12"/>
    <x v="1"/>
    <x v="1"/>
    <d v="2023-05-26T00:00:00"/>
  </r>
  <r>
    <s v="TXN_6902481"/>
    <x v="7"/>
    <n v="3"/>
    <n v="3"/>
    <n v="9"/>
    <x v="1"/>
    <x v="2"/>
    <d v="2023-09-03T00:00:00"/>
  </r>
  <r>
    <s v="TXN_4041845"/>
    <x v="7"/>
    <n v="5"/>
    <n v="3"/>
    <n v="15"/>
    <x v="2"/>
    <x v="2"/>
    <d v="2023-12-01T00:00:00"/>
  </r>
  <r>
    <s v="TXN_8861272"/>
    <x v="0"/>
    <n v="1"/>
    <n v="2"/>
    <n v="2"/>
    <x v="3"/>
    <x v="2"/>
    <d v="2023-03-27T00:00:00"/>
  </r>
  <r>
    <s v="TXN_7527954"/>
    <x v="1"/>
    <n v="4"/>
    <n v="3"/>
    <n v="12"/>
    <x v="2"/>
    <x v="2"/>
    <d v="2023-12-09T00:00:00"/>
  </r>
  <r>
    <s v="TXN_2229365"/>
    <x v="6"/>
    <n v="2"/>
    <n v="4"/>
    <n v="8"/>
    <x v="1"/>
    <x v="1"/>
    <d v="2023-09-07T00:00:00"/>
  </r>
  <r>
    <s v="TXN_5563675"/>
    <x v="8"/>
    <n v="3"/>
    <n v="1.5"/>
    <n v="4.5"/>
    <x v="3"/>
    <x v="1"/>
    <d v="2023-01-01T00:00:00"/>
  </r>
  <r>
    <s v="TXN_7416770"/>
    <x v="5"/>
    <n v="3"/>
    <n v="3"/>
    <n v="9"/>
    <x v="2"/>
    <x v="0"/>
    <d v="2023-04-08T00:00:00"/>
  </r>
  <r>
    <s v="TXN_6594187"/>
    <x v="8"/>
    <n v="5"/>
    <n v="1.5"/>
    <n v="7.5"/>
    <x v="2"/>
    <x v="2"/>
    <m/>
  </r>
  <r>
    <s v="TXN_8632098"/>
    <x v="3"/>
    <n v="2"/>
    <n v="5"/>
    <n v="10"/>
    <x v="2"/>
    <x v="2"/>
    <d v="2023-01-06T00:00:00"/>
  </r>
  <r>
    <s v="TXN_3520908"/>
    <x v="6"/>
    <n v="3"/>
    <n v="4"/>
    <n v="12"/>
    <x v="3"/>
    <x v="2"/>
    <d v="2023-08-01T00:00:00"/>
  </r>
  <r>
    <s v="TXN_7907499"/>
    <x v="7"/>
    <n v="3"/>
    <n v="3"/>
    <n v="9"/>
    <x v="3"/>
    <x v="0"/>
    <d v="2023-04-18T00:00:00"/>
  </r>
  <r>
    <s v="TXN_8360073"/>
    <x v="1"/>
    <n v="4"/>
    <n v="3"/>
    <n v="12"/>
    <x v="3"/>
    <x v="1"/>
    <d v="2023-06-15T00:00:00"/>
  </r>
  <r>
    <s v="TXN_4840295"/>
    <x v="5"/>
    <n v="4"/>
    <n v="4"/>
    <n v="16"/>
    <x v="3"/>
    <x v="0"/>
    <d v="2023-02-02T00:00:00"/>
  </r>
  <r>
    <s v="TXN_4140167"/>
    <x v="0"/>
    <n v="2"/>
    <n v="2"/>
    <n v="4"/>
    <x v="1"/>
    <x v="2"/>
    <d v="2023-06-29T00:00:00"/>
  </r>
  <r>
    <s v="TXN_2690515"/>
    <x v="6"/>
    <n v="2"/>
    <n v="4"/>
    <n v="8"/>
    <x v="1"/>
    <x v="0"/>
    <d v="2023-09-06T00:00:00"/>
  </r>
  <r>
    <s v="TXN_2080682"/>
    <x v="0"/>
    <n v="3"/>
    <n v="2"/>
    <n v="6"/>
    <x v="0"/>
    <x v="1"/>
    <d v="2023-05-02T00:00:00"/>
  </r>
  <r>
    <s v="TXN_8399341"/>
    <x v="8"/>
    <n v="5"/>
    <n v="1.5"/>
    <n v="7.5"/>
    <x v="1"/>
    <x v="2"/>
    <d v="2023-03-22T00:00:00"/>
  </r>
  <r>
    <s v="TXN_5661891"/>
    <x v="3"/>
    <n v="1"/>
    <n v="5"/>
    <n v="5"/>
    <x v="3"/>
    <x v="0"/>
    <d v="2023-10-28T00:00:00"/>
  </r>
  <r>
    <s v="TXN_3164212"/>
    <x v="4"/>
    <n v="4"/>
    <n v="4"/>
    <n v="16"/>
    <x v="2"/>
    <x v="1"/>
    <d v="2023-11-14T00:00:00"/>
  </r>
  <r>
    <s v="TXN_1834831"/>
    <x v="5"/>
    <n v="5"/>
    <n v="5"/>
    <n v="25"/>
    <x v="3"/>
    <x v="1"/>
    <d v="2023-02-16T00:00:00"/>
  </r>
  <r>
    <s v="TXN_3360401"/>
    <x v="5"/>
    <n v="2"/>
    <n v="1.5"/>
    <n v="3"/>
    <x v="2"/>
    <x v="0"/>
    <d v="2023-02-05T00:00:00"/>
  </r>
  <r>
    <s v="TXN_6036520"/>
    <x v="0"/>
    <n v="5"/>
    <n v="2"/>
    <n v="10"/>
    <x v="1"/>
    <x v="2"/>
    <d v="2023-09-15T00:00:00"/>
  </r>
  <r>
    <s v="TXN_1582958"/>
    <x v="0"/>
    <n v="2"/>
    <n v="2"/>
    <n v="4"/>
    <x v="1"/>
    <x v="2"/>
    <d v="2023-12-08T00:00:00"/>
  </r>
  <r>
    <s v="TXN_9834415"/>
    <x v="2"/>
    <n v="2"/>
    <n v="1"/>
    <n v="2"/>
    <x v="0"/>
    <x v="1"/>
    <d v="2023-12-28T00:00:00"/>
  </r>
  <r>
    <s v="TXN_7325430"/>
    <x v="0"/>
    <n v="2"/>
    <n v="2"/>
    <n v="4"/>
    <x v="1"/>
    <x v="2"/>
    <d v="2023-04-17T00:00:00"/>
  </r>
  <r>
    <s v="TXN_6440365"/>
    <x v="4"/>
    <n v="2"/>
    <n v="4"/>
    <n v="8"/>
    <x v="1"/>
    <x v="2"/>
    <d v="2023-05-14T00:00:00"/>
  </r>
  <r>
    <s v="TXN_4002629"/>
    <x v="1"/>
    <n v="5"/>
    <n v="3"/>
    <n v="15"/>
    <x v="0"/>
    <x v="1"/>
    <d v="2023-06-15T00:00:00"/>
  </r>
  <r>
    <s v="TXN_4244830"/>
    <x v="0"/>
    <n v="5"/>
    <n v="2"/>
    <n v="10"/>
    <x v="2"/>
    <x v="1"/>
    <d v="2023-04-24T00:00:00"/>
  </r>
  <r>
    <s v="TXN_2217038"/>
    <x v="8"/>
    <n v="5"/>
    <n v="1.5"/>
    <n v="7.5"/>
    <x v="2"/>
    <x v="2"/>
    <d v="2023-06-12T00:00:00"/>
  </r>
  <r>
    <s v="TXN_6259827"/>
    <x v="1"/>
    <n v="2"/>
    <n v="3"/>
    <n v="6"/>
    <x v="0"/>
    <x v="0"/>
    <d v="2023-06-14T00:00:00"/>
  </r>
  <r>
    <s v="TXN_6551087"/>
    <x v="4"/>
    <n v="1"/>
    <n v="4"/>
    <n v="4"/>
    <x v="0"/>
    <x v="2"/>
    <d v="2023-05-02T00:00:00"/>
  </r>
  <r>
    <s v="TXN_1643039"/>
    <x v="2"/>
    <n v="3"/>
    <n v="1"/>
    <n v="3"/>
    <x v="2"/>
    <x v="2"/>
    <d v="2023-02-17T00:00:00"/>
  </r>
  <r>
    <s v="TXN_3683787"/>
    <x v="8"/>
    <n v="5"/>
    <n v="1.5"/>
    <n v="7.5"/>
    <x v="0"/>
    <x v="2"/>
    <d v="2023-09-16T00:00:00"/>
  </r>
  <r>
    <s v="TXN_5765576"/>
    <x v="6"/>
    <n v="5"/>
    <n v="4"/>
    <n v="20"/>
    <x v="2"/>
    <x v="1"/>
    <d v="2023-11-22T00:00:00"/>
  </r>
  <r>
    <s v="TXN_4155134"/>
    <x v="2"/>
    <n v="1"/>
    <n v="1"/>
    <n v="1"/>
    <x v="2"/>
    <x v="0"/>
    <d v="2023-05-07T00:00:00"/>
  </r>
  <r>
    <s v="TXN_1795044"/>
    <x v="0"/>
    <n v="2"/>
    <n v="2"/>
    <n v="4"/>
    <x v="3"/>
    <x v="2"/>
    <d v="2023-08-15T00:00:00"/>
  </r>
  <r>
    <s v="TXN_3328393"/>
    <x v="5"/>
    <n v="3"/>
    <n v="3"/>
    <n v="9"/>
    <x v="2"/>
    <x v="2"/>
    <d v="2023-04-16T00:00:00"/>
  </r>
  <r>
    <s v="TXN_2399870"/>
    <x v="3"/>
    <n v="4"/>
    <n v="5"/>
    <n v="20"/>
    <x v="2"/>
    <x v="2"/>
    <d v="2023-04-08T00:00:00"/>
  </r>
  <r>
    <s v="TXN_8898121"/>
    <x v="8"/>
    <n v="4"/>
    <n v="1.5"/>
    <n v="6"/>
    <x v="3"/>
    <x v="2"/>
    <d v="2023-03-26T00:00:00"/>
  </r>
  <r>
    <s v="TXN_4735392"/>
    <x v="4"/>
    <n v="3"/>
    <n v="4"/>
    <n v="12"/>
    <x v="0"/>
    <x v="0"/>
    <d v="2023-04-04T00:00:00"/>
  </r>
  <r>
    <s v="TXN_3244935"/>
    <x v="3"/>
    <n v="5"/>
    <n v="5"/>
    <n v="25"/>
    <x v="2"/>
    <x v="0"/>
    <d v="2023-11-24T00:00:00"/>
  </r>
  <r>
    <s v="TXN_8410712"/>
    <x v="7"/>
    <n v="5"/>
    <n v="3"/>
    <n v="15"/>
    <x v="3"/>
    <x v="0"/>
    <d v="2023-10-23T00:00:00"/>
  </r>
  <r>
    <s v="TXN_8997048"/>
    <x v="7"/>
    <n v="1"/>
    <n v="3"/>
    <n v="3"/>
    <x v="2"/>
    <x v="1"/>
    <d v="2023-12-05T00:00:00"/>
  </r>
  <r>
    <s v="TXN_6009395"/>
    <x v="6"/>
    <n v="4"/>
    <n v="4"/>
    <n v="16"/>
    <x v="1"/>
    <x v="1"/>
    <d v="2023-07-20T00:00:00"/>
  </r>
  <r>
    <s v="TXN_3733753"/>
    <x v="6"/>
    <n v="1"/>
    <n v="4"/>
    <n v="4"/>
    <x v="3"/>
    <x v="0"/>
    <d v="2023-03-10T00:00:00"/>
  </r>
  <r>
    <s v="TXN_4084548"/>
    <x v="3"/>
    <n v="2"/>
    <n v="5"/>
    <n v="10"/>
    <x v="1"/>
    <x v="1"/>
    <d v="2023-07-21T00:00:00"/>
  </r>
  <r>
    <s v="TXN_7125945"/>
    <x v="1"/>
    <n v="3"/>
    <n v="3"/>
    <n v="9"/>
    <x v="0"/>
    <x v="1"/>
    <d v="2023-01-30T00:00:00"/>
  </r>
  <r>
    <s v="TXN_6746140"/>
    <x v="2"/>
    <n v="5"/>
    <n v="1"/>
    <n v="5"/>
    <x v="3"/>
    <x v="0"/>
    <m/>
  </r>
  <r>
    <s v="TXN_8103439"/>
    <x v="4"/>
    <n v="1"/>
    <n v="4"/>
    <n v="4"/>
    <x v="2"/>
    <x v="0"/>
    <d v="2023-11-30T00:00:00"/>
  </r>
  <r>
    <s v="TXN_9474082"/>
    <x v="5"/>
    <n v="3"/>
    <n v="5"/>
    <n v="15"/>
    <x v="3"/>
    <x v="1"/>
    <d v="2023-03-22T00:00:00"/>
  </r>
  <r>
    <s v="TXN_2623927"/>
    <x v="6"/>
    <n v="2"/>
    <n v="4"/>
    <n v="8"/>
    <x v="2"/>
    <x v="2"/>
    <d v="2023-01-27T00:00:00"/>
  </r>
  <r>
    <s v="TXN_8707598"/>
    <x v="7"/>
    <n v="4"/>
    <n v="3"/>
    <n v="12"/>
    <x v="0"/>
    <x v="2"/>
    <d v="2023-10-22T00:00:00"/>
  </r>
  <r>
    <s v="TXN_2810554"/>
    <x v="5"/>
    <n v="1"/>
    <n v="3"/>
    <n v="3"/>
    <x v="0"/>
    <x v="0"/>
    <d v="2023-02-18T00:00:00"/>
  </r>
  <r>
    <s v="TXN_5435751"/>
    <x v="6"/>
    <n v="1"/>
    <n v="4"/>
    <n v="4"/>
    <x v="0"/>
    <x v="0"/>
    <d v="2023-05-24T00:00:00"/>
  </r>
  <r>
    <s v="TXN_9991468"/>
    <x v="7"/>
    <n v="4"/>
    <n v="3"/>
    <n v="12"/>
    <x v="0"/>
    <x v="2"/>
    <d v="2023-11-30T00:00:00"/>
  </r>
  <r>
    <s v="TXN_1339457"/>
    <x v="5"/>
    <n v="3"/>
    <n v="4"/>
    <n v="12"/>
    <x v="3"/>
    <x v="1"/>
    <d v="2023-05-23T00:00:00"/>
  </r>
  <r>
    <s v="TXN_5186460"/>
    <x v="7"/>
    <n v="3"/>
    <n v="3"/>
    <n v="9"/>
    <x v="0"/>
    <x v="2"/>
    <d v="2023-11-07T00:00:00"/>
  </r>
  <r>
    <s v="TXN_8936782"/>
    <x v="7"/>
    <n v="5"/>
    <n v="3"/>
    <n v="15"/>
    <x v="2"/>
    <x v="1"/>
    <d v="2023-04-01T00:00:00"/>
  </r>
  <r>
    <s v="TXN_6885561"/>
    <x v="4"/>
    <n v="3"/>
    <n v="4"/>
    <n v="12"/>
    <x v="3"/>
    <x v="0"/>
    <d v="2023-06-24T00:00:00"/>
  </r>
  <r>
    <s v="TXN_4089089"/>
    <x v="4"/>
    <n v="5"/>
    <n v="4"/>
    <n v="20"/>
    <x v="2"/>
    <x v="2"/>
    <d v="2023-10-26T00:00:00"/>
  </r>
  <r>
    <s v="TXN_6304285"/>
    <x v="1"/>
    <n v="5"/>
    <n v="3"/>
    <n v="15"/>
    <x v="3"/>
    <x v="0"/>
    <d v="2023-11-16T00:00:00"/>
  </r>
  <r>
    <s v="TXN_7792996"/>
    <x v="3"/>
    <n v="4"/>
    <n v="5"/>
    <n v="20"/>
    <x v="1"/>
    <x v="2"/>
    <d v="2023-12-20T00:00:00"/>
  </r>
  <r>
    <s v="TXN_3653328"/>
    <x v="2"/>
    <n v="4"/>
    <n v="1"/>
    <n v="4"/>
    <x v="3"/>
    <x v="1"/>
    <d v="2023-06-27T00:00:00"/>
  </r>
  <r>
    <s v="TXN_3003876"/>
    <x v="2"/>
    <n v="3"/>
    <n v="1"/>
    <n v="3"/>
    <x v="1"/>
    <x v="2"/>
    <d v="2023-08-27T00:00:00"/>
  </r>
  <r>
    <s v="TXN_4015634"/>
    <x v="8"/>
    <n v="2"/>
    <n v="1.5"/>
    <n v="3"/>
    <x v="2"/>
    <x v="2"/>
    <d v="2023-06-28T00:00:00"/>
  </r>
  <r>
    <s v="TXN_8166394"/>
    <x v="7"/>
    <n v="4"/>
    <n v="3"/>
    <n v="12"/>
    <x v="0"/>
    <x v="2"/>
    <d v="2023-12-22T00:00:00"/>
  </r>
  <r>
    <s v="TXN_1270603"/>
    <x v="7"/>
    <n v="4"/>
    <n v="3"/>
    <n v="12"/>
    <x v="0"/>
    <x v="0"/>
    <d v="2023-12-03T00:00:00"/>
  </r>
  <r>
    <s v="TXN_8837886"/>
    <x v="4"/>
    <n v="3"/>
    <n v="4"/>
    <n v="12"/>
    <x v="2"/>
    <x v="2"/>
    <d v="2023-04-20T00:00:00"/>
  </r>
  <r>
    <s v="TXN_1437275"/>
    <x v="0"/>
    <n v="3"/>
    <n v="2"/>
    <n v="6"/>
    <x v="0"/>
    <x v="2"/>
    <d v="2023-07-22T00:00:00"/>
  </r>
  <r>
    <s v="TXN_5791605"/>
    <x v="4"/>
    <n v="3"/>
    <n v="4"/>
    <n v="12"/>
    <x v="2"/>
    <x v="0"/>
    <d v="2023-05-17T00:00:00"/>
  </r>
  <r>
    <s v="TXN_5836079"/>
    <x v="0"/>
    <n v="1"/>
    <n v="2"/>
    <n v="2"/>
    <x v="3"/>
    <x v="2"/>
    <d v="2023-07-14T00:00:00"/>
  </r>
  <r>
    <s v="TXN_2897115"/>
    <x v="5"/>
    <n v="3"/>
    <n v="2"/>
    <n v="6"/>
    <x v="3"/>
    <x v="1"/>
    <d v="2023-06-23T00:00:00"/>
  </r>
  <r>
    <s v="TXN_8916613"/>
    <x v="3"/>
    <n v="4"/>
    <n v="5"/>
    <n v="20"/>
    <x v="2"/>
    <x v="0"/>
    <d v="2023-06-19T00:00:00"/>
  </r>
  <r>
    <s v="TXN_9251292"/>
    <x v="8"/>
    <n v="2"/>
    <n v="1.5"/>
    <n v="3"/>
    <x v="1"/>
    <x v="2"/>
    <d v="2023-01-20T00:00:00"/>
  </r>
  <r>
    <s v="TXN_9639025"/>
    <x v="0"/>
    <n v="5"/>
    <n v="2"/>
    <n v="10"/>
    <x v="2"/>
    <x v="2"/>
    <d v="2023-12-06T00:00:00"/>
  </r>
  <r>
    <s v="TXN_7770253"/>
    <x v="0"/>
    <n v="5"/>
    <n v="2"/>
    <n v="10"/>
    <x v="3"/>
    <x v="0"/>
    <d v="2023-01-06T00:00:00"/>
  </r>
  <r>
    <s v="TXN_9196116"/>
    <x v="1"/>
    <n v="2"/>
    <n v="3"/>
    <n v="6"/>
    <x v="2"/>
    <x v="1"/>
    <d v="2023-07-06T00:00:00"/>
  </r>
  <r>
    <s v="TXN_5405799"/>
    <x v="0"/>
    <n v="3"/>
    <n v="2"/>
    <n v="6"/>
    <x v="1"/>
    <x v="2"/>
    <d v="2023-08-13T00:00:00"/>
  </r>
  <r>
    <s v="TXN_1701500"/>
    <x v="4"/>
    <n v="1"/>
    <n v="4"/>
    <n v="4"/>
    <x v="2"/>
    <x v="0"/>
    <d v="2023-01-05T00:00:00"/>
  </r>
  <r>
    <s v="TXN_6669163"/>
    <x v="2"/>
    <n v="1"/>
    <n v="1"/>
    <n v="1"/>
    <x v="0"/>
    <x v="0"/>
    <d v="2023-07-26T00:00:00"/>
  </r>
  <r>
    <s v="TXN_9695128"/>
    <x v="1"/>
    <n v="1"/>
    <n v="3"/>
    <n v="3"/>
    <x v="1"/>
    <x v="1"/>
    <d v="2023-12-21T00:00:00"/>
  </r>
  <r>
    <s v="TXN_8700156"/>
    <x v="8"/>
    <n v="4"/>
    <n v="1.5"/>
    <n v="6"/>
    <x v="0"/>
    <x v="1"/>
    <d v="2023-12-25T00:00:00"/>
  </r>
  <r>
    <s v="TXN_7192920"/>
    <x v="4"/>
    <n v="4"/>
    <n v="4"/>
    <n v="16"/>
    <x v="3"/>
    <x v="2"/>
    <d v="2023-02-28T00:00:00"/>
  </r>
  <r>
    <s v="TXN_1866816"/>
    <x v="7"/>
    <n v="3"/>
    <n v="3"/>
    <n v="9"/>
    <x v="2"/>
    <x v="1"/>
    <d v="2023-08-21T00:00:00"/>
  </r>
  <r>
    <s v="TXN_2423762"/>
    <x v="0"/>
    <n v="1"/>
    <n v="2"/>
    <n v="2"/>
    <x v="2"/>
    <x v="2"/>
    <d v="2023-08-12T00:00:00"/>
  </r>
  <r>
    <s v="TXN_4007506"/>
    <x v="3"/>
    <n v="1"/>
    <n v="5"/>
    <n v="5"/>
    <x v="2"/>
    <x v="2"/>
    <d v="2023-01-19T00:00:00"/>
  </r>
  <r>
    <s v="TXN_4371760"/>
    <x v="4"/>
    <n v="2"/>
    <n v="4"/>
    <n v="8"/>
    <x v="1"/>
    <x v="1"/>
    <d v="2023-01-12T00:00:00"/>
  </r>
  <r>
    <s v="TXN_4468830"/>
    <x v="4"/>
    <n v="4"/>
    <n v="4"/>
    <n v="16"/>
    <x v="3"/>
    <x v="1"/>
    <d v="2023-11-10T00:00:00"/>
  </r>
  <r>
    <s v="TXN_1908100"/>
    <x v="7"/>
    <n v="2"/>
    <n v="3"/>
    <n v="6"/>
    <x v="2"/>
    <x v="1"/>
    <d v="2023-04-17T00:00:00"/>
  </r>
  <r>
    <s v="TXN_3892344"/>
    <x v="2"/>
    <n v="2"/>
    <n v="1"/>
    <n v="2"/>
    <x v="2"/>
    <x v="2"/>
    <d v="2023-07-28T00:00:00"/>
  </r>
  <r>
    <s v="TXN_3023841"/>
    <x v="8"/>
    <n v="3"/>
    <n v="1.5"/>
    <n v="4.5"/>
    <x v="3"/>
    <x v="0"/>
    <d v="2023-04-29T00:00:00"/>
  </r>
  <r>
    <s v="TXN_8793244"/>
    <x v="1"/>
    <n v="4"/>
    <n v="3"/>
    <n v="12"/>
    <x v="0"/>
    <x v="0"/>
    <d v="2023-05-08T00:00:00"/>
  </r>
  <r>
    <s v="TXN_5764993"/>
    <x v="3"/>
    <n v="3"/>
    <n v="5"/>
    <n v="15"/>
    <x v="2"/>
    <x v="0"/>
    <d v="2023-04-26T00:00:00"/>
  </r>
  <r>
    <s v="TXN_2376525"/>
    <x v="6"/>
    <n v="5"/>
    <n v="4"/>
    <n v="20"/>
    <x v="2"/>
    <x v="2"/>
    <m/>
  </r>
  <r>
    <s v="TXN_2628941"/>
    <x v="4"/>
    <n v="1"/>
    <n v="4"/>
    <n v="4"/>
    <x v="2"/>
    <x v="1"/>
    <d v="2023-12-27T00:00:00"/>
  </r>
  <r>
    <s v="TXN_5206049"/>
    <x v="5"/>
    <n v="3"/>
    <n v="1"/>
    <n v="3"/>
    <x v="3"/>
    <x v="2"/>
    <d v="2023-06-24T00:00:00"/>
  </r>
  <r>
    <s v="TXN_5448602"/>
    <x v="7"/>
    <n v="3"/>
    <n v="3"/>
    <n v="9"/>
    <x v="0"/>
    <x v="1"/>
    <d v="2023-01-17T00:00:00"/>
  </r>
  <r>
    <s v="TXN_1346517"/>
    <x v="0"/>
    <n v="1"/>
    <n v="2"/>
    <n v="2"/>
    <x v="3"/>
    <x v="0"/>
    <d v="2023-03-20T00:00:00"/>
  </r>
  <r>
    <s v="TXN_9277534"/>
    <x v="4"/>
    <n v="2"/>
    <n v="4"/>
    <n v="8"/>
    <x v="0"/>
    <x v="1"/>
    <d v="2023-04-25T00:00:00"/>
  </r>
  <r>
    <s v="TXN_4946991"/>
    <x v="1"/>
    <n v="1"/>
    <n v="3"/>
    <n v="3"/>
    <x v="2"/>
    <x v="2"/>
    <d v="2023-04-17T00:00:00"/>
  </r>
  <r>
    <s v="TXN_9663098"/>
    <x v="7"/>
    <n v="2"/>
    <n v="3"/>
    <n v="6"/>
    <x v="1"/>
    <x v="2"/>
    <d v="2023-06-10T00:00:00"/>
  </r>
  <r>
    <s v="TXN_2492586"/>
    <x v="3"/>
    <n v="3"/>
    <n v="5"/>
    <n v="15"/>
    <x v="1"/>
    <x v="2"/>
    <d v="2023-05-17T00:00:00"/>
  </r>
  <r>
    <s v="TXN_2450799"/>
    <x v="8"/>
    <n v="5"/>
    <n v="1.5"/>
    <n v="7.5"/>
    <x v="2"/>
    <x v="2"/>
    <d v="2023-11-26T00:00:00"/>
  </r>
  <r>
    <s v="TXN_6145837"/>
    <x v="1"/>
    <n v="5"/>
    <n v="3"/>
    <n v="15"/>
    <x v="3"/>
    <x v="0"/>
    <d v="2023-08-27T00:00:00"/>
  </r>
  <r>
    <s v="TXN_3665727"/>
    <x v="2"/>
    <n v="1"/>
    <n v="1"/>
    <n v="1"/>
    <x v="2"/>
    <x v="1"/>
    <d v="2023-10-13T00:00:00"/>
  </r>
  <r>
    <s v="TXN_5067056"/>
    <x v="6"/>
    <n v="1"/>
    <n v="4"/>
    <n v="4"/>
    <x v="1"/>
    <x v="1"/>
    <d v="2023-08-13T00:00:00"/>
  </r>
  <r>
    <s v="TXN_8453110"/>
    <x v="4"/>
    <n v="3"/>
    <n v="4"/>
    <n v="12"/>
    <x v="3"/>
    <x v="2"/>
    <d v="2023-06-24T00:00:00"/>
  </r>
  <r>
    <s v="TXN_4954887"/>
    <x v="2"/>
    <n v="3"/>
    <n v="1"/>
    <n v="3"/>
    <x v="2"/>
    <x v="1"/>
    <d v="2023-06-11T00:00:00"/>
  </r>
  <r>
    <s v="TXN_4449173"/>
    <x v="5"/>
    <n v="1"/>
    <n v="2"/>
    <n v="2"/>
    <x v="3"/>
    <x v="0"/>
    <d v="2023-04-05T00:00:00"/>
  </r>
  <r>
    <s v="TXN_6641409"/>
    <x v="5"/>
    <n v="5"/>
    <n v="4"/>
    <n v="20"/>
    <x v="3"/>
    <x v="2"/>
    <d v="2023-11-21T00:00:00"/>
  </r>
  <r>
    <s v="TXN_6132959"/>
    <x v="3"/>
    <n v="5"/>
    <n v="5"/>
    <n v="25"/>
    <x v="3"/>
    <x v="2"/>
    <d v="2023-07-01T00:00:00"/>
  </r>
  <r>
    <s v="TXN_8626161"/>
    <x v="4"/>
    <n v="3"/>
    <n v="4"/>
    <n v="12"/>
    <x v="3"/>
    <x v="1"/>
    <d v="2023-11-23T00:00:00"/>
  </r>
  <r>
    <s v="TXN_7099050"/>
    <x v="3"/>
    <n v="3"/>
    <n v="5"/>
    <n v="15"/>
    <x v="0"/>
    <x v="0"/>
    <d v="2023-01-18T00:00:00"/>
  </r>
  <r>
    <s v="TXN_8938663"/>
    <x v="0"/>
    <n v="1"/>
    <n v="2"/>
    <n v="2"/>
    <x v="3"/>
    <x v="2"/>
    <d v="2023-09-09T00:00:00"/>
  </r>
  <r>
    <s v="TXN_5039624"/>
    <x v="2"/>
    <n v="4"/>
    <n v="1"/>
    <n v="4"/>
    <x v="2"/>
    <x v="0"/>
    <d v="2023-04-27T00:00:00"/>
  </r>
  <r>
    <s v="TXN_9565465"/>
    <x v="8"/>
    <n v="3"/>
    <n v="1.5"/>
    <n v="4.5"/>
    <x v="0"/>
    <x v="1"/>
    <d v="2023-12-26T00:00:00"/>
  </r>
  <r>
    <s v="TXN_6301600"/>
    <x v="7"/>
    <n v="4"/>
    <n v="3"/>
    <n v="12"/>
    <x v="3"/>
    <x v="1"/>
    <d v="2023-02-28T00:00:00"/>
  </r>
  <r>
    <s v="TXN_1529904"/>
    <x v="0"/>
    <n v="1"/>
    <n v="2"/>
    <n v="2"/>
    <x v="0"/>
    <x v="1"/>
    <m/>
  </r>
  <r>
    <s v="TXN_4784128"/>
    <x v="6"/>
    <n v="3"/>
    <n v="4"/>
    <n v="12"/>
    <x v="1"/>
    <x v="0"/>
    <d v="2023-08-27T00:00:00"/>
  </r>
  <r>
    <s v="TXN_5807634"/>
    <x v="6"/>
    <n v="5"/>
    <n v="4"/>
    <n v="20"/>
    <x v="3"/>
    <x v="2"/>
    <d v="2023-05-23T00:00:00"/>
  </r>
  <r>
    <s v="TXN_5560205"/>
    <x v="0"/>
    <n v="3"/>
    <n v="2"/>
    <n v="6"/>
    <x v="1"/>
    <x v="1"/>
    <d v="2023-12-22T00:00:00"/>
  </r>
  <r>
    <s v="TXN_2193092"/>
    <x v="7"/>
    <n v="4"/>
    <n v="3"/>
    <n v="12"/>
    <x v="2"/>
    <x v="0"/>
    <d v="2023-10-30T00:00:00"/>
  </r>
  <r>
    <s v="TXN_8191921"/>
    <x v="3"/>
    <n v="3"/>
    <n v="5"/>
    <n v="15"/>
    <x v="3"/>
    <x v="2"/>
    <m/>
  </r>
  <r>
    <s v="TXN_1833277"/>
    <x v="8"/>
    <n v="2"/>
    <n v="1.5"/>
    <n v="3"/>
    <x v="2"/>
    <x v="0"/>
    <d v="2023-10-19T00:00:00"/>
  </r>
  <r>
    <s v="TXN_6346774"/>
    <x v="7"/>
    <n v="3"/>
    <n v="3"/>
    <n v="9"/>
    <x v="1"/>
    <x v="1"/>
    <m/>
  </r>
  <r>
    <s v="TXN_6119798"/>
    <x v="3"/>
    <n v="1"/>
    <n v="5"/>
    <n v="5"/>
    <x v="0"/>
    <x v="1"/>
    <d v="2023-09-19T00:00:00"/>
  </r>
  <r>
    <s v="TXN_9793353"/>
    <x v="0"/>
    <n v="3"/>
    <n v="2"/>
    <n v="6"/>
    <x v="0"/>
    <x v="0"/>
    <d v="2023-08-21T00:00:00"/>
  </r>
  <r>
    <s v="TXN_5017895"/>
    <x v="3"/>
    <n v="4"/>
    <n v="5"/>
    <n v="20"/>
    <x v="1"/>
    <x v="2"/>
    <d v="2023-09-25T00:00:00"/>
  </r>
  <r>
    <s v="TXN_4547995"/>
    <x v="1"/>
    <n v="3"/>
    <n v="3"/>
    <n v="9"/>
    <x v="3"/>
    <x v="2"/>
    <d v="2023-11-30T00:00:00"/>
  </r>
  <r>
    <s v="TXN_7032256"/>
    <x v="6"/>
    <n v="5"/>
    <n v="4"/>
    <n v="20"/>
    <x v="0"/>
    <x v="2"/>
    <d v="2023-03-13T00:00:00"/>
  </r>
  <r>
    <s v="TXN_2578309"/>
    <x v="4"/>
    <n v="3"/>
    <n v="4"/>
    <n v="12"/>
    <x v="2"/>
    <x v="2"/>
    <d v="2023-05-05T00:00:00"/>
  </r>
  <r>
    <s v="TXN_2064360"/>
    <x v="0"/>
    <n v="4"/>
    <n v="2"/>
    <n v="8"/>
    <x v="3"/>
    <x v="1"/>
    <d v="2023-08-30T00:00:00"/>
  </r>
  <r>
    <s v="TXN_5508573"/>
    <x v="1"/>
    <n v="1"/>
    <n v="3"/>
    <n v="3"/>
    <x v="2"/>
    <x v="0"/>
    <d v="2023-12-17T00:00:00"/>
  </r>
  <r>
    <s v="TXN_7125392"/>
    <x v="2"/>
    <n v="4"/>
    <n v="1"/>
    <n v="4"/>
    <x v="3"/>
    <x v="0"/>
    <d v="2023-07-05T00:00:00"/>
  </r>
  <r>
    <s v="TXN_2564219"/>
    <x v="3"/>
    <n v="1"/>
    <n v="5"/>
    <n v="5"/>
    <x v="3"/>
    <x v="0"/>
    <d v="2023-07-18T00:00:00"/>
  </r>
  <r>
    <s v="TXN_1203954"/>
    <x v="6"/>
    <n v="1"/>
    <n v="4"/>
    <n v="4"/>
    <x v="3"/>
    <x v="2"/>
    <d v="2023-08-12T00:00:00"/>
  </r>
  <r>
    <s v="TXN_4671054"/>
    <x v="5"/>
    <n v="4"/>
    <n v="5"/>
    <n v="20"/>
    <x v="1"/>
    <x v="2"/>
    <d v="2023-06-20T00:00:00"/>
  </r>
  <r>
    <s v="TXN_4488222"/>
    <x v="8"/>
    <n v="3"/>
    <n v="1.5"/>
    <n v="4.5"/>
    <x v="3"/>
    <x v="0"/>
    <d v="2023-03-13T00:00:00"/>
  </r>
  <r>
    <s v="TXN_3103967"/>
    <x v="7"/>
    <n v="2"/>
    <n v="3"/>
    <n v="6"/>
    <x v="0"/>
    <x v="2"/>
    <d v="2023-11-12T00:00:00"/>
  </r>
  <r>
    <s v="TXN_9853577"/>
    <x v="6"/>
    <n v="2"/>
    <n v="4"/>
    <n v="8"/>
    <x v="0"/>
    <x v="1"/>
    <d v="2023-04-30T00:00:00"/>
  </r>
  <r>
    <s v="TXN_4349597"/>
    <x v="7"/>
    <n v="4"/>
    <n v="3"/>
    <n v="12"/>
    <x v="0"/>
    <x v="2"/>
    <d v="2023-08-21T00:00:00"/>
  </r>
  <r>
    <s v="TXN_3353214"/>
    <x v="4"/>
    <n v="5"/>
    <n v="4"/>
    <n v="20"/>
    <x v="0"/>
    <x v="2"/>
    <d v="2023-08-12T00:00:00"/>
  </r>
  <r>
    <s v="TXN_7122708"/>
    <x v="6"/>
    <n v="5"/>
    <n v="4"/>
    <n v="20"/>
    <x v="2"/>
    <x v="0"/>
    <d v="2023-06-23T00:00:00"/>
  </r>
  <r>
    <s v="TXN_8788437"/>
    <x v="0"/>
    <n v="1"/>
    <n v="2"/>
    <n v="2"/>
    <x v="2"/>
    <x v="2"/>
    <d v="2023-11-19T00:00:00"/>
  </r>
  <r>
    <s v="TXN_1672443"/>
    <x v="0"/>
    <n v="1"/>
    <n v="2"/>
    <n v="2"/>
    <x v="0"/>
    <x v="0"/>
    <d v="2023-10-03T00:00:00"/>
  </r>
  <r>
    <s v="TXN_6277500"/>
    <x v="0"/>
    <n v="4"/>
    <n v="2"/>
    <n v="8"/>
    <x v="0"/>
    <x v="0"/>
    <d v="2023-01-09T00:00:00"/>
  </r>
  <r>
    <s v="TXN_6671827"/>
    <x v="3"/>
    <n v="1"/>
    <n v="5"/>
    <n v="5"/>
    <x v="0"/>
    <x v="0"/>
    <d v="2023-08-09T00:00:00"/>
  </r>
  <r>
    <s v="TXN_4647042"/>
    <x v="6"/>
    <n v="5"/>
    <n v="4"/>
    <n v="20"/>
    <x v="2"/>
    <x v="0"/>
    <d v="2023-04-25T00:00:00"/>
  </r>
  <r>
    <s v="TXN_1183212"/>
    <x v="7"/>
    <n v="4"/>
    <n v="3"/>
    <n v="12"/>
    <x v="2"/>
    <x v="1"/>
    <d v="2023-06-30T00:00:00"/>
  </r>
  <r>
    <s v="TXN_8426712"/>
    <x v="2"/>
    <n v="3"/>
    <n v="1"/>
    <n v="3"/>
    <x v="2"/>
    <x v="1"/>
    <d v="2023-05-22T00:00:00"/>
  </r>
  <r>
    <s v="TXN_5894676"/>
    <x v="4"/>
    <n v="5"/>
    <n v="4"/>
    <n v="20"/>
    <x v="0"/>
    <x v="0"/>
    <d v="2023-06-17T00:00:00"/>
  </r>
  <r>
    <s v="TXN_1411744"/>
    <x v="4"/>
    <n v="4"/>
    <n v="4"/>
    <n v="16"/>
    <x v="0"/>
    <x v="0"/>
    <d v="2023-09-17T00:00:00"/>
  </r>
  <r>
    <s v="TXN_6610554"/>
    <x v="0"/>
    <n v="5"/>
    <n v="2"/>
    <n v="10"/>
    <x v="3"/>
    <x v="2"/>
    <d v="2023-10-28T00:00:00"/>
  </r>
  <r>
    <s v="TXN_6169248"/>
    <x v="7"/>
    <n v="5"/>
    <n v="3"/>
    <n v="15"/>
    <x v="0"/>
    <x v="2"/>
    <d v="2023-08-12T00:00:00"/>
  </r>
  <r>
    <s v="TXN_1581997"/>
    <x v="3"/>
    <n v="4"/>
    <n v="5"/>
    <n v="20"/>
    <x v="3"/>
    <x v="2"/>
    <d v="2023-08-26T00:00:00"/>
  </r>
  <r>
    <s v="TXN_4868913"/>
    <x v="1"/>
    <n v="4"/>
    <n v="3"/>
    <n v="12"/>
    <x v="1"/>
    <x v="2"/>
    <d v="2023-06-30T00:00:00"/>
  </r>
  <r>
    <s v="TXN_8277553"/>
    <x v="8"/>
    <n v="3"/>
    <n v="1.5"/>
    <n v="4.5"/>
    <x v="1"/>
    <x v="2"/>
    <d v="2023-09-26T00:00:00"/>
  </r>
  <r>
    <s v="TXN_4030197"/>
    <x v="3"/>
    <n v="3"/>
    <n v="5"/>
    <n v="15"/>
    <x v="0"/>
    <x v="0"/>
    <d v="2023-03-05T00:00:00"/>
  </r>
  <r>
    <s v="TXN_7276927"/>
    <x v="0"/>
    <n v="5"/>
    <n v="2"/>
    <n v="10"/>
    <x v="1"/>
    <x v="0"/>
    <d v="2023-07-06T00:00:00"/>
  </r>
  <r>
    <s v="TXN_3912836"/>
    <x v="3"/>
    <n v="1"/>
    <n v="5"/>
    <n v="5"/>
    <x v="0"/>
    <x v="1"/>
    <d v="2023-11-23T00:00:00"/>
  </r>
  <r>
    <s v="TXN_3833729"/>
    <x v="4"/>
    <n v="4"/>
    <n v="4"/>
    <n v="16"/>
    <x v="3"/>
    <x v="1"/>
    <d v="2023-11-13T00:00:00"/>
  </r>
  <r>
    <s v="TXN_7054393"/>
    <x v="0"/>
    <n v="2"/>
    <n v="2"/>
    <n v="4"/>
    <x v="3"/>
    <x v="1"/>
    <d v="2023-05-30T00:00:00"/>
  </r>
  <r>
    <s v="TXN_1395083"/>
    <x v="7"/>
    <n v="1"/>
    <n v="3"/>
    <n v="3"/>
    <x v="1"/>
    <x v="1"/>
    <d v="2023-07-08T00:00:00"/>
  </r>
  <r>
    <s v="TXN_8784653"/>
    <x v="4"/>
    <n v="1"/>
    <n v="4"/>
    <n v="4"/>
    <x v="1"/>
    <x v="1"/>
    <d v="2023-09-12T00:00:00"/>
  </r>
  <r>
    <s v="TXN_3943666"/>
    <x v="7"/>
    <n v="4"/>
    <n v="3"/>
    <n v="12"/>
    <x v="2"/>
    <x v="0"/>
    <d v="2023-03-15T00:00:00"/>
  </r>
  <r>
    <s v="TXN_8308672"/>
    <x v="3"/>
    <n v="2"/>
    <n v="5"/>
    <n v="10"/>
    <x v="3"/>
    <x v="0"/>
    <d v="2023-01-01T00:00:00"/>
  </r>
  <r>
    <s v="TXN_3190959"/>
    <x v="8"/>
    <n v="2"/>
    <n v="1.5"/>
    <n v="3"/>
    <x v="0"/>
    <x v="0"/>
    <d v="2023-12-16T00:00:00"/>
  </r>
  <r>
    <s v="TXN_6199016"/>
    <x v="7"/>
    <n v="1"/>
    <n v="3"/>
    <n v="3"/>
    <x v="3"/>
    <x v="2"/>
    <d v="2023-02-14T00:00:00"/>
  </r>
  <r>
    <s v="TXN_9301279"/>
    <x v="4"/>
    <n v="1"/>
    <n v="4"/>
    <n v="4"/>
    <x v="0"/>
    <x v="2"/>
    <d v="2023-05-27T00:00:00"/>
  </r>
  <r>
    <s v="TXN_8900751"/>
    <x v="6"/>
    <n v="1"/>
    <n v="4"/>
    <n v="4"/>
    <x v="2"/>
    <x v="0"/>
    <d v="2023-01-30T00:00:00"/>
  </r>
  <r>
    <s v="TXN_6542877"/>
    <x v="7"/>
    <n v="1"/>
    <n v="3"/>
    <n v="3"/>
    <x v="2"/>
    <x v="1"/>
    <d v="2023-12-06T00:00:00"/>
  </r>
  <r>
    <s v="TXN_5516804"/>
    <x v="6"/>
    <n v="5"/>
    <n v="4"/>
    <n v="20"/>
    <x v="0"/>
    <x v="0"/>
    <d v="2023-09-26T00:00:00"/>
  </r>
  <r>
    <s v="TXN_6345733"/>
    <x v="0"/>
    <n v="1"/>
    <n v="2"/>
    <n v="2"/>
    <x v="2"/>
    <x v="1"/>
    <d v="2023-11-26T00:00:00"/>
  </r>
  <r>
    <s v="TXN_5834491"/>
    <x v="8"/>
    <n v="3"/>
    <n v="1.5"/>
    <n v="4.5"/>
    <x v="2"/>
    <x v="2"/>
    <d v="2023-08-13T00:00:00"/>
  </r>
  <r>
    <s v="TXN_1667192"/>
    <x v="1"/>
    <n v="4"/>
    <n v="3"/>
    <n v="12"/>
    <x v="2"/>
    <x v="0"/>
    <d v="2023-07-17T00:00:00"/>
  </r>
  <r>
    <s v="TXN_1454730"/>
    <x v="0"/>
    <n v="5"/>
    <n v="2"/>
    <n v="10"/>
    <x v="2"/>
    <x v="0"/>
    <d v="2023-07-21T00:00:00"/>
  </r>
  <r>
    <s v="TXN_3243832"/>
    <x v="1"/>
    <n v="2"/>
    <n v="3"/>
    <n v="6"/>
    <x v="2"/>
    <x v="2"/>
    <d v="2023-08-10T00:00:00"/>
  </r>
  <r>
    <s v="TXN_7501717"/>
    <x v="6"/>
    <n v="1"/>
    <n v="4"/>
    <n v="4"/>
    <x v="0"/>
    <x v="2"/>
    <d v="2023-08-03T00:00:00"/>
  </r>
  <r>
    <s v="TXN_1351151"/>
    <x v="4"/>
    <n v="1"/>
    <n v="4"/>
    <n v="4"/>
    <x v="0"/>
    <x v="2"/>
    <d v="2023-10-03T00:00:00"/>
  </r>
  <r>
    <s v="TXN_6117497"/>
    <x v="0"/>
    <n v="2"/>
    <n v="2"/>
    <n v="4"/>
    <x v="3"/>
    <x v="1"/>
    <d v="2023-02-13T00:00:00"/>
  </r>
  <r>
    <s v="TXN_6018740"/>
    <x v="4"/>
    <n v="2"/>
    <n v="4"/>
    <n v="8"/>
    <x v="3"/>
    <x v="0"/>
    <m/>
  </r>
  <r>
    <s v="TXN_3818464"/>
    <x v="1"/>
    <n v="2"/>
    <n v="3"/>
    <n v="6"/>
    <x v="1"/>
    <x v="1"/>
    <d v="2023-03-02T00:00:00"/>
  </r>
  <r>
    <s v="TXN_2093816"/>
    <x v="6"/>
    <n v="3"/>
    <n v="4"/>
    <n v="12"/>
    <x v="1"/>
    <x v="0"/>
    <d v="2023-04-06T00:00:00"/>
  </r>
  <r>
    <s v="TXN_7694020"/>
    <x v="2"/>
    <n v="2"/>
    <n v="1"/>
    <n v="2"/>
    <x v="3"/>
    <x v="0"/>
    <d v="2023-08-06T00:00:00"/>
  </r>
  <r>
    <s v="TXN_4215488"/>
    <x v="3"/>
    <n v="5"/>
    <n v="5"/>
    <n v="25"/>
    <x v="2"/>
    <x v="1"/>
    <d v="2023-10-07T00:00:00"/>
  </r>
  <r>
    <s v="TXN_5167425"/>
    <x v="7"/>
    <n v="5"/>
    <n v="3"/>
    <n v="15"/>
    <x v="3"/>
    <x v="2"/>
    <d v="2023-08-04T00:00:00"/>
  </r>
  <r>
    <s v="TXN_7075261"/>
    <x v="7"/>
    <n v="1"/>
    <n v="3"/>
    <n v="3"/>
    <x v="2"/>
    <x v="2"/>
    <d v="2023-07-29T00:00:00"/>
  </r>
  <r>
    <s v="TXN_2694724"/>
    <x v="6"/>
    <n v="2"/>
    <n v="4"/>
    <n v="8"/>
    <x v="3"/>
    <x v="2"/>
    <d v="2023-06-26T00:00:00"/>
  </r>
  <r>
    <s v="TXN_8285304"/>
    <x v="2"/>
    <n v="1"/>
    <n v="1"/>
    <n v="1"/>
    <x v="1"/>
    <x v="2"/>
    <d v="2023-07-09T00:00:00"/>
  </r>
  <r>
    <s v="TXN_7415686"/>
    <x v="6"/>
    <n v="3"/>
    <n v="4"/>
    <n v="12"/>
    <x v="0"/>
    <x v="1"/>
    <d v="2023-04-13T00:00:00"/>
  </r>
  <r>
    <s v="TXN_8877644"/>
    <x v="2"/>
    <n v="2"/>
    <n v="1"/>
    <n v="2"/>
    <x v="2"/>
    <x v="0"/>
    <d v="2023-09-01T00:00:00"/>
  </r>
  <r>
    <s v="TXN_7231548"/>
    <x v="4"/>
    <n v="3"/>
    <n v="4"/>
    <n v="12"/>
    <x v="0"/>
    <x v="1"/>
    <d v="2023-11-06T00:00:00"/>
  </r>
  <r>
    <s v="TXN_2879361"/>
    <x v="7"/>
    <n v="3"/>
    <n v="3"/>
    <n v="9"/>
    <x v="2"/>
    <x v="0"/>
    <d v="2023-11-22T00:00:00"/>
  </r>
  <r>
    <s v="TXN_5956755"/>
    <x v="6"/>
    <n v="5"/>
    <n v="4"/>
    <n v="20"/>
    <x v="3"/>
    <x v="0"/>
    <d v="2023-03-05T00:00:00"/>
  </r>
  <r>
    <s v="TXN_6124342"/>
    <x v="1"/>
    <n v="3"/>
    <n v="3"/>
    <n v="9"/>
    <x v="2"/>
    <x v="0"/>
    <d v="2023-09-14T00:00:00"/>
  </r>
  <r>
    <s v="TXN_3824443"/>
    <x v="4"/>
    <n v="3"/>
    <n v="4"/>
    <n v="12"/>
    <x v="2"/>
    <x v="1"/>
    <d v="2023-10-08T00:00:00"/>
  </r>
  <r>
    <s v="TXN_6778177"/>
    <x v="2"/>
    <n v="4"/>
    <n v="1"/>
    <n v="4"/>
    <x v="2"/>
    <x v="0"/>
    <d v="2023-10-12T00:00:00"/>
  </r>
  <r>
    <s v="TXN_2634410"/>
    <x v="4"/>
    <n v="3"/>
    <n v="4"/>
    <n v="12"/>
    <x v="2"/>
    <x v="2"/>
    <d v="2023-07-15T00:00:00"/>
  </r>
  <r>
    <s v="TXN_6975750"/>
    <x v="7"/>
    <n v="5"/>
    <n v="3"/>
    <n v="15"/>
    <x v="2"/>
    <x v="2"/>
    <d v="2023-01-08T00:00:00"/>
  </r>
  <r>
    <s v="TXN_9293417"/>
    <x v="8"/>
    <n v="3"/>
    <n v="1.5"/>
    <n v="4.5"/>
    <x v="3"/>
    <x v="0"/>
    <m/>
  </r>
  <r>
    <s v="TXN_7741256"/>
    <x v="5"/>
    <n v="5"/>
    <n v="3"/>
    <n v="15"/>
    <x v="3"/>
    <x v="0"/>
    <d v="2023-04-24T00:00:00"/>
  </r>
  <r>
    <s v="TXN_3484190"/>
    <x v="0"/>
    <n v="5"/>
    <n v="2"/>
    <n v="10"/>
    <x v="3"/>
    <x v="2"/>
    <d v="2023-12-27T00:00:00"/>
  </r>
  <r>
    <s v="TXN_2621008"/>
    <x v="5"/>
    <n v="2"/>
    <n v="1"/>
    <n v="2"/>
    <x v="3"/>
    <x v="0"/>
    <d v="2023-10-21T00:00:00"/>
  </r>
  <r>
    <s v="TXN_5429861"/>
    <x v="1"/>
    <n v="1"/>
    <n v="3"/>
    <n v="3"/>
    <x v="3"/>
    <x v="2"/>
    <d v="2023-03-20T00:00:00"/>
  </r>
  <r>
    <s v="TXN_2828596"/>
    <x v="0"/>
    <n v="2"/>
    <n v="2"/>
    <n v="4"/>
    <x v="2"/>
    <x v="2"/>
    <d v="2023-11-25T00:00:00"/>
  </r>
  <r>
    <s v="TXN_6348290"/>
    <x v="5"/>
    <n v="4"/>
    <n v="2"/>
    <n v="8"/>
    <x v="2"/>
    <x v="1"/>
    <d v="2023-01-24T00:00:00"/>
  </r>
  <r>
    <s v="TXN_9813943"/>
    <x v="3"/>
    <n v="2"/>
    <n v="5"/>
    <n v="10"/>
    <x v="1"/>
    <x v="2"/>
    <d v="2023-04-06T00:00:00"/>
  </r>
  <r>
    <s v="TXN_2364171"/>
    <x v="7"/>
    <n v="4"/>
    <n v="3"/>
    <n v="12"/>
    <x v="1"/>
    <x v="2"/>
    <d v="2023-05-18T00:00:00"/>
  </r>
  <r>
    <s v="TXN_8002886"/>
    <x v="0"/>
    <n v="5"/>
    <n v="2"/>
    <n v="10"/>
    <x v="3"/>
    <x v="0"/>
    <d v="2023-05-28T00:00:00"/>
  </r>
  <r>
    <s v="TXN_9956671"/>
    <x v="1"/>
    <n v="3"/>
    <n v="3"/>
    <n v="9"/>
    <x v="0"/>
    <x v="2"/>
    <d v="2023-05-05T00:00:00"/>
  </r>
  <r>
    <s v="TXN_7694491"/>
    <x v="3"/>
    <n v="3"/>
    <n v="5"/>
    <n v="15"/>
    <x v="1"/>
    <x v="1"/>
    <d v="2023-09-01T00:00:00"/>
  </r>
  <r>
    <s v="TXN_7517996"/>
    <x v="1"/>
    <n v="2"/>
    <n v="3"/>
    <n v="6"/>
    <x v="1"/>
    <x v="2"/>
    <d v="2023-10-22T00:00:00"/>
  </r>
  <r>
    <s v="TXN_1655827"/>
    <x v="1"/>
    <n v="1"/>
    <n v="3"/>
    <n v="3"/>
    <x v="2"/>
    <x v="1"/>
    <d v="2023-09-06T00:00:00"/>
  </r>
  <r>
    <s v="TXN_6047026"/>
    <x v="4"/>
    <n v="2"/>
    <n v="4"/>
    <n v="8"/>
    <x v="2"/>
    <x v="2"/>
    <d v="2023-03-24T00:00:00"/>
  </r>
  <r>
    <s v="TXN_4225300"/>
    <x v="6"/>
    <n v="1"/>
    <n v="4"/>
    <n v="4"/>
    <x v="1"/>
    <x v="0"/>
    <m/>
  </r>
  <r>
    <s v="TXN_2764962"/>
    <x v="8"/>
    <n v="2"/>
    <n v="1.5"/>
    <n v="3"/>
    <x v="0"/>
    <x v="0"/>
    <d v="2023-08-13T00:00:00"/>
  </r>
  <r>
    <s v="TXN_5396727"/>
    <x v="7"/>
    <n v="2"/>
    <n v="3"/>
    <n v="6"/>
    <x v="0"/>
    <x v="0"/>
    <d v="2023-10-13T00:00:00"/>
  </r>
  <r>
    <s v="TXN_5198827"/>
    <x v="8"/>
    <n v="5"/>
    <n v="1.5"/>
    <n v="7.5"/>
    <x v="2"/>
    <x v="2"/>
    <d v="2023-02-15T00:00:00"/>
  </r>
  <r>
    <s v="TXN_8023817"/>
    <x v="7"/>
    <n v="4"/>
    <n v="3"/>
    <n v="12"/>
    <x v="2"/>
    <x v="0"/>
    <d v="2023-05-08T00:00:00"/>
  </r>
  <r>
    <s v="TXN_3413185"/>
    <x v="1"/>
    <n v="4"/>
    <n v="3"/>
    <n v="12"/>
    <x v="0"/>
    <x v="1"/>
    <d v="2023-03-03T00:00:00"/>
  </r>
  <r>
    <s v="TXN_9783452"/>
    <x v="7"/>
    <n v="3"/>
    <n v="3"/>
    <n v="9"/>
    <x v="1"/>
    <x v="2"/>
    <d v="2023-04-11T00:00:00"/>
  </r>
  <r>
    <s v="TXN_4171507"/>
    <x v="8"/>
    <n v="1"/>
    <n v="1.5"/>
    <n v="1.5"/>
    <x v="2"/>
    <x v="1"/>
    <d v="2023-10-26T00:00:00"/>
  </r>
  <r>
    <s v="TXN_1491299"/>
    <x v="7"/>
    <n v="2"/>
    <n v="3"/>
    <n v="6"/>
    <x v="0"/>
    <x v="1"/>
    <d v="2023-02-27T00:00:00"/>
  </r>
  <r>
    <s v="TXN_4187327"/>
    <x v="8"/>
    <n v="2"/>
    <n v="1.5"/>
    <n v="3"/>
    <x v="2"/>
    <x v="0"/>
    <d v="2023-04-01T00:00:00"/>
  </r>
  <r>
    <s v="TXN_3277379"/>
    <x v="3"/>
    <n v="2"/>
    <n v="5"/>
    <n v="10"/>
    <x v="0"/>
    <x v="0"/>
    <d v="2023-01-06T00:00:00"/>
  </r>
  <r>
    <s v="TXN_2568101"/>
    <x v="3"/>
    <n v="5"/>
    <n v="5"/>
    <n v="25"/>
    <x v="1"/>
    <x v="0"/>
    <d v="2023-08-03T00:00:00"/>
  </r>
  <r>
    <s v="TXN_3247340"/>
    <x v="8"/>
    <n v="3"/>
    <n v="1.5"/>
    <n v="4.5"/>
    <x v="1"/>
    <x v="0"/>
    <d v="2023-12-25T00:00:00"/>
  </r>
  <r>
    <s v="TXN_7797321"/>
    <x v="6"/>
    <n v="5"/>
    <n v="4"/>
    <n v="20"/>
    <x v="2"/>
    <x v="2"/>
    <d v="2023-11-26T00:00:00"/>
  </r>
  <r>
    <s v="TXN_7512574"/>
    <x v="8"/>
    <n v="1"/>
    <n v="1.5"/>
    <n v="1.5"/>
    <x v="2"/>
    <x v="0"/>
    <m/>
  </r>
  <r>
    <s v="TXN_3044825"/>
    <x v="5"/>
    <n v="1"/>
    <n v="1.5"/>
    <n v="1.5"/>
    <x v="0"/>
    <x v="1"/>
    <d v="2023-08-14T00:00:00"/>
  </r>
  <r>
    <s v="TXN_9019429"/>
    <x v="4"/>
    <n v="2"/>
    <n v="4"/>
    <n v="8"/>
    <x v="3"/>
    <x v="2"/>
    <d v="2023-05-11T00:00:00"/>
  </r>
  <r>
    <s v="TXN_9744862"/>
    <x v="7"/>
    <n v="4"/>
    <n v="3"/>
    <n v="12"/>
    <x v="1"/>
    <x v="1"/>
    <d v="2023-09-19T00:00:00"/>
  </r>
  <r>
    <s v="TXN_6365371"/>
    <x v="5"/>
    <n v="2"/>
    <n v="4"/>
    <n v="8"/>
    <x v="0"/>
    <x v="2"/>
    <d v="2023-06-16T00:00:00"/>
  </r>
  <r>
    <s v="TXN_4543880"/>
    <x v="3"/>
    <n v="3"/>
    <n v="5"/>
    <n v="15"/>
    <x v="1"/>
    <x v="2"/>
    <d v="2023-07-18T00:00:00"/>
  </r>
  <r>
    <s v="TXN_4064245"/>
    <x v="7"/>
    <n v="3"/>
    <n v="3"/>
    <n v="9"/>
    <x v="0"/>
    <x v="0"/>
    <d v="2023-02-20T00:00:00"/>
  </r>
  <r>
    <s v="TXN_8777692"/>
    <x v="0"/>
    <n v="4"/>
    <n v="2"/>
    <n v="8"/>
    <x v="0"/>
    <x v="1"/>
    <d v="2023-12-06T00:00:00"/>
  </r>
  <r>
    <s v="TXN_9126502"/>
    <x v="4"/>
    <n v="5"/>
    <n v="4"/>
    <n v="20"/>
    <x v="0"/>
    <x v="2"/>
    <d v="2023-09-22T00:00:00"/>
  </r>
  <r>
    <s v="TXN_6626427"/>
    <x v="2"/>
    <n v="4"/>
    <n v="1"/>
    <n v="4"/>
    <x v="3"/>
    <x v="1"/>
    <d v="2023-02-13T00:00:00"/>
  </r>
  <r>
    <s v="TXN_4507755"/>
    <x v="1"/>
    <n v="2"/>
    <n v="3"/>
    <n v="6"/>
    <x v="3"/>
    <x v="2"/>
    <d v="2023-05-10T00:00:00"/>
  </r>
  <r>
    <s v="TXN_3928766"/>
    <x v="7"/>
    <n v="5"/>
    <n v="3"/>
    <n v="15"/>
    <x v="2"/>
    <x v="0"/>
    <d v="2023-01-14T00:00:00"/>
  </r>
  <r>
    <s v="TXN_9104535"/>
    <x v="1"/>
    <n v="4"/>
    <n v="3"/>
    <n v="12"/>
    <x v="2"/>
    <x v="2"/>
    <d v="2023-04-13T00:00:00"/>
  </r>
  <r>
    <s v="TXN_4914535"/>
    <x v="5"/>
    <n v="2"/>
    <n v="1"/>
    <n v="2"/>
    <x v="1"/>
    <x v="2"/>
    <m/>
  </r>
  <r>
    <s v="TXN_4824773"/>
    <x v="3"/>
    <n v="5"/>
    <n v="5"/>
    <n v="25"/>
    <x v="1"/>
    <x v="0"/>
    <d v="2023-06-06T00:00:00"/>
  </r>
  <r>
    <s v="TXN_9981953"/>
    <x v="5"/>
    <n v="3"/>
    <n v="4"/>
    <n v="12"/>
    <x v="2"/>
    <x v="2"/>
    <d v="2023-02-03T00:00:00"/>
  </r>
  <r>
    <s v="TXN_6627338"/>
    <x v="7"/>
    <n v="5"/>
    <n v="3"/>
    <n v="15"/>
    <x v="2"/>
    <x v="0"/>
    <d v="2023-12-03T00:00:00"/>
  </r>
  <r>
    <s v="TXN_3555821"/>
    <x v="6"/>
    <n v="3"/>
    <n v="4"/>
    <n v="12"/>
    <x v="2"/>
    <x v="1"/>
    <d v="2023-07-12T00:00:00"/>
  </r>
  <r>
    <s v="TXN_1372991"/>
    <x v="0"/>
    <n v="4"/>
    <n v="2"/>
    <n v="8"/>
    <x v="2"/>
    <x v="1"/>
    <d v="2023-11-17T00:00:00"/>
  </r>
  <r>
    <s v="TXN_6364938"/>
    <x v="0"/>
    <n v="3"/>
    <n v="2"/>
    <n v="6"/>
    <x v="3"/>
    <x v="1"/>
    <d v="2023-07-16T00:00:00"/>
  </r>
  <r>
    <s v="TXN_3040823"/>
    <x v="4"/>
    <n v="1"/>
    <n v="4"/>
    <n v="4"/>
    <x v="2"/>
    <x v="1"/>
    <d v="2023-10-06T00:00:00"/>
  </r>
  <r>
    <s v="TXN_6755757"/>
    <x v="5"/>
    <n v="4"/>
    <n v="4"/>
    <n v="16"/>
    <x v="0"/>
    <x v="1"/>
    <d v="2023-04-05T00:00:00"/>
  </r>
  <r>
    <s v="TXN_4563646"/>
    <x v="7"/>
    <n v="5"/>
    <n v="3"/>
    <n v="15"/>
    <x v="1"/>
    <x v="0"/>
    <d v="2023-10-10T00:00:00"/>
  </r>
  <r>
    <s v="TXN_3596456"/>
    <x v="0"/>
    <n v="3"/>
    <n v="2"/>
    <n v="6"/>
    <x v="3"/>
    <x v="0"/>
    <m/>
  </r>
  <r>
    <s v="TXN_2130415"/>
    <x v="5"/>
    <n v="1"/>
    <n v="2"/>
    <n v="2"/>
    <x v="3"/>
    <x v="0"/>
    <d v="2023-12-08T00:00:00"/>
  </r>
  <r>
    <s v="TXN_9617421"/>
    <x v="8"/>
    <n v="1"/>
    <n v="1.5"/>
    <n v="1.5"/>
    <x v="2"/>
    <x v="1"/>
    <d v="2023-08-21T00:00:00"/>
  </r>
  <r>
    <s v="TXN_1738607"/>
    <x v="7"/>
    <n v="2"/>
    <n v="3"/>
    <n v="6"/>
    <x v="0"/>
    <x v="1"/>
    <d v="2023-01-17T00:00:00"/>
  </r>
  <r>
    <s v="TXN_3832513"/>
    <x v="3"/>
    <n v="1"/>
    <n v="5"/>
    <n v="5"/>
    <x v="2"/>
    <x v="0"/>
    <d v="2023-02-13T00:00:00"/>
  </r>
  <r>
    <s v="TXN_4128086"/>
    <x v="8"/>
    <n v="4"/>
    <n v="1.5"/>
    <n v="6"/>
    <x v="2"/>
    <x v="2"/>
    <d v="2023-05-29T00:00:00"/>
  </r>
  <r>
    <s v="TXN_3927733"/>
    <x v="3"/>
    <n v="5"/>
    <n v="5"/>
    <n v="25"/>
    <x v="0"/>
    <x v="0"/>
    <d v="2023-01-20T00:00:00"/>
  </r>
  <r>
    <s v="TXN_2518917"/>
    <x v="2"/>
    <n v="1"/>
    <n v="1"/>
    <n v="1"/>
    <x v="2"/>
    <x v="1"/>
    <d v="2023-05-21T00:00:00"/>
  </r>
  <r>
    <s v="TXN_9489176"/>
    <x v="7"/>
    <n v="5"/>
    <n v="3"/>
    <n v="15"/>
    <x v="3"/>
    <x v="1"/>
    <d v="2023-01-10T00:00:00"/>
  </r>
  <r>
    <s v="TXN_2004781"/>
    <x v="6"/>
    <n v="5"/>
    <n v="4"/>
    <n v="20"/>
    <x v="2"/>
    <x v="0"/>
    <d v="2023-04-20T00:00:00"/>
  </r>
  <r>
    <s v="TXN_3061266"/>
    <x v="2"/>
    <n v="4"/>
    <n v="1"/>
    <n v="4"/>
    <x v="0"/>
    <x v="1"/>
    <d v="2023-12-06T00:00:00"/>
  </r>
  <r>
    <s v="TXN_2036482"/>
    <x v="1"/>
    <n v="1"/>
    <n v="3"/>
    <n v="3"/>
    <x v="1"/>
    <x v="2"/>
    <d v="2023-06-04T00:00:00"/>
  </r>
  <r>
    <s v="TXN_7217284"/>
    <x v="3"/>
    <n v="3"/>
    <n v="5"/>
    <n v="15"/>
    <x v="1"/>
    <x v="1"/>
    <d v="2023-12-29T00:00:00"/>
  </r>
  <r>
    <s v="TXN_5055872"/>
    <x v="6"/>
    <n v="3"/>
    <n v="4"/>
    <n v="12"/>
    <x v="0"/>
    <x v="2"/>
    <d v="2023-02-05T00:00:00"/>
  </r>
  <r>
    <s v="TXN_1386024"/>
    <x v="1"/>
    <n v="4"/>
    <n v="3"/>
    <n v="12"/>
    <x v="0"/>
    <x v="2"/>
    <d v="2023-05-21T00:00:00"/>
  </r>
  <r>
    <s v="TXN_8397155"/>
    <x v="3"/>
    <n v="4"/>
    <n v="5"/>
    <n v="20"/>
    <x v="0"/>
    <x v="0"/>
    <d v="2023-08-16T00:00:00"/>
  </r>
  <r>
    <s v="TXN_9491244"/>
    <x v="5"/>
    <n v="5"/>
    <n v="3"/>
    <n v="15"/>
    <x v="2"/>
    <x v="2"/>
    <d v="2023-04-19T00:00:00"/>
  </r>
  <r>
    <s v="TXN_4301188"/>
    <x v="4"/>
    <n v="4"/>
    <n v="4"/>
    <n v="16"/>
    <x v="0"/>
    <x v="1"/>
    <d v="2023-12-23T00:00:00"/>
  </r>
  <r>
    <s v="TXN_4522012"/>
    <x v="0"/>
    <n v="2"/>
    <n v="2"/>
    <n v="4"/>
    <x v="2"/>
    <x v="1"/>
    <d v="2023-04-13T00:00:00"/>
  </r>
  <r>
    <s v="TXN_4650044"/>
    <x v="2"/>
    <n v="4"/>
    <n v="1"/>
    <n v="4"/>
    <x v="1"/>
    <x v="2"/>
    <d v="2023-06-21T00:00:00"/>
  </r>
  <r>
    <s v="TXN_5721215"/>
    <x v="8"/>
    <n v="2"/>
    <n v="1.5"/>
    <n v="3"/>
    <x v="2"/>
    <x v="0"/>
    <d v="2023-05-17T00:00:00"/>
  </r>
  <r>
    <s v="TXN_7865220"/>
    <x v="4"/>
    <n v="1"/>
    <n v="4"/>
    <n v="4"/>
    <x v="0"/>
    <x v="0"/>
    <d v="2023-06-28T00:00:00"/>
  </r>
  <r>
    <s v="TXN_1869147"/>
    <x v="4"/>
    <n v="4"/>
    <n v="4"/>
    <n v="16"/>
    <x v="3"/>
    <x v="2"/>
    <d v="2023-11-21T00:00:00"/>
  </r>
  <r>
    <s v="TXN_3377885"/>
    <x v="6"/>
    <n v="3"/>
    <n v="4"/>
    <n v="12"/>
    <x v="1"/>
    <x v="2"/>
    <d v="2023-05-08T00:00:00"/>
  </r>
  <r>
    <s v="TXN_9270865"/>
    <x v="4"/>
    <n v="2"/>
    <n v="4"/>
    <n v="8"/>
    <x v="0"/>
    <x v="0"/>
    <d v="2023-11-06T00:00:00"/>
  </r>
  <r>
    <s v="TXN_7373126"/>
    <x v="4"/>
    <n v="2"/>
    <n v="4"/>
    <n v="8"/>
    <x v="0"/>
    <x v="2"/>
    <d v="2023-11-18T00:00:00"/>
  </r>
  <r>
    <s v="TXN_8097899"/>
    <x v="0"/>
    <n v="4"/>
    <n v="2"/>
    <n v="8"/>
    <x v="3"/>
    <x v="2"/>
    <d v="2023-09-05T00:00:00"/>
  </r>
  <r>
    <s v="TXN_6131415"/>
    <x v="5"/>
    <n v="5"/>
    <n v="1.5"/>
    <n v="7.5"/>
    <x v="3"/>
    <x v="2"/>
    <d v="2023-11-24T00:00:00"/>
  </r>
  <r>
    <s v="TXN_1248436"/>
    <x v="1"/>
    <n v="4"/>
    <n v="3"/>
    <n v="12"/>
    <x v="0"/>
    <x v="0"/>
    <d v="2023-08-14T00:00:00"/>
  </r>
  <r>
    <s v="TXN_1718733"/>
    <x v="5"/>
    <n v="3"/>
    <n v="2"/>
    <n v="6"/>
    <x v="1"/>
    <x v="2"/>
    <d v="2023-05-31T00:00:00"/>
  </r>
  <r>
    <s v="TXN_9063887"/>
    <x v="1"/>
    <n v="5"/>
    <n v="3"/>
    <n v="15"/>
    <x v="2"/>
    <x v="0"/>
    <d v="2023-07-15T00:00:00"/>
  </r>
  <r>
    <s v="TXN_5932169"/>
    <x v="3"/>
    <n v="5"/>
    <n v="5"/>
    <n v="25"/>
    <x v="0"/>
    <x v="2"/>
    <d v="2023-11-06T00:00:00"/>
  </r>
  <r>
    <s v="TXN_6064282"/>
    <x v="4"/>
    <n v="4"/>
    <n v="4"/>
    <n v="16"/>
    <x v="0"/>
    <x v="2"/>
    <d v="2023-10-18T00:00:00"/>
  </r>
  <r>
    <s v="TXN_9309509"/>
    <x v="8"/>
    <n v="5"/>
    <n v="1.5"/>
    <n v="7.5"/>
    <x v="2"/>
    <x v="2"/>
    <d v="2023-11-15T00:00:00"/>
  </r>
  <r>
    <s v="TXN_5413274"/>
    <x v="4"/>
    <n v="5"/>
    <n v="4"/>
    <n v="20"/>
    <x v="0"/>
    <x v="1"/>
    <d v="2023-02-10T00:00:00"/>
  </r>
  <r>
    <s v="TXN_5902629"/>
    <x v="2"/>
    <n v="3"/>
    <n v="1"/>
    <n v="3"/>
    <x v="1"/>
    <x v="0"/>
    <d v="2023-01-26T00:00:00"/>
  </r>
  <r>
    <s v="TXN_2461859"/>
    <x v="6"/>
    <n v="2"/>
    <n v="4"/>
    <n v="8"/>
    <x v="3"/>
    <x v="2"/>
    <d v="2023-09-23T00:00:00"/>
  </r>
  <r>
    <s v="TXN_6629689"/>
    <x v="6"/>
    <n v="2"/>
    <n v="4"/>
    <n v="8"/>
    <x v="0"/>
    <x v="1"/>
    <d v="2023-05-29T00:00:00"/>
  </r>
  <r>
    <s v="TXN_2806206"/>
    <x v="6"/>
    <n v="3"/>
    <n v="4"/>
    <n v="12"/>
    <x v="1"/>
    <x v="2"/>
    <d v="2023-01-25T00:00:00"/>
  </r>
  <r>
    <s v="TXN_8900579"/>
    <x v="6"/>
    <n v="3"/>
    <n v="4"/>
    <n v="12"/>
    <x v="0"/>
    <x v="2"/>
    <d v="2023-11-01T00:00:00"/>
  </r>
  <r>
    <s v="TXN_5406758"/>
    <x v="5"/>
    <n v="5"/>
    <n v="5"/>
    <n v="25"/>
    <x v="2"/>
    <x v="0"/>
    <d v="2023-07-06T00:00:00"/>
  </r>
  <r>
    <s v="TXN_2982163"/>
    <x v="0"/>
    <n v="4"/>
    <n v="2"/>
    <n v="8"/>
    <x v="2"/>
    <x v="2"/>
    <d v="2023-03-22T00:00:00"/>
  </r>
  <r>
    <s v="TXN_3225132"/>
    <x v="6"/>
    <n v="3"/>
    <n v="4"/>
    <n v="12"/>
    <x v="0"/>
    <x v="2"/>
    <d v="2023-06-26T00:00:00"/>
  </r>
  <r>
    <s v="TXN_6522252"/>
    <x v="8"/>
    <n v="2"/>
    <n v="1.5"/>
    <n v="3"/>
    <x v="3"/>
    <x v="2"/>
    <d v="2023-01-14T00:00:00"/>
  </r>
  <r>
    <s v="TXN_5855981"/>
    <x v="7"/>
    <n v="2"/>
    <n v="3"/>
    <n v="6"/>
    <x v="1"/>
    <x v="2"/>
    <d v="2023-11-09T00:00:00"/>
  </r>
  <r>
    <s v="TXN_4802389"/>
    <x v="1"/>
    <n v="2"/>
    <n v="3"/>
    <n v="6"/>
    <x v="2"/>
    <x v="2"/>
    <d v="2023-12-14T00:00:00"/>
  </r>
  <r>
    <s v="TXN_7516790"/>
    <x v="1"/>
    <n v="2"/>
    <n v="3"/>
    <n v="6"/>
    <x v="2"/>
    <x v="2"/>
    <d v="2023-01-08T00:00:00"/>
  </r>
  <r>
    <s v="TXN_2631671"/>
    <x v="2"/>
    <n v="1"/>
    <n v="1"/>
    <n v="1"/>
    <x v="0"/>
    <x v="2"/>
    <m/>
  </r>
  <r>
    <s v="TXN_2345373"/>
    <x v="8"/>
    <n v="3"/>
    <n v="1.5"/>
    <n v="4.5"/>
    <x v="0"/>
    <x v="0"/>
    <d v="2023-02-20T00:00:00"/>
  </r>
  <r>
    <s v="TXN_9372046"/>
    <x v="5"/>
    <n v="3"/>
    <n v="2"/>
    <n v="6"/>
    <x v="0"/>
    <x v="1"/>
    <d v="2023-04-10T00:00:00"/>
  </r>
  <r>
    <s v="TXN_9402270"/>
    <x v="0"/>
    <n v="3"/>
    <n v="2"/>
    <n v="6"/>
    <x v="2"/>
    <x v="1"/>
    <d v="2023-02-09T00:00:00"/>
  </r>
  <r>
    <s v="TXN_9306229"/>
    <x v="4"/>
    <n v="2"/>
    <n v="4"/>
    <n v="8"/>
    <x v="2"/>
    <x v="2"/>
    <d v="2023-09-08T00:00:00"/>
  </r>
  <r>
    <s v="TXN_5379179"/>
    <x v="2"/>
    <n v="2"/>
    <n v="1"/>
    <n v="2"/>
    <x v="3"/>
    <x v="2"/>
    <d v="2023-07-08T00:00:00"/>
  </r>
  <r>
    <s v="TXN_1996318"/>
    <x v="1"/>
    <n v="5"/>
    <n v="3"/>
    <n v="15"/>
    <x v="3"/>
    <x v="2"/>
    <d v="2023-09-04T00:00:00"/>
  </r>
  <r>
    <s v="TXN_2135613"/>
    <x v="4"/>
    <n v="3"/>
    <n v="4"/>
    <n v="12"/>
    <x v="3"/>
    <x v="2"/>
    <d v="2023-04-06T00:00:00"/>
  </r>
  <r>
    <s v="TXN_1461246"/>
    <x v="4"/>
    <n v="1"/>
    <n v="4"/>
    <n v="4"/>
    <x v="2"/>
    <x v="2"/>
    <d v="2023-06-01T00:00:00"/>
  </r>
  <r>
    <s v="TXN_2452624"/>
    <x v="7"/>
    <n v="1"/>
    <n v="3"/>
    <n v="3"/>
    <x v="1"/>
    <x v="2"/>
    <d v="2023-11-10T00:00:00"/>
  </r>
  <r>
    <s v="TXN_1108663"/>
    <x v="7"/>
    <n v="3"/>
    <n v="3"/>
    <n v="9"/>
    <x v="1"/>
    <x v="0"/>
    <d v="2023-08-16T00:00:00"/>
  </r>
  <r>
    <s v="TXN_5319247"/>
    <x v="6"/>
    <n v="5"/>
    <n v="4"/>
    <n v="20"/>
    <x v="2"/>
    <x v="1"/>
    <d v="2023-03-02T00:00:00"/>
  </r>
  <r>
    <s v="TXN_3599473"/>
    <x v="0"/>
    <n v="2"/>
    <n v="2"/>
    <n v="4"/>
    <x v="1"/>
    <x v="2"/>
    <d v="2023-08-29T00:00:00"/>
  </r>
  <r>
    <s v="TXN_4959129"/>
    <x v="5"/>
    <n v="2"/>
    <n v="3"/>
    <n v="6"/>
    <x v="0"/>
    <x v="1"/>
    <d v="2023-06-24T00:00:00"/>
  </r>
  <r>
    <s v="TXN_5591145"/>
    <x v="6"/>
    <n v="3"/>
    <n v="4"/>
    <n v="12"/>
    <x v="2"/>
    <x v="0"/>
    <d v="2023-08-22T00:00:00"/>
  </r>
  <r>
    <s v="TXN_9587015"/>
    <x v="3"/>
    <n v="3"/>
    <n v="5"/>
    <n v="15"/>
    <x v="3"/>
    <x v="1"/>
    <d v="2023-06-25T00:00:00"/>
  </r>
  <r>
    <s v="TXN_7997641"/>
    <x v="4"/>
    <n v="2"/>
    <n v="4"/>
    <n v="8"/>
    <x v="2"/>
    <x v="1"/>
    <d v="2023-12-20T00:00:00"/>
  </r>
  <r>
    <s v="TXN_7943598"/>
    <x v="5"/>
    <n v="4"/>
    <n v="4"/>
    <n v="16"/>
    <x v="0"/>
    <x v="2"/>
    <m/>
  </r>
  <r>
    <s v="TXN_6845472"/>
    <x v="4"/>
    <n v="5"/>
    <n v="4"/>
    <n v="20"/>
    <x v="3"/>
    <x v="2"/>
    <d v="2023-12-11T00:00:00"/>
  </r>
  <r>
    <s v="TXN_2861396"/>
    <x v="3"/>
    <n v="5"/>
    <n v="5"/>
    <n v="25"/>
    <x v="0"/>
    <x v="2"/>
    <d v="2023-01-04T00:00:00"/>
  </r>
  <r>
    <s v="TXN_6915899"/>
    <x v="3"/>
    <n v="3"/>
    <n v="5"/>
    <n v="15"/>
    <x v="0"/>
    <x v="1"/>
    <d v="2023-05-29T00:00:00"/>
  </r>
  <r>
    <s v="TXN_6211466"/>
    <x v="5"/>
    <n v="2"/>
    <n v="1.5"/>
    <n v="3"/>
    <x v="1"/>
    <x v="1"/>
    <d v="2023-09-12T00:00:00"/>
  </r>
  <r>
    <s v="TXN_3200203"/>
    <x v="5"/>
    <n v="2"/>
    <n v="4"/>
    <n v="8"/>
    <x v="2"/>
    <x v="2"/>
    <d v="2023-12-04T00:00:00"/>
  </r>
  <r>
    <s v="TXN_5198524"/>
    <x v="1"/>
    <n v="1"/>
    <n v="3"/>
    <n v="3"/>
    <x v="0"/>
    <x v="1"/>
    <d v="2023-06-14T00:00:00"/>
  </r>
  <r>
    <s v="TXN_8498613"/>
    <x v="6"/>
    <n v="2"/>
    <n v="4"/>
    <n v="8"/>
    <x v="2"/>
    <x v="2"/>
    <d v="2023-11-08T00:00:00"/>
  </r>
  <r>
    <s v="TXN_3432879"/>
    <x v="1"/>
    <n v="5"/>
    <n v="3"/>
    <n v="15"/>
    <x v="0"/>
    <x v="2"/>
    <d v="2023-02-05T00:00:00"/>
  </r>
  <r>
    <s v="TXN_6786340"/>
    <x v="0"/>
    <n v="5"/>
    <n v="2"/>
    <n v="10"/>
    <x v="3"/>
    <x v="0"/>
    <d v="2023-04-18T00:00:00"/>
  </r>
  <r>
    <s v="TXN_8689246"/>
    <x v="6"/>
    <n v="5"/>
    <n v="4"/>
    <n v="20"/>
    <x v="0"/>
    <x v="1"/>
    <d v="2023-05-16T00:00:00"/>
  </r>
  <r>
    <s v="TXN_4536553"/>
    <x v="8"/>
    <n v="2"/>
    <n v="1.5"/>
    <n v="3"/>
    <x v="1"/>
    <x v="2"/>
    <d v="2023-08-17T00:00:00"/>
  </r>
  <r>
    <s v="TXN_9036067"/>
    <x v="2"/>
    <n v="5"/>
    <n v="1"/>
    <n v="5"/>
    <x v="0"/>
    <x v="2"/>
    <d v="2023-10-06T00:00:00"/>
  </r>
  <r>
    <s v="TXN_4201578"/>
    <x v="3"/>
    <n v="5"/>
    <n v="5"/>
    <n v="25"/>
    <x v="2"/>
    <x v="1"/>
    <d v="2023-01-23T00:00:00"/>
  </r>
  <r>
    <s v="TXN_1249069"/>
    <x v="0"/>
    <n v="2"/>
    <n v="2"/>
    <n v="4"/>
    <x v="2"/>
    <x v="2"/>
    <d v="2023-01-22T00:00:00"/>
  </r>
  <r>
    <s v="TXN_4068183"/>
    <x v="4"/>
    <n v="4"/>
    <n v="4"/>
    <n v="16"/>
    <x v="3"/>
    <x v="2"/>
    <d v="2023-08-01T00:00:00"/>
  </r>
  <r>
    <s v="TXN_7206160"/>
    <x v="6"/>
    <n v="2"/>
    <n v="4"/>
    <n v="8"/>
    <x v="2"/>
    <x v="2"/>
    <d v="2023-09-07T00:00:00"/>
  </r>
  <r>
    <s v="TXN_7903841"/>
    <x v="5"/>
    <n v="2"/>
    <n v="3"/>
    <n v="6"/>
    <x v="3"/>
    <x v="2"/>
    <d v="2023-06-24T00:00:00"/>
  </r>
  <r>
    <s v="TXN_8936663"/>
    <x v="2"/>
    <n v="4"/>
    <n v="1"/>
    <n v="4"/>
    <x v="0"/>
    <x v="2"/>
    <d v="2023-11-12T00:00:00"/>
  </r>
  <r>
    <s v="TXN_7771434"/>
    <x v="0"/>
    <n v="4"/>
    <n v="2"/>
    <n v="8"/>
    <x v="0"/>
    <x v="2"/>
    <d v="2023-03-26T00:00:00"/>
  </r>
  <r>
    <s v="TXN_6087494"/>
    <x v="7"/>
    <n v="5"/>
    <n v="3"/>
    <n v="15"/>
    <x v="0"/>
    <x v="2"/>
    <d v="2023-07-05T00:00:00"/>
  </r>
  <r>
    <s v="TXN_2252121"/>
    <x v="4"/>
    <n v="3"/>
    <n v="4"/>
    <n v="12"/>
    <x v="2"/>
    <x v="2"/>
    <d v="2023-02-01T00:00:00"/>
  </r>
  <r>
    <s v="TXN_5358805"/>
    <x v="0"/>
    <n v="5"/>
    <n v="2"/>
    <n v="10"/>
    <x v="3"/>
    <x v="2"/>
    <d v="2023-01-01T00:00:00"/>
  </r>
  <r>
    <s v="TXN_2490759"/>
    <x v="4"/>
    <n v="3"/>
    <n v="4"/>
    <n v="12"/>
    <x v="1"/>
    <x v="2"/>
    <d v="2023-11-19T00:00:00"/>
  </r>
  <r>
    <s v="TXN_2605566"/>
    <x v="1"/>
    <n v="2"/>
    <n v="3"/>
    <n v="6"/>
    <x v="2"/>
    <x v="2"/>
    <d v="2023-12-01T00:00:00"/>
  </r>
  <r>
    <s v="TXN_6691781"/>
    <x v="0"/>
    <n v="4"/>
    <n v="2"/>
    <n v="8"/>
    <x v="0"/>
    <x v="2"/>
    <d v="2023-09-07T00:00:00"/>
  </r>
  <r>
    <s v="TXN_1730850"/>
    <x v="7"/>
    <n v="2"/>
    <n v="3"/>
    <n v="6"/>
    <x v="1"/>
    <x v="0"/>
    <d v="2023-12-15T00:00:00"/>
  </r>
  <r>
    <s v="TXN_7051359"/>
    <x v="0"/>
    <n v="5"/>
    <n v="2"/>
    <n v="10"/>
    <x v="2"/>
    <x v="2"/>
    <d v="2023-10-30T00:00:00"/>
  </r>
  <r>
    <s v="TXN_2202863"/>
    <x v="3"/>
    <n v="5"/>
    <n v="5"/>
    <n v="25"/>
    <x v="2"/>
    <x v="2"/>
    <d v="2023-07-28T00:00:00"/>
  </r>
  <r>
    <s v="TXN_7145672"/>
    <x v="6"/>
    <n v="1"/>
    <n v="4"/>
    <n v="4"/>
    <x v="0"/>
    <x v="2"/>
    <d v="2023-10-11T00:00:00"/>
  </r>
  <r>
    <s v="TXN_5974123"/>
    <x v="6"/>
    <n v="2"/>
    <n v="4"/>
    <n v="8"/>
    <x v="3"/>
    <x v="2"/>
    <d v="2023-06-25T00:00:00"/>
  </r>
  <r>
    <s v="TXN_9833245"/>
    <x v="2"/>
    <n v="1"/>
    <n v="1"/>
    <n v="1"/>
    <x v="3"/>
    <x v="0"/>
    <d v="2023-04-30T00:00:00"/>
  </r>
  <r>
    <s v="TXN_1515059"/>
    <x v="5"/>
    <n v="4"/>
    <n v="3"/>
    <n v="12"/>
    <x v="2"/>
    <x v="1"/>
    <d v="2023-10-25T00:00:00"/>
  </r>
  <r>
    <s v="TXN_9690114"/>
    <x v="0"/>
    <n v="2"/>
    <n v="2"/>
    <n v="4"/>
    <x v="0"/>
    <x v="0"/>
    <d v="2023-12-01T00:00:00"/>
  </r>
  <r>
    <s v="TXN_7944534"/>
    <x v="8"/>
    <n v="2"/>
    <n v="1.5"/>
    <n v="3"/>
    <x v="3"/>
    <x v="1"/>
    <d v="2023-10-13T00:00:00"/>
  </r>
  <r>
    <s v="TXN_6337312"/>
    <x v="3"/>
    <n v="1"/>
    <n v="5"/>
    <n v="5"/>
    <x v="2"/>
    <x v="1"/>
    <d v="2023-01-11T00:00:00"/>
  </r>
  <r>
    <s v="TXN_5239202"/>
    <x v="1"/>
    <n v="1"/>
    <n v="3"/>
    <n v="3"/>
    <x v="2"/>
    <x v="2"/>
    <d v="2023-09-14T00:00:00"/>
  </r>
  <r>
    <s v="TXN_1512184"/>
    <x v="0"/>
    <n v="3"/>
    <n v="2"/>
    <n v="6"/>
    <x v="2"/>
    <x v="0"/>
    <d v="2023-01-28T00:00:00"/>
  </r>
  <r>
    <s v="TXN_9864212"/>
    <x v="4"/>
    <n v="5"/>
    <n v="4"/>
    <n v="20"/>
    <x v="2"/>
    <x v="2"/>
    <m/>
  </r>
  <r>
    <s v="TXN_6811368"/>
    <x v="0"/>
    <n v="4"/>
    <n v="2"/>
    <n v="8"/>
    <x v="2"/>
    <x v="0"/>
    <d v="2023-02-18T00:00:00"/>
  </r>
  <r>
    <s v="TXN_3854036"/>
    <x v="7"/>
    <n v="3"/>
    <n v="3"/>
    <n v="9"/>
    <x v="1"/>
    <x v="2"/>
    <d v="2023-11-07T00:00:00"/>
  </r>
  <r>
    <s v="TXN_3873656"/>
    <x v="0"/>
    <n v="3"/>
    <n v="2"/>
    <n v="6"/>
    <x v="2"/>
    <x v="0"/>
    <d v="2023-09-30T00:00:00"/>
  </r>
  <r>
    <s v="TXN_8792638"/>
    <x v="8"/>
    <n v="3"/>
    <n v="1.5"/>
    <n v="4.5"/>
    <x v="0"/>
    <x v="0"/>
    <d v="2023-07-02T00:00:00"/>
  </r>
  <r>
    <s v="TXN_7397665"/>
    <x v="3"/>
    <n v="5"/>
    <n v="5"/>
    <n v="25"/>
    <x v="0"/>
    <x v="0"/>
    <d v="2023-11-11T00:00:00"/>
  </r>
  <r>
    <s v="TXN_3493951"/>
    <x v="4"/>
    <n v="5"/>
    <n v="4"/>
    <n v="20"/>
    <x v="1"/>
    <x v="0"/>
    <d v="2023-08-20T00:00:00"/>
  </r>
  <r>
    <s v="TXN_1480967"/>
    <x v="8"/>
    <n v="2"/>
    <n v="1.5"/>
    <n v="3"/>
    <x v="1"/>
    <x v="0"/>
    <m/>
  </r>
  <r>
    <s v="TXN_1510315"/>
    <x v="5"/>
    <n v="3"/>
    <n v="2"/>
    <n v="6"/>
    <x v="1"/>
    <x v="2"/>
    <d v="2023-02-28T00:00:00"/>
  </r>
  <r>
    <s v="TXN_7763592"/>
    <x v="4"/>
    <n v="1"/>
    <n v="4"/>
    <n v="4"/>
    <x v="2"/>
    <x v="1"/>
    <d v="2023-02-17T00:00:00"/>
  </r>
  <r>
    <s v="TXN_9710307"/>
    <x v="5"/>
    <n v="2"/>
    <n v="1.5"/>
    <n v="3"/>
    <x v="2"/>
    <x v="0"/>
    <d v="2023-01-24T00:00:00"/>
  </r>
  <r>
    <s v="TXN_1860406"/>
    <x v="0"/>
    <n v="2"/>
    <n v="2"/>
    <n v="4"/>
    <x v="2"/>
    <x v="0"/>
    <d v="2023-06-17T00:00:00"/>
  </r>
  <r>
    <s v="TXN_1663257"/>
    <x v="7"/>
    <n v="3"/>
    <n v="3"/>
    <n v="9"/>
    <x v="0"/>
    <x v="2"/>
    <d v="2023-04-23T00:00:00"/>
  </r>
  <r>
    <s v="TXN_2743696"/>
    <x v="2"/>
    <n v="1"/>
    <n v="1"/>
    <n v="1"/>
    <x v="2"/>
    <x v="2"/>
    <d v="2023-04-28T00:00:00"/>
  </r>
  <r>
    <s v="TXN_7640700"/>
    <x v="7"/>
    <n v="2"/>
    <n v="3"/>
    <n v="6"/>
    <x v="2"/>
    <x v="2"/>
    <d v="2023-01-15T00:00:00"/>
  </r>
  <r>
    <s v="TXN_3227186"/>
    <x v="3"/>
    <n v="2"/>
    <n v="5"/>
    <n v="10"/>
    <x v="3"/>
    <x v="2"/>
    <d v="2023-05-05T00:00:00"/>
  </r>
  <r>
    <s v="TXN_7917193"/>
    <x v="2"/>
    <n v="3"/>
    <n v="1"/>
    <n v="3"/>
    <x v="1"/>
    <x v="2"/>
    <d v="2023-05-18T00:00:00"/>
  </r>
  <r>
    <s v="TXN_2490435"/>
    <x v="2"/>
    <n v="1"/>
    <n v="1"/>
    <n v="1"/>
    <x v="2"/>
    <x v="2"/>
    <d v="2023-03-13T00:00:00"/>
  </r>
  <r>
    <s v="TXN_4698656"/>
    <x v="4"/>
    <n v="4"/>
    <n v="4"/>
    <n v="16"/>
    <x v="2"/>
    <x v="2"/>
    <d v="2023-12-07T00:00:00"/>
  </r>
  <r>
    <s v="TXN_3507334"/>
    <x v="7"/>
    <n v="4"/>
    <n v="3"/>
    <n v="12"/>
    <x v="2"/>
    <x v="2"/>
    <d v="2023-05-05T00:00:00"/>
  </r>
  <r>
    <s v="TXN_5255023"/>
    <x v="5"/>
    <n v="2"/>
    <n v="4"/>
    <n v="8"/>
    <x v="0"/>
    <x v="1"/>
    <d v="2023-11-15T00:00:00"/>
  </r>
  <r>
    <s v="TXN_8669012"/>
    <x v="5"/>
    <n v="3"/>
    <n v="1.5"/>
    <n v="4.5"/>
    <x v="3"/>
    <x v="2"/>
    <d v="2023-07-26T00:00:00"/>
  </r>
  <r>
    <s v="TXN_1299959"/>
    <x v="4"/>
    <n v="5"/>
    <n v="4"/>
    <n v="20"/>
    <x v="1"/>
    <x v="2"/>
    <d v="2023-06-23T00:00:00"/>
  </r>
  <r>
    <s v="TXN_3680047"/>
    <x v="3"/>
    <n v="5"/>
    <n v="5"/>
    <n v="25"/>
    <x v="2"/>
    <x v="2"/>
    <d v="2023-07-16T00:00:00"/>
  </r>
  <r>
    <s v="TXN_8379880"/>
    <x v="7"/>
    <n v="3"/>
    <n v="3"/>
    <n v="9"/>
    <x v="2"/>
    <x v="0"/>
    <d v="2023-05-24T00:00:00"/>
  </r>
  <r>
    <s v="TXN_4801832"/>
    <x v="3"/>
    <n v="2"/>
    <n v="5"/>
    <n v="10"/>
    <x v="2"/>
    <x v="0"/>
    <d v="2023-08-05T00:00:00"/>
  </r>
  <r>
    <s v="TXN_3425783"/>
    <x v="7"/>
    <n v="2"/>
    <n v="3"/>
    <n v="6"/>
    <x v="2"/>
    <x v="2"/>
    <d v="2023-06-15T00:00:00"/>
  </r>
  <r>
    <s v="TXN_4099487"/>
    <x v="5"/>
    <n v="5"/>
    <n v="4"/>
    <n v="20"/>
    <x v="3"/>
    <x v="2"/>
    <d v="2023-01-25T00:00:00"/>
  </r>
  <r>
    <s v="TXN_8878830"/>
    <x v="0"/>
    <n v="4"/>
    <n v="2"/>
    <n v="8"/>
    <x v="0"/>
    <x v="0"/>
    <d v="2023-10-11T00:00:00"/>
  </r>
  <r>
    <s v="TXN_7524977"/>
    <x v="5"/>
    <n v="4"/>
    <m/>
    <m/>
    <x v="2"/>
    <x v="2"/>
    <d v="2023-12-09T00:00:00"/>
  </r>
  <r>
    <s v="TXN_8295101"/>
    <x v="8"/>
    <n v="4"/>
    <n v="1.5"/>
    <n v="6"/>
    <x v="2"/>
    <x v="2"/>
    <d v="2023-10-23T00:00:00"/>
  </r>
  <r>
    <s v="TXN_3303114"/>
    <x v="3"/>
    <n v="4"/>
    <n v="5"/>
    <n v="20"/>
    <x v="0"/>
    <x v="1"/>
    <d v="2023-06-18T00:00:00"/>
  </r>
  <r>
    <s v="TXN_2106437"/>
    <x v="8"/>
    <n v="1"/>
    <n v="1.5"/>
    <n v="1.5"/>
    <x v="1"/>
    <x v="0"/>
    <d v="2023-08-01T00:00:00"/>
  </r>
  <r>
    <s v="TXN_2291713"/>
    <x v="3"/>
    <n v="4"/>
    <n v="5"/>
    <n v="20"/>
    <x v="1"/>
    <x v="1"/>
    <d v="2023-08-06T00:00:00"/>
  </r>
  <r>
    <s v="TXN_7552449"/>
    <x v="1"/>
    <n v="3"/>
    <n v="3"/>
    <n v="9"/>
    <x v="1"/>
    <x v="2"/>
    <d v="2023-05-26T00:00:00"/>
  </r>
  <r>
    <s v="TXN_9021000"/>
    <x v="0"/>
    <n v="3"/>
    <n v="2"/>
    <n v="6"/>
    <x v="2"/>
    <x v="2"/>
    <d v="2023-01-20T00:00:00"/>
  </r>
  <r>
    <s v="TXN_4205369"/>
    <x v="3"/>
    <n v="5"/>
    <n v="5"/>
    <n v="25"/>
    <x v="2"/>
    <x v="0"/>
    <d v="2023-07-16T00:00:00"/>
  </r>
  <r>
    <s v="TXN_4551806"/>
    <x v="8"/>
    <n v="1"/>
    <n v="1.5"/>
    <n v="1.5"/>
    <x v="2"/>
    <x v="2"/>
    <d v="2023-01-09T00:00:00"/>
  </r>
  <r>
    <s v="TXN_5313211"/>
    <x v="4"/>
    <n v="5"/>
    <n v="4"/>
    <n v="20"/>
    <x v="0"/>
    <x v="2"/>
    <d v="2023-05-04T00:00:00"/>
  </r>
  <r>
    <s v="TXN_2282283"/>
    <x v="2"/>
    <n v="2"/>
    <n v="1"/>
    <n v="2"/>
    <x v="3"/>
    <x v="2"/>
    <d v="2023-02-23T00:00:00"/>
  </r>
  <r>
    <s v="TXN_3193321"/>
    <x v="4"/>
    <n v="3"/>
    <n v="4"/>
    <n v="12"/>
    <x v="2"/>
    <x v="0"/>
    <d v="2023-08-15T00:00:00"/>
  </r>
  <r>
    <s v="TXN_7211769"/>
    <x v="7"/>
    <n v="1"/>
    <n v="3"/>
    <n v="3"/>
    <x v="0"/>
    <x v="2"/>
    <d v="2023-09-11T00:00:00"/>
  </r>
  <r>
    <s v="TXN_6643951"/>
    <x v="5"/>
    <n v="1"/>
    <n v="4"/>
    <n v="4"/>
    <x v="0"/>
    <x v="1"/>
    <d v="2023-01-07T00:00:00"/>
  </r>
  <r>
    <s v="TXN_1653570"/>
    <x v="0"/>
    <n v="5"/>
    <n v="2"/>
    <n v="10"/>
    <x v="2"/>
    <x v="0"/>
    <d v="2023-10-10T00:00:00"/>
  </r>
  <r>
    <s v="TXN_3722720"/>
    <x v="3"/>
    <n v="2"/>
    <n v="5"/>
    <n v="10"/>
    <x v="2"/>
    <x v="1"/>
    <d v="2023-06-27T00:00:00"/>
  </r>
  <r>
    <s v="TXN_7624646"/>
    <x v="4"/>
    <n v="2"/>
    <n v="4"/>
    <n v="8"/>
    <x v="2"/>
    <x v="2"/>
    <d v="2023-03-24T00:00:00"/>
  </r>
  <r>
    <s v="TXN_6725579"/>
    <x v="8"/>
    <n v="2"/>
    <n v="1.5"/>
    <n v="3"/>
    <x v="0"/>
    <x v="0"/>
    <d v="2023-02-21T00:00:00"/>
  </r>
  <r>
    <s v="TXN_4015101"/>
    <x v="6"/>
    <n v="1"/>
    <n v="4"/>
    <n v="4"/>
    <x v="0"/>
    <x v="2"/>
    <d v="2023-01-18T00:00:00"/>
  </r>
  <r>
    <s v="TXN_6037712"/>
    <x v="3"/>
    <n v="3"/>
    <n v="5"/>
    <n v="15"/>
    <x v="0"/>
    <x v="1"/>
    <d v="2023-08-10T00:00:00"/>
  </r>
  <r>
    <s v="TXN_6845225"/>
    <x v="8"/>
    <n v="4"/>
    <n v="1.5"/>
    <n v="6"/>
    <x v="0"/>
    <x v="0"/>
    <d v="2023-02-21T00:00:00"/>
  </r>
  <r>
    <s v="TXN_5214219"/>
    <x v="3"/>
    <n v="4"/>
    <n v="5"/>
    <n v="20"/>
    <x v="0"/>
    <x v="2"/>
    <d v="2023-03-22T00:00:00"/>
  </r>
  <r>
    <s v="TXN_3388054"/>
    <x v="0"/>
    <n v="5"/>
    <n v="2"/>
    <n v="10"/>
    <x v="1"/>
    <x v="2"/>
    <d v="2023-11-13T00:00:00"/>
  </r>
  <r>
    <s v="TXN_5817991"/>
    <x v="4"/>
    <n v="4"/>
    <n v="4"/>
    <n v="16"/>
    <x v="1"/>
    <x v="2"/>
    <d v="2023-05-24T00:00:00"/>
  </r>
  <r>
    <s v="TXN_2916247"/>
    <x v="3"/>
    <n v="3"/>
    <n v="5"/>
    <n v="15"/>
    <x v="2"/>
    <x v="1"/>
    <d v="2023-09-03T00:00:00"/>
  </r>
  <r>
    <s v="TXN_9798525"/>
    <x v="0"/>
    <n v="2"/>
    <n v="2"/>
    <n v="4"/>
    <x v="3"/>
    <x v="0"/>
    <d v="2023-11-05T00:00:00"/>
  </r>
  <r>
    <s v="TXN_4974012"/>
    <x v="6"/>
    <n v="5"/>
    <n v="4"/>
    <n v="20"/>
    <x v="1"/>
    <x v="0"/>
    <d v="2023-05-17T00:00:00"/>
  </r>
  <r>
    <s v="TXN_7644000"/>
    <x v="1"/>
    <n v="2"/>
    <n v="3"/>
    <n v="6"/>
    <x v="2"/>
    <x v="0"/>
    <d v="2023-02-07T00:00:00"/>
  </r>
  <r>
    <s v="TXN_1482123"/>
    <x v="0"/>
    <n v="1"/>
    <n v="2"/>
    <n v="2"/>
    <x v="1"/>
    <x v="1"/>
    <d v="2023-06-17T00:00:00"/>
  </r>
  <r>
    <s v="TXN_5622313"/>
    <x v="3"/>
    <n v="2"/>
    <n v="5"/>
    <n v="10"/>
    <x v="0"/>
    <x v="1"/>
    <d v="2023-01-07T00:00:00"/>
  </r>
  <r>
    <s v="TXN_5737831"/>
    <x v="7"/>
    <n v="4"/>
    <n v="3"/>
    <n v="12"/>
    <x v="2"/>
    <x v="0"/>
    <d v="2023-05-15T00:00:00"/>
  </r>
  <r>
    <s v="TXN_3446033"/>
    <x v="2"/>
    <n v="3"/>
    <n v="1"/>
    <n v="3"/>
    <x v="0"/>
    <x v="2"/>
    <d v="2023-02-15T00:00:00"/>
  </r>
  <r>
    <s v="TXN_6249754"/>
    <x v="4"/>
    <n v="1"/>
    <n v="4"/>
    <n v="4"/>
    <x v="0"/>
    <x v="0"/>
    <d v="2023-10-21T00:00:00"/>
  </r>
  <r>
    <s v="TXN_9729280"/>
    <x v="8"/>
    <n v="3"/>
    <n v="1.5"/>
    <n v="4.5"/>
    <x v="0"/>
    <x v="1"/>
    <d v="2023-11-06T00:00:00"/>
  </r>
  <r>
    <s v="TXN_9551638"/>
    <x v="3"/>
    <n v="3"/>
    <n v="5"/>
    <n v="15"/>
    <x v="1"/>
    <x v="2"/>
    <d v="2023-06-25T00:00:00"/>
  </r>
  <r>
    <s v="TXN_5158607"/>
    <x v="4"/>
    <n v="4"/>
    <n v="4"/>
    <n v="16"/>
    <x v="0"/>
    <x v="2"/>
    <d v="2023-03-24T00:00:00"/>
  </r>
  <r>
    <s v="TXN_1045022"/>
    <x v="6"/>
    <n v="4"/>
    <n v="4"/>
    <n v="16"/>
    <x v="0"/>
    <x v="0"/>
    <d v="2023-10-13T00:00:00"/>
  </r>
  <r>
    <s v="TXN_5818032"/>
    <x v="5"/>
    <n v="1"/>
    <n v="1"/>
    <n v="1"/>
    <x v="2"/>
    <x v="2"/>
    <d v="2023-04-19T00:00:00"/>
  </r>
  <r>
    <s v="TXN_5404249"/>
    <x v="5"/>
    <n v="1"/>
    <n v="4"/>
    <n v="4"/>
    <x v="2"/>
    <x v="2"/>
    <d v="2023-10-04T00:00:00"/>
  </r>
  <r>
    <s v="TXN_5484423"/>
    <x v="5"/>
    <n v="2"/>
    <n v="2"/>
    <n v="4"/>
    <x v="2"/>
    <x v="2"/>
    <d v="2023-08-26T00:00:00"/>
  </r>
  <r>
    <s v="TXN_4598397"/>
    <x v="0"/>
    <n v="4"/>
    <n v="2"/>
    <n v="8"/>
    <x v="1"/>
    <x v="0"/>
    <d v="2023-09-13T00:00:00"/>
  </r>
  <r>
    <s v="TXN_3849488"/>
    <x v="3"/>
    <n v="1"/>
    <n v="5"/>
    <n v="5"/>
    <x v="2"/>
    <x v="1"/>
    <d v="2023-03-01T00:00:00"/>
  </r>
  <r>
    <s v="TXN_9186913"/>
    <x v="2"/>
    <n v="2"/>
    <n v="1"/>
    <n v="2"/>
    <x v="0"/>
    <x v="0"/>
    <d v="2023-10-16T00:00:00"/>
  </r>
  <r>
    <s v="TXN_9507002"/>
    <x v="4"/>
    <n v="1"/>
    <n v="4"/>
    <n v="4"/>
    <x v="1"/>
    <x v="0"/>
    <d v="2023-05-08T00:00:00"/>
  </r>
  <r>
    <s v="TXN_4423218"/>
    <x v="2"/>
    <n v="3"/>
    <n v="1"/>
    <n v="3"/>
    <x v="1"/>
    <x v="1"/>
    <d v="2023-05-29T00:00:00"/>
  </r>
  <r>
    <s v="TXN_4851339"/>
    <x v="6"/>
    <n v="1"/>
    <n v="4"/>
    <n v="4"/>
    <x v="3"/>
    <x v="0"/>
    <d v="2023-02-01T00:00:00"/>
  </r>
  <r>
    <s v="TXN_3274105"/>
    <x v="2"/>
    <n v="5"/>
    <n v="1"/>
    <n v="5"/>
    <x v="0"/>
    <x v="0"/>
    <d v="2023-07-28T00:00:00"/>
  </r>
  <r>
    <s v="TXN_2810280"/>
    <x v="4"/>
    <n v="1"/>
    <n v="4"/>
    <n v="4"/>
    <x v="3"/>
    <x v="0"/>
    <d v="2023-06-25T00:00:00"/>
  </r>
  <r>
    <s v="TXN_9901424"/>
    <x v="2"/>
    <n v="3"/>
    <n v="1"/>
    <n v="3"/>
    <x v="3"/>
    <x v="2"/>
    <d v="2023-05-30T00:00:00"/>
  </r>
  <r>
    <s v="TXN_3880417"/>
    <x v="2"/>
    <n v="1"/>
    <n v="1"/>
    <n v="1"/>
    <x v="2"/>
    <x v="1"/>
    <d v="2023-06-27T00:00:00"/>
  </r>
  <r>
    <s v="TXN_3756680"/>
    <x v="8"/>
    <n v="2"/>
    <n v="1.5"/>
    <n v="3"/>
    <x v="0"/>
    <x v="2"/>
    <d v="2023-08-30T00:00:00"/>
  </r>
  <r>
    <s v="TXN_2334523"/>
    <x v="0"/>
    <n v="5"/>
    <n v="2"/>
    <n v="10"/>
    <x v="3"/>
    <x v="0"/>
    <d v="2023-08-17T00:00:00"/>
  </r>
  <r>
    <s v="TXN_8611913"/>
    <x v="8"/>
    <n v="5"/>
    <n v="1.5"/>
    <n v="7.5"/>
    <x v="3"/>
    <x v="1"/>
    <d v="2023-07-16T00:00:00"/>
  </r>
  <r>
    <s v="TXN_7387701"/>
    <x v="0"/>
    <n v="1"/>
    <n v="2"/>
    <n v="2"/>
    <x v="1"/>
    <x v="0"/>
    <m/>
  </r>
  <r>
    <s v="TXN_9904091"/>
    <x v="3"/>
    <n v="4"/>
    <n v="5"/>
    <n v="20"/>
    <x v="2"/>
    <x v="2"/>
    <d v="2023-05-20T00:00:00"/>
  </r>
  <r>
    <s v="TXN_4953063"/>
    <x v="8"/>
    <n v="5"/>
    <n v="1.5"/>
    <n v="7.5"/>
    <x v="0"/>
    <x v="2"/>
    <m/>
  </r>
  <r>
    <s v="TXN_5908857"/>
    <x v="4"/>
    <n v="5"/>
    <n v="4"/>
    <n v="20"/>
    <x v="2"/>
    <x v="1"/>
    <d v="2023-06-04T00:00:00"/>
  </r>
  <r>
    <s v="TXN_4411172"/>
    <x v="4"/>
    <n v="4"/>
    <n v="4"/>
    <n v="16"/>
    <x v="1"/>
    <x v="2"/>
    <d v="2023-07-09T00:00:00"/>
  </r>
  <r>
    <s v="TXN_6841805"/>
    <x v="1"/>
    <n v="2"/>
    <n v="3"/>
    <n v="6"/>
    <x v="2"/>
    <x v="2"/>
    <d v="2023-02-14T00:00:00"/>
  </r>
  <r>
    <s v="TXN_7800236"/>
    <x v="3"/>
    <n v="3"/>
    <n v="5"/>
    <n v="15"/>
    <x v="3"/>
    <x v="2"/>
    <d v="2023-07-19T00:00:00"/>
  </r>
  <r>
    <s v="TXN_2413026"/>
    <x v="0"/>
    <n v="1"/>
    <n v="2"/>
    <n v="2"/>
    <x v="2"/>
    <x v="0"/>
    <d v="2023-04-26T00:00:00"/>
  </r>
  <r>
    <s v="TXN_9947479"/>
    <x v="4"/>
    <n v="5"/>
    <n v="4"/>
    <n v="20"/>
    <x v="1"/>
    <x v="0"/>
    <d v="2023-09-27T00:00:00"/>
  </r>
  <r>
    <s v="TXN_6403859"/>
    <x v="6"/>
    <n v="5"/>
    <n v="4"/>
    <n v="20"/>
    <x v="0"/>
    <x v="1"/>
    <d v="2023-03-06T00:00:00"/>
  </r>
  <r>
    <s v="TXN_6828371"/>
    <x v="4"/>
    <n v="4"/>
    <n v="4"/>
    <n v="16"/>
    <x v="2"/>
    <x v="2"/>
    <d v="2023-10-20T00:00:00"/>
  </r>
  <r>
    <s v="TXN_8335965"/>
    <x v="8"/>
    <n v="5"/>
    <n v="1.5"/>
    <n v="7.5"/>
    <x v="0"/>
    <x v="2"/>
    <d v="2023-03-21T00:00:00"/>
  </r>
  <r>
    <s v="TXN_9747008"/>
    <x v="8"/>
    <n v="4"/>
    <n v="1.5"/>
    <n v="6"/>
    <x v="1"/>
    <x v="0"/>
    <m/>
  </r>
  <r>
    <s v="TXN_9703722"/>
    <x v="6"/>
    <n v="5"/>
    <n v="4"/>
    <n v="20"/>
    <x v="3"/>
    <x v="0"/>
    <d v="2023-01-11T00:00:00"/>
  </r>
  <r>
    <s v="TXN_6259001"/>
    <x v="8"/>
    <n v="4"/>
    <n v="1.5"/>
    <n v="6"/>
    <x v="3"/>
    <x v="1"/>
    <d v="2023-01-30T00:00:00"/>
  </r>
  <r>
    <s v="TXN_6119081"/>
    <x v="0"/>
    <n v="2"/>
    <n v="2"/>
    <n v="4"/>
    <x v="1"/>
    <x v="1"/>
    <d v="2023-09-27T00:00:00"/>
  </r>
  <r>
    <s v="TXN_4811887"/>
    <x v="1"/>
    <n v="2"/>
    <n v="3"/>
    <n v="6"/>
    <x v="1"/>
    <x v="1"/>
    <d v="2023-02-11T00:00:00"/>
  </r>
  <r>
    <s v="TXN_9587814"/>
    <x v="7"/>
    <n v="3"/>
    <n v="3"/>
    <n v="9"/>
    <x v="1"/>
    <x v="1"/>
    <d v="2023-01-25T00:00:00"/>
  </r>
  <r>
    <s v="TXN_7682605"/>
    <x v="8"/>
    <n v="5"/>
    <n v="1.5"/>
    <n v="7.5"/>
    <x v="3"/>
    <x v="2"/>
    <d v="2023-10-19T00:00:00"/>
  </r>
  <r>
    <s v="TXN_4690415"/>
    <x v="6"/>
    <n v="2"/>
    <n v="4"/>
    <n v="8"/>
    <x v="3"/>
    <x v="2"/>
    <m/>
  </r>
  <r>
    <s v="TXN_7946450"/>
    <x v="4"/>
    <n v="1"/>
    <n v="4"/>
    <n v="4"/>
    <x v="0"/>
    <x v="1"/>
    <d v="2023-07-15T00:00:00"/>
  </r>
  <r>
    <s v="TXN_2611393"/>
    <x v="4"/>
    <n v="3"/>
    <n v="4"/>
    <n v="12"/>
    <x v="2"/>
    <x v="2"/>
    <d v="2023-04-25T00:00:00"/>
  </r>
  <r>
    <s v="TXN_2122597"/>
    <x v="1"/>
    <n v="3"/>
    <n v="3"/>
    <n v="9"/>
    <x v="0"/>
    <x v="2"/>
    <d v="2023-05-11T00:00:00"/>
  </r>
  <r>
    <s v="TXN_7510217"/>
    <x v="8"/>
    <n v="5"/>
    <n v="1.5"/>
    <n v="7.5"/>
    <x v="0"/>
    <x v="1"/>
    <d v="2023-10-24T00:00:00"/>
  </r>
  <r>
    <s v="TXN_3267783"/>
    <x v="1"/>
    <n v="3"/>
    <n v="3"/>
    <n v="9"/>
    <x v="2"/>
    <x v="1"/>
    <d v="2023-10-30T00:00:00"/>
  </r>
  <r>
    <s v="TXN_7852397"/>
    <x v="8"/>
    <n v="3"/>
    <n v="1.5"/>
    <n v="4.5"/>
    <x v="1"/>
    <x v="1"/>
    <d v="2023-08-10T00:00:00"/>
  </r>
  <r>
    <s v="TXN_8459594"/>
    <x v="6"/>
    <n v="1"/>
    <n v="4"/>
    <n v="4"/>
    <x v="0"/>
    <x v="2"/>
    <d v="2023-11-07T00:00:00"/>
  </r>
  <r>
    <s v="TXN_9190969"/>
    <x v="0"/>
    <n v="1"/>
    <n v="2"/>
    <n v="2"/>
    <x v="2"/>
    <x v="1"/>
    <d v="2023-10-06T00:00:00"/>
  </r>
  <r>
    <s v="TXN_2982995"/>
    <x v="3"/>
    <n v="1"/>
    <n v="5"/>
    <n v="5"/>
    <x v="0"/>
    <x v="0"/>
    <d v="2023-04-06T00:00:00"/>
  </r>
  <r>
    <s v="TXN_9181144"/>
    <x v="5"/>
    <n v="3"/>
    <n v="3"/>
    <n v="9"/>
    <x v="2"/>
    <x v="0"/>
    <d v="2023-10-25T00:00:00"/>
  </r>
  <r>
    <s v="TXN_6490609"/>
    <x v="3"/>
    <n v="4"/>
    <n v="5"/>
    <n v="20"/>
    <x v="2"/>
    <x v="1"/>
    <d v="2023-03-03T00:00:00"/>
  </r>
  <r>
    <s v="TXN_9938260"/>
    <x v="4"/>
    <n v="4"/>
    <n v="4"/>
    <n v="16"/>
    <x v="2"/>
    <x v="1"/>
    <d v="2023-03-03T00:00:00"/>
  </r>
  <r>
    <s v="TXN_5486398"/>
    <x v="2"/>
    <n v="4"/>
    <n v="1"/>
    <n v="4"/>
    <x v="1"/>
    <x v="2"/>
    <d v="2023-05-13T00:00:00"/>
  </r>
  <r>
    <s v="TXN_5875661"/>
    <x v="6"/>
    <n v="3"/>
    <n v="4"/>
    <n v="12"/>
    <x v="0"/>
    <x v="2"/>
    <d v="2023-08-12T00:00:00"/>
  </r>
  <r>
    <s v="TXN_2555823"/>
    <x v="1"/>
    <n v="4"/>
    <n v="3"/>
    <n v="12"/>
    <x v="3"/>
    <x v="2"/>
    <d v="2023-06-21T00:00:00"/>
  </r>
  <r>
    <s v="TXN_4223265"/>
    <x v="1"/>
    <n v="5"/>
    <n v="3"/>
    <n v="15"/>
    <x v="3"/>
    <x v="1"/>
    <d v="2023-06-06T00:00:00"/>
  </r>
  <r>
    <s v="TXN_3390072"/>
    <x v="8"/>
    <n v="1"/>
    <n v="1.5"/>
    <n v="1.5"/>
    <x v="0"/>
    <x v="2"/>
    <d v="2023-05-03T00:00:00"/>
  </r>
  <r>
    <s v="TXN_6491662"/>
    <x v="0"/>
    <n v="2"/>
    <n v="2"/>
    <n v="4"/>
    <x v="3"/>
    <x v="0"/>
    <d v="2023-10-06T00:00:00"/>
  </r>
  <r>
    <s v="TXN_1248167"/>
    <x v="5"/>
    <n v="1"/>
    <n v="4"/>
    <n v="4"/>
    <x v="1"/>
    <x v="2"/>
    <d v="2023-03-05T00:00:00"/>
  </r>
  <r>
    <s v="TXN_9500986"/>
    <x v="2"/>
    <n v="2"/>
    <n v="1"/>
    <n v="2"/>
    <x v="3"/>
    <x v="0"/>
    <d v="2023-05-10T00:00:00"/>
  </r>
  <r>
    <s v="TXN_2147453"/>
    <x v="5"/>
    <n v="4"/>
    <n v="1"/>
    <n v="4"/>
    <x v="0"/>
    <x v="2"/>
    <d v="2023-04-27T00:00:00"/>
  </r>
  <r>
    <s v="TXN_9137801"/>
    <x v="5"/>
    <n v="5"/>
    <n v="4"/>
    <n v="20"/>
    <x v="0"/>
    <x v="1"/>
    <d v="2023-06-10T00:00:00"/>
  </r>
  <r>
    <s v="TXN_4892303"/>
    <x v="6"/>
    <n v="4"/>
    <n v="4"/>
    <n v="16"/>
    <x v="2"/>
    <x v="2"/>
    <d v="2023-07-16T00:00:00"/>
  </r>
  <r>
    <s v="TXN_5985451"/>
    <x v="6"/>
    <n v="2"/>
    <n v="4"/>
    <n v="8"/>
    <x v="2"/>
    <x v="2"/>
    <d v="2023-07-24T00:00:00"/>
  </r>
  <r>
    <s v="TXN_6092344"/>
    <x v="2"/>
    <n v="5"/>
    <n v="1"/>
    <n v="5"/>
    <x v="0"/>
    <x v="0"/>
    <d v="2023-12-04T00:00:00"/>
  </r>
  <r>
    <s v="TXN_1218016"/>
    <x v="8"/>
    <n v="3"/>
    <n v="1.5"/>
    <n v="4.5"/>
    <x v="3"/>
    <x v="2"/>
    <d v="2023-11-26T00:00:00"/>
  </r>
  <r>
    <s v="TXN_8110646"/>
    <x v="5"/>
    <n v="2"/>
    <n v="3"/>
    <n v="6"/>
    <x v="0"/>
    <x v="0"/>
    <d v="2023-06-07T00:00:00"/>
  </r>
  <r>
    <s v="TXN_1221777"/>
    <x v="0"/>
    <n v="3"/>
    <n v="2"/>
    <n v="6"/>
    <x v="2"/>
    <x v="1"/>
    <d v="2023-01-29T00:00:00"/>
  </r>
  <r>
    <s v="TXN_3691087"/>
    <x v="2"/>
    <n v="4"/>
    <n v="1"/>
    <n v="4"/>
    <x v="2"/>
    <x v="2"/>
    <d v="2023-07-11T00:00:00"/>
  </r>
  <r>
    <s v="TXN_5571026"/>
    <x v="5"/>
    <n v="1"/>
    <n v="5"/>
    <n v="5"/>
    <x v="1"/>
    <x v="0"/>
    <d v="2023-09-08T00:00:00"/>
  </r>
  <r>
    <s v="TXN_6336973"/>
    <x v="0"/>
    <n v="4"/>
    <n v="2"/>
    <n v="8"/>
    <x v="3"/>
    <x v="0"/>
    <d v="2023-03-21T00:00:00"/>
  </r>
  <r>
    <s v="TXN_5609260"/>
    <x v="2"/>
    <n v="5"/>
    <n v="1"/>
    <n v="5"/>
    <x v="3"/>
    <x v="1"/>
    <d v="2023-05-02T00:00:00"/>
  </r>
  <r>
    <s v="TXN_4242676"/>
    <x v="0"/>
    <n v="5"/>
    <n v="2"/>
    <n v="10"/>
    <x v="0"/>
    <x v="0"/>
    <d v="2023-11-26T00:00:00"/>
  </r>
  <r>
    <s v="TXN_6835777"/>
    <x v="7"/>
    <n v="5"/>
    <n v="3"/>
    <n v="15"/>
    <x v="3"/>
    <x v="2"/>
    <d v="2023-05-11T00:00:00"/>
  </r>
  <r>
    <s v="TXN_6097706"/>
    <x v="6"/>
    <n v="4"/>
    <n v="4"/>
    <n v="16"/>
    <x v="1"/>
    <x v="0"/>
    <d v="2023-02-15T00:00:00"/>
  </r>
  <r>
    <s v="TXN_5496581"/>
    <x v="7"/>
    <n v="1"/>
    <n v="3"/>
    <n v="3"/>
    <x v="0"/>
    <x v="2"/>
    <d v="2023-08-11T00:00:00"/>
  </r>
  <r>
    <s v="TXN_2897468"/>
    <x v="3"/>
    <n v="2"/>
    <n v="5"/>
    <n v="10"/>
    <x v="1"/>
    <x v="2"/>
    <d v="2023-10-10T00:00:00"/>
  </r>
  <r>
    <s v="TXN_3260087"/>
    <x v="3"/>
    <n v="5"/>
    <n v="5"/>
    <n v="25"/>
    <x v="2"/>
    <x v="2"/>
    <d v="2023-04-20T00:00:00"/>
  </r>
  <r>
    <s v="TXN_2047672"/>
    <x v="6"/>
    <n v="1"/>
    <n v="4"/>
    <n v="4"/>
    <x v="0"/>
    <x v="1"/>
    <d v="2023-01-25T00:00:00"/>
  </r>
  <r>
    <s v="TXN_6893490"/>
    <x v="0"/>
    <n v="3"/>
    <n v="2"/>
    <n v="6"/>
    <x v="0"/>
    <x v="0"/>
    <d v="2023-03-17T00:00:00"/>
  </r>
  <r>
    <s v="TXN_3743336"/>
    <x v="3"/>
    <n v="2"/>
    <n v="5"/>
    <n v="10"/>
    <x v="3"/>
    <x v="2"/>
    <d v="2023-02-21T00:00:00"/>
  </r>
  <r>
    <s v="TXN_6851654"/>
    <x v="3"/>
    <n v="1"/>
    <n v="5"/>
    <n v="5"/>
    <x v="3"/>
    <x v="0"/>
    <d v="2023-01-25T00:00:00"/>
  </r>
  <r>
    <s v="TXN_8510511"/>
    <x v="0"/>
    <n v="4"/>
    <n v="2"/>
    <n v="8"/>
    <x v="2"/>
    <x v="2"/>
    <d v="2023-10-06T00:00:00"/>
  </r>
  <r>
    <s v="TXN_2092306"/>
    <x v="7"/>
    <n v="4"/>
    <n v="3"/>
    <n v="12"/>
    <x v="2"/>
    <x v="1"/>
    <d v="2023-04-01T00:00:00"/>
  </r>
  <r>
    <s v="TXN_7345190"/>
    <x v="4"/>
    <n v="4"/>
    <n v="4"/>
    <n v="16"/>
    <x v="3"/>
    <x v="2"/>
    <d v="2023-02-20T00:00:00"/>
  </r>
  <r>
    <s v="TXN_6647319"/>
    <x v="7"/>
    <n v="5"/>
    <n v="3"/>
    <n v="15"/>
    <x v="0"/>
    <x v="2"/>
    <d v="2023-10-23T00:00:00"/>
  </r>
  <r>
    <s v="TXN_5889912"/>
    <x v="3"/>
    <n v="1"/>
    <n v="5"/>
    <n v="5"/>
    <x v="1"/>
    <x v="1"/>
    <d v="2023-09-26T00:00:00"/>
  </r>
  <r>
    <s v="TXN_4483304"/>
    <x v="4"/>
    <n v="4"/>
    <n v="4"/>
    <n v="16"/>
    <x v="0"/>
    <x v="0"/>
    <d v="2023-11-08T00:00:00"/>
  </r>
  <r>
    <s v="TXN_3720223"/>
    <x v="1"/>
    <n v="4"/>
    <n v="3"/>
    <n v="12"/>
    <x v="1"/>
    <x v="0"/>
    <d v="2023-10-22T00:00:00"/>
  </r>
  <r>
    <s v="TXN_4506778"/>
    <x v="1"/>
    <n v="3"/>
    <n v="3"/>
    <n v="9"/>
    <x v="3"/>
    <x v="2"/>
    <d v="2023-04-21T00:00:00"/>
  </r>
  <r>
    <s v="TXN_8226226"/>
    <x v="6"/>
    <n v="1"/>
    <n v="4"/>
    <n v="4"/>
    <x v="2"/>
    <x v="1"/>
    <d v="2023-07-30T00:00:00"/>
  </r>
  <r>
    <s v="TXN_9723120"/>
    <x v="8"/>
    <n v="5"/>
    <n v="1.5"/>
    <n v="7.5"/>
    <x v="0"/>
    <x v="2"/>
    <d v="2023-01-26T00:00:00"/>
  </r>
  <r>
    <s v="TXN_2726676"/>
    <x v="0"/>
    <n v="3"/>
    <n v="2"/>
    <n v="6"/>
    <x v="3"/>
    <x v="1"/>
    <d v="2023-08-10T00:00:00"/>
  </r>
  <r>
    <s v="TXN_4011694"/>
    <x v="5"/>
    <n v="1"/>
    <n v="2"/>
    <n v="2"/>
    <x v="0"/>
    <x v="1"/>
    <d v="2023-09-02T00:00:00"/>
  </r>
  <r>
    <s v="TXN_3327212"/>
    <x v="8"/>
    <n v="2"/>
    <n v="1.5"/>
    <n v="3"/>
    <x v="0"/>
    <x v="2"/>
    <d v="2023-12-20T00:00:00"/>
  </r>
  <r>
    <s v="TXN_3558795"/>
    <x v="4"/>
    <n v="1"/>
    <n v="4"/>
    <n v="4"/>
    <x v="1"/>
    <x v="1"/>
    <d v="2023-05-30T00:00:00"/>
  </r>
  <r>
    <s v="TXN_9989242"/>
    <x v="6"/>
    <n v="4"/>
    <n v="4"/>
    <n v="16"/>
    <x v="2"/>
    <x v="2"/>
    <d v="2023-09-12T00:00:00"/>
  </r>
  <r>
    <s v="TXN_2035772"/>
    <x v="2"/>
    <n v="2"/>
    <n v="1"/>
    <n v="2"/>
    <x v="1"/>
    <x v="2"/>
    <d v="2023-01-17T00:00:00"/>
  </r>
  <r>
    <s v="TXN_2711627"/>
    <x v="4"/>
    <n v="5"/>
    <n v="4"/>
    <n v="20"/>
    <x v="1"/>
    <x v="2"/>
    <d v="2023-11-09T00:00:00"/>
  </r>
  <r>
    <s v="TXN_2804828"/>
    <x v="1"/>
    <n v="3"/>
    <n v="3"/>
    <n v="9"/>
    <x v="1"/>
    <x v="2"/>
    <d v="2023-02-25T00:00:00"/>
  </r>
  <r>
    <s v="TXN_3869958"/>
    <x v="1"/>
    <n v="1"/>
    <n v="3"/>
    <n v="3"/>
    <x v="3"/>
    <x v="2"/>
    <d v="2023-01-11T00:00:00"/>
  </r>
  <r>
    <s v="TXN_9684465"/>
    <x v="1"/>
    <n v="5"/>
    <n v="3"/>
    <n v="15"/>
    <x v="2"/>
    <x v="0"/>
    <d v="2023-02-15T00:00:00"/>
  </r>
  <r>
    <s v="TXN_7570308"/>
    <x v="8"/>
    <n v="4"/>
    <n v="1.5"/>
    <n v="6"/>
    <x v="1"/>
    <x v="2"/>
    <m/>
  </r>
  <r>
    <s v="TXN_6476304"/>
    <x v="6"/>
    <n v="2"/>
    <n v="4"/>
    <n v="8"/>
    <x v="0"/>
    <x v="2"/>
    <d v="2023-03-17T00:00:00"/>
  </r>
  <r>
    <s v="TXN_3893927"/>
    <x v="3"/>
    <n v="4"/>
    <n v="5"/>
    <n v="20"/>
    <x v="2"/>
    <x v="1"/>
    <d v="2023-09-14T00:00:00"/>
  </r>
  <r>
    <s v="TXN_5947976"/>
    <x v="0"/>
    <n v="3"/>
    <n v="2"/>
    <n v="6"/>
    <x v="2"/>
    <x v="1"/>
    <d v="2023-05-21T00:00:00"/>
  </r>
  <r>
    <s v="TXN_4139983"/>
    <x v="8"/>
    <n v="5"/>
    <n v="1.5"/>
    <n v="7.5"/>
    <x v="1"/>
    <x v="0"/>
    <d v="2023-10-16T00:00:00"/>
  </r>
  <r>
    <s v="TXN_4571222"/>
    <x v="2"/>
    <n v="2"/>
    <n v="1"/>
    <n v="2"/>
    <x v="0"/>
    <x v="2"/>
    <d v="2023-03-21T00:00:00"/>
  </r>
  <r>
    <s v="TXN_6484542"/>
    <x v="3"/>
    <n v="5"/>
    <n v="5"/>
    <n v="25"/>
    <x v="0"/>
    <x v="2"/>
    <d v="2023-05-18T00:00:00"/>
  </r>
  <r>
    <s v="TXN_5183630"/>
    <x v="0"/>
    <n v="4"/>
    <n v="2"/>
    <n v="8"/>
    <x v="2"/>
    <x v="1"/>
    <d v="2023-02-15T00:00:00"/>
  </r>
  <r>
    <s v="TXN_5562799"/>
    <x v="2"/>
    <n v="5"/>
    <n v="1"/>
    <n v="5"/>
    <x v="2"/>
    <x v="2"/>
    <d v="2023-10-25T00:00:00"/>
  </r>
  <r>
    <s v="TXN_9601220"/>
    <x v="5"/>
    <n v="3"/>
    <n v="1"/>
    <n v="3"/>
    <x v="3"/>
    <x v="0"/>
    <d v="2023-04-20T00:00:00"/>
  </r>
  <r>
    <s v="TXN_6404625"/>
    <x v="1"/>
    <n v="5"/>
    <n v="3"/>
    <n v="15"/>
    <x v="0"/>
    <x v="2"/>
    <d v="2023-04-24T00:00:00"/>
  </r>
  <r>
    <s v="TXN_5327102"/>
    <x v="2"/>
    <n v="2"/>
    <n v="1"/>
    <n v="2"/>
    <x v="2"/>
    <x v="2"/>
    <d v="2023-07-16T00:00:00"/>
  </r>
  <r>
    <s v="TXN_5741619"/>
    <x v="4"/>
    <n v="5"/>
    <n v="4"/>
    <n v="20"/>
    <x v="1"/>
    <x v="2"/>
    <d v="2023-01-02T00:00:00"/>
  </r>
  <r>
    <s v="TXN_4452589"/>
    <x v="8"/>
    <n v="1"/>
    <n v="1.5"/>
    <n v="1.5"/>
    <x v="2"/>
    <x v="0"/>
    <d v="2023-08-22T00:00:00"/>
  </r>
  <r>
    <s v="TXN_6540284"/>
    <x v="7"/>
    <n v="1"/>
    <n v="3"/>
    <n v="3"/>
    <x v="2"/>
    <x v="2"/>
    <d v="2023-04-24T00:00:00"/>
  </r>
  <r>
    <s v="TXN_9657957"/>
    <x v="4"/>
    <n v="2"/>
    <n v="4"/>
    <n v="8"/>
    <x v="2"/>
    <x v="2"/>
    <d v="2023-11-27T00:00:00"/>
  </r>
  <r>
    <s v="TXN_3670939"/>
    <x v="8"/>
    <n v="3"/>
    <n v="1.5"/>
    <n v="4.5"/>
    <x v="1"/>
    <x v="2"/>
    <d v="2023-07-13T00:00:00"/>
  </r>
  <r>
    <s v="TXN_2935871"/>
    <x v="2"/>
    <n v="4"/>
    <n v="1"/>
    <n v="4"/>
    <x v="1"/>
    <x v="0"/>
    <d v="2023-07-07T00:00:00"/>
  </r>
  <r>
    <s v="TXN_1610204"/>
    <x v="1"/>
    <n v="1"/>
    <n v="3"/>
    <n v="3"/>
    <x v="2"/>
    <x v="0"/>
    <d v="2023-02-19T00:00:00"/>
  </r>
  <r>
    <s v="TXN_8372268"/>
    <x v="3"/>
    <n v="2"/>
    <n v="5"/>
    <n v="10"/>
    <x v="2"/>
    <x v="0"/>
    <d v="2023-06-15T00:00:00"/>
  </r>
  <r>
    <s v="TXN_1239021"/>
    <x v="6"/>
    <n v="5"/>
    <n v="4"/>
    <n v="20"/>
    <x v="0"/>
    <x v="2"/>
    <d v="2023-09-15T00:00:00"/>
  </r>
  <r>
    <s v="TXN_1863866"/>
    <x v="4"/>
    <n v="1"/>
    <n v="4"/>
    <n v="4"/>
    <x v="1"/>
    <x v="2"/>
    <d v="2023-10-03T00:00:00"/>
  </r>
  <r>
    <s v="TXN_4630854"/>
    <x v="8"/>
    <n v="1"/>
    <n v="1.5"/>
    <n v="1.5"/>
    <x v="3"/>
    <x v="2"/>
    <d v="2023-02-10T00:00:00"/>
  </r>
  <r>
    <s v="TXN_6183842"/>
    <x v="8"/>
    <n v="3"/>
    <n v="1.5"/>
    <n v="4.5"/>
    <x v="2"/>
    <x v="2"/>
    <d v="2023-09-15T00:00:00"/>
  </r>
  <r>
    <s v="TXN_5355693"/>
    <x v="4"/>
    <n v="1"/>
    <n v="4"/>
    <n v="4"/>
    <x v="2"/>
    <x v="2"/>
    <d v="2023-12-03T00:00:00"/>
  </r>
  <r>
    <s v="TXN_8284910"/>
    <x v="4"/>
    <n v="1"/>
    <n v="4"/>
    <n v="4"/>
    <x v="1"/>
    <x v="1"/>
    <d v="2023-07-19T00:00:00"/>
  </r>
  <r>
    <s v="TXN_4408913"/>
    <x v="3"/>
    <n v="2"/>
    <n v="5"/>
    <n v="10"/>
    <x v="1"/>
    <x v="2"/>
    <d v="2023-08-24T00:00:00"/>
  </r>
  <r>
    <s v="TXN_2123573"/>
    <x v="0"/>
    <n v="5"/>
    <n v="2"/>
    <n v="10"/>
    <x v="3"/>
    <x v="0"/>
    <d v="2023-01-09T00:00:00"/>
  </r>
  <r>
    <s v="TXN_8036176"/>
    <x v="2"/>
    <n v="4"/>
    <n v="1"/>
    <n v="4"/>
    <x v="0"/>
    <x v="0"/>
    <d v="2023-06-20T00:00:00"/>
  </r>
  <r>
    <s v="TXN_9107676"/>
    <x v="6"/>
    <n v="2"/>
    <n v="4"/>
    <n v="8"/>
    <x v="1"/>
    <x v="2"/>
    <d v="2023-02-12T00:00:00"/>
  </r>
  <r>
    <s v="TXN_2490185"/>
    <x v="3"/>
    <n v="4"/>
    <n v="5"/>
    <n v="20"/>
    <x v="0"/>
    <x v="1"/>
    <d v="2023-12-18T00:00:00"/>
  </r>
  <r>
    <s v="TXN_6295420"/>
    <x v="7"/>
    <n v="1"/>
    <n v="3"/>
    <n v="3"/>
    <x v="3"/>
    <x v="0"/>
    <d v="2023-09-27T00:00:00"/>
  </r>
  <r>
    <s v="TXN_1542042"/>
    <x v="1"/>
    <n v="4"/>
    <n v="3"/>
    <n v="12"/>
    <x v="0"/>
    <x v="0"/>
    <d v="2023-07-26T00:00:00"/>
  </r>
  <r>
    <s v="TXN_7716125"/>
    <x v="2"/>
    <n v="2"/>
    <n v="1"/>
    <n v="2"/>
    <x v="3"/>
    <x v="2"/>
    <d v="2023-05-17T00:00:00"/>
  </r>
  <r>
    <s v="TXN_6579109"/>
    <x v="7"/>
    <n v="1"/>
    <n v="3"/>
    <n v="3"/>
    <x v="0"/>
    <x v="0"/>
    <d v="2023-02-22T00:00:00"/>
  </r>
  <r>
    <s v="TXN_5577030"/>
    <x v="2"/>
    <n v="4"/>
    <n v="1"/>
    <n v="4"/>
    <x v="3"/>
    <x v="0"/>
    <d v="2023-02-15T00:00:00"/>
  </r>
  <r>
    <s v="TXN_3910230"/>
    <x v="6"/>
    <n v="5"/>
    <n v="4"/>
    <n v="20"/>
    <x v="1"/>
    <x v="0"/>
    <d v="2023-01-05T00:00:00"/>
  </r>
  <r>
    <s v="TXN_8031804"/>
    <x v="0"/>
    <n v="4"/>
    <n v="2"/>
    <n v="8"/>
    <x v="0"/>
    <x v="2"/>
    <d v="2023-07-01T00:00:00"/>
  </r>
  <r>
    <s v="TXN_6928775"/>
    <x v="5"/>
    <n v="2"/>
    <n v="1"/>
    <n v="2"/>
    <x v="1"/>
    <x v="1"/>
    <d v="2023-03-25T00:00:00"/>
  </r>
  <r>
    <s v="TXN_6755107"/>
    <x v="4"/>
    <n v="2"/>
    <n v="4"/>
    <n v="8"/>
    <x v="3"/>
    <x v="2"/>
    <d v="2023-11-14T00:00:00"/>
  </r>
  <r>
    <s v="TXN_5153899"/>
    <x v="8"/>
    <n v="3"/>
    <n v="1.5"/>
    <n v="4.5"/>
    <x v="2"/>
    <x v="0"/>
    <d v="2023-03-01T00:00:00"/>
  </r>
  <r>
    <s v="TXN_5632156"/>
    <x v="6"/>
    <n v="4"/>
    <n v="4"/>
    <n v="16"/>
    <x v="3"/>
    <x v="2"/>
    <d v="2023-08-02T00:00:00"/>
  </r>
  <r>
    <s v="TXN_9861782"/>
    <x v="6"/>
    <n v="4"/>
    <n v="4"/>
    <n v="16"/>
    <x v="0"/>
    <x v="1"/>
    <d v="2023-07-15T00:00:00"/>
  </r>
  <r>
    <s v="TXN_8861275"/>
    <x v="4"/>
    <n v="2"/>
    <n v="4"/>
    <n v="8"/>
    <x v="2"/>
    <x v="1"/>
    <d v="2023-10-31T00:00:00"/>
  </r>
  <r>
    <s v="TXN_8961155"/>
    <x v="1"/>
    <n v="5"/>
    <n v="3"/>
    <n v="15"/>
    <x v="1"/>
    <x v="0"/>
    <d v="2023-09-06T00:00:00"/>
  </r>
  <r>
    <s v="TXN_6112765"/>
    <x v="0"/>
    <n v="2"/>
    <n v="2"/>
    <n v="4"/>
    <x v="0"/>
    <x v="0"/>
    <d v="2023-07-21T00:00:00"/>
  </r>
  <r>
    <s v="TXN_7090563"/>
    <x v="4"/>
    <n v="3"/>
    <n v="4"/>
    <n v="12"/>
    <x v="2"/>
    <x v="1"/>
    <d v="2023-08-17T00:00:00"/>
  </r>
  <r>
    <s v="TXN_9737090"/>
    <x v="6"/>
    <n v="3"/>
    <n v="4"/>
    <n v="12"/>
    <x v="2"/>
    <x v="1"/>
    <d v="2023-06-01T00:00:00"/>
  </r>
  <r>
    <s v="TXN_2847831"/>
    <x v="0"/>
    <n v="1"/>
    <n v="2"/>
    <n v="2"/>
    <x v="1"/>
    <x v="1"/>
    <d v="2023-02-19T00:00:00"/>
  </r>
  <r>
    <s v="TXN_3385167"/>
    <x v="8"/>
    <n v="3"/>
    <n v="1.5"/>
    <n v="4.5"/>
    <x v="1"/>
    <x v="1"/>
    <d v="2023-04-26T00:00:00"/>
  </r>
  <r>
    <s v="TXN_1938071"/>
    <x v="6"/>
    <n v="4"/>
    <n v="4"/>
    <n v="16"/>
    <x v="0"/>
    <x v="1"/>
    <d v="2023-12-25T00:00:00"/>
  </r>
  <r>
    <s v="TXN_8774692"/>
    <x v="8"/>
    <n v="5"/>
    <n v="1.5"/>
    <n v="7.5"/>
    <x v="3"/>
    <x v="2"/>
    <d v="2023-07-12T00:00:00"/>
  </r>
  <r>
    <s v="TXN_4887268"/>
    <x v="3"/>
    <n v="1"/>
    <n v="5"/>
    <n v="5"/>
    <x v="0"/>
    <x v="1"/>
    <d v="2023-10-16T00:00:00"/>
  </r>
  <r>
    <s v="TXN_9506372"/>
    <x v="1"/>
    <n v="4"/>
    <n v="3"/>
    <n v="12"/>
    <x v="2"/>
    <x v="2"/>
    <d v="2023-11-06T00:00:00"/>
  </r>
  <r>
    <s v="TXN_6651961"/>
    <x v="3"/>
    <n v="4"/>
    <n v="5"/>
    <n v="20"/>
    <x v="0"/>
    <x v="1"/>
    <d v="2023-02-08T00:00:00"/>
  </r>
  <r>
    <s v="TXN_2537138"/>
    <x v="1"/>
    <n v="3"/>
    <n v="3"/>
    <n v="9"/>
    <x v="2"/>
    <x v="2"/>
    <d v="2023-10-24T00:00:00"/>
  </r>
  <r>
    <s v="TXN_2015313"/>
    <x v="3"/>
    <n v="5"/>
    <n v="5"/>
    <n v="25"/>
    <x v="1"/>
    <x v="2"/>
    <d v="2023-10-18T00:00:00"/>
  </r>
  <r>
    <s v="TXN_5604797"/>
    <x v="0"/>
    <n v="1"/>
    <n v="2"/>
    <n v="2"/>
    <x v="1"/>
    <x v="1"/>
    <d v="2023-10-13T00:00:00"/>
  </r>
  <r>
    <s v="TXN_6303383"/>
    <x v="1"/>
    <n v="4"/>
    <n v="3"/>
    <n v="12"/>
    <x v="3"/>
    <x v="1"/>
    <d v="2023-09-22T00:00:00"/>
  </r>
  <r>
    <s v="TXN_5203710"/>
    <x v="5"/>
    <n v="4"/>
    <n v="5"/>
    <n v="20"/>
    <x v="3"/>
    <x v="2"/>
    <d v="2023-04-22T00:00:00"/>
  </r>
  <r>
    <s v="TXN_7059722"/>
    <x v="6"/>
    <n v="5"/>
    <n v="4"/>
    <n v="20"/>
    <x v="3"/>
    <x v="1"/>
    <m/>
  </r>
  <r>
    <s v="TXN_5403707"/>
    <x v="4"/>
    <n v="3"/>
    <n v="4"/>
    <n v="12"/>
    <x v="1"/>
    <x v="1"/>
    <d v="2023-03-20T00:00:00"/>
  </r>
  <r>
    <s v="TXN_4084052"/>
    <x v="7"/>
    <n v="2"/>
    <n v="3"/>
    <n v="6"/>
    <x v="3"/>
    <x v="1"/>
    <d v="2023-06-30T00:00:00"/>
  </r>
  <r>
    <s v="TXN_3843541"/>
    <x v="5"/>
    <n v="3"/>
    <n v="5"/>
    <n v="15"/>
    <x v="0"/>
    <x v="1"/>
    <d v="2023-03-06T00:00:00"/>
  </r>
  <r>
    <s v="TXN_4000025"/>
    <x v="8"/>
    <n v="5"/>
    <n v="1.5"/>
    <n v="7.5"/>
    <x v="2"/>
    <x v="0"/>
    <d v="2023-06-12T00:00:00"/>
  </r>
  <r>
    <s v="TXN_7113656"/>
    <x v="7"/>
    <n v="2"/>
    <n v="3"/>
    <n v="6"/>
    <x v="0"/>
    <x v="0"/>
    <d v="2023-01-22T00:00:00"/>
  </r>
  <r>
    <s v="TXN_6039235"/>
    <x v="7"/>
    <n v="2"/>
    <n v="3"/>
    <n v="6"/>
    <x v="3"/>
    <x v="2"/>
    <d v="2023-06-25T00:00:00"/>
  </r>
  <r>
    <s v="TXN_6621756"/>
    <x v="2"/>
    <n v="1"/>
    <n v="1"/>
    <n v="1"/>
    <x v="2"/>
    <x v="2"/>
    <d v="2023-11-14T00:00:00"/>
  </r>
  <r>
    <s v="TXN_3923847"/>
    <x v="1"/>
    <n v="2"/>
    <n v="3"/>
    <n v="6"/>
    <x v="0"/>
    <x v="2"/>
    <d v="2023-09-12T00:00:00"/>
  </r>
  <r>
    <s v="TXN_3226989"/>
    <x v="3"/>
    <n v="1"/>
    <n v="5"/>
    <n v="5"/>
    <x v="0"/>
    <x v="0"/>
    <d v="2023-04-17T00:00:00"/>
  </r>
  <r>
    <s v="TXN_1523567"/>
    <x v="3"/>
    <n v="3"/>
    <n v="5"/>
    <n v="15"/>
    <x v="3"/>
    <x v="0"/>
    <d v="2023-11-22T00:00:00"/>
  </r>
  <r>
    <s v="TXN_8751289"/>
    <x v="8"/>
    <n v="2"/>
    <n v="1.5"/>
    <n v="3"/>
    <x v="1"/>
    <x v="1"/>
    <d v="2023-09-10T00:00:00"/>
  </r>
  <r>
    <s v="TXN_9996195"/>
    <x v="7"/>
    <n v="5"/>
    <n v="3"/>
    <n v="15"/>
    <x v="3"/>
    <x v="1"/>
    <d v="2023-03-16T00:00:00"/>
  </r>
  <r>
    <s v="TXN_2151688"/>
    <x v="1"/>
    <n v="5"/>
    <n v="3"/>
    <n v="15"/>
    <x v="2"/>
    <x v="2"/>
    <d v="2023-09-29T00:00:00"/>
  </r>
  <r>
    <s v="TXN_4243591"/>
    <x v="1"/>
    <n v="4"/>
    <n v="3"/>
    <n v="12"/>
    <x v="0"/>
    <x v="1"/>
    <d v="2023-10-11T00:00:00"/>
  </r>
  <r>
    <s v="TXN_4138399"/>
    <x v="2"/>
    <n v="5"/>
    <n v="1"/>
    <n v="5"/>
    <x v="0"/>
    <x v="0"/>
    <d v="2023-07-03T00:00:00"/>
  </r>
  <r>
    <s v="TXN_1724233"/>
    <x v="2"/>
    <n v="5"/>
    <n v="1"/>
    <n v="5"/>
    <x v="3"/>
    <x v="0"/>
    <d v="2023-02-01T00:00:00"/>
  </r>
  <r>
    <s v="TXN_1564506"/>
    <x v="4"/>
    <n v="5"/>
    <n v="4"/>
    <n v="20"/>
    <x v="3"/>
    <x v="1"/>
    <d v="2023-02-01T00:00:00"/>
  </r>
  <r>
    <s v="TXN_3520982"/>
    <x v="3"/>
    <n v="5"/>
    <n v="5"/>
    <n v="25"/>
    <x v="2"/>
    <x v="2"/>
    <d v="2023-10-26T00:00:00"/>
  </r>
  <r>
    <s v="TXN_6130455"/>
    <x v="8"/>
    <n v="2"/>
    <n v="1.5"/>
    <n v="3"/>
    <x v="3"/>
    <x v="2"/>
    <m/>
  </r>
  <r>
    <s v="TXN_8936591"/>
    <x v="2"/>
    <n v="5"/>
    <n v="1"/>
    <n v="5"/>
    <x v="2"/>
    <x v="1"/>
    <d v="2023-03-22T00:00:00"/>
  </r>
  <r>
    <s v="TXN_7622389"/>
    <x v="8"/>
    <n v="4"/>
    <n v="1.5"/>
    <n v="6"/>
    <x v="3"/>
    <x v="1"/>
    <d v="2023-02-26T00:00:00"/>
  </r>
  <r>
    <s v="TXN_2896048"/>
    <x v="8"/>
    <n v="4"/>
    <n v="1.5"/>
    <n v="6"/>
    <x v="1"/>
    <x v="2"/>
    <d v="2023-05-17T00:00:00"/>
  </r>
  <r>
    <s v="TXN_2204457"/>
    <x v="0"/>
    <n v="4"/>
    <n v="2"/>
    <n v="8"/>
    <x v="1"/>
    <x v="0"/>
    <d v="2023-01-06T00:00:00"/>
  </r>
  <r>
    <s v="TXN_1319834"/>
    <x v="2"/>
    <n v="1"/>
    <n v="1"/>
    <n v="1"/>
    <x v="2"/>
    <x v="2"/>
    <d v="2023-03-31T00:00:00"/>
  </r>
  <r>
    <s v="TXN_9042043"/>
    <x v="2"/>
    <n v="4"/>
    <n v="1"/>
    <n v="4"/>
    <x v="1"/>
    <x v="0"/>
    <m/>
  </r>
  <r>
    <s v="TXN_7503593"/>
    <x v="2"/>
    <n v="5"/>
    <n v="1"/>
    <n v="5"/>
    <x v="3"/>
    <x v="0"/>
    <d v="2023-04-19T00:00:00"/>
  </r>
  <r>
    <s v="TXN_4076463"/>
    <x v="2"/>
    <n v="3"/>
    <n v="1"/>
    <n v="3"/>
    <x v="3"/>
    <x v="2"/>
    <d v="2023-06-25T00:00:00"/>
  </r>
  <r>
    <s v="TXN_1901704"/>
    <x v="3"/>
    <n v="5"/>
    <n v="5"/>
    <n v="25"/>
    <x v="1"/>
    <x v="2"/>
    <d v="2023-11-17T00:00:00"/>
  </r>
  <r>
    <s v="TXN_5589433"/>
    <x v="1"/>
    <n v="2"/>
    <n v="3"/>
    <n v="6"/>
    <x v="1"/>
    <x v="1"/>
    <d v="2023-03-13T00:00:00"/>
  </r>
  <r>
    <s v="TXN_4386732"/>
    <x v="4"/>
    <n v="4"/>
    <n v="4"/>
    <n v="16"/>
    <x v="1"/>
    <x v="2"/>
    <d v="2023-08-01T00:00:00"/>
  </r>
  <r>
    <s v="TXN_3174336"/>
    <x v="2"/>
    <n v="1"/>
    <n v="1"/>
    <n v="1"/>
    <x v="2"/>
    <x v="2"/>
    <d v="2023-07-17T00:00:00"/>
  </r>
  <r>
    <s v="TXN_4983903"/>
    <x v="5"/>
    <n v="5"/>
    <n v="4"/>
    <n v="20"/>
    <x v="2"/>
    <x v="2"/>
    <d v="2023-09-18T00:00:00"/>
  </r>
  <r>
    <s v="TXN_8043642"/>
    <x v="3"/>
    <n v="4"/>
    <n v="5"/>
    <n v="20"/>
    <x v="1"/>
    <x v="1"/>
    <d v="2023-06-12T00:00:00"/>
  </r>
  <r>
    <s v="TXN_1223805"/>
    <x v="7"/>
    <n v="3"/>
    <n v="3"/>
    <n v="9"/>
    <x v="2"/>
    <x v="1"/>
    <d v="2023-07-04T00:00:00"/>
  </r>
  <r>
    <s v="TXN_3879110"/>
    <x v="5"/>
    <n v="4"/>
    <n v="1"/>
    <n v="4"/>
    <x v="0"/>
    <x v="0"/>
    <d v="2023-03-18T00:00:00"/>
  </r>
  <r>
    <s v="TXN_9551491"/>
    <x v="3"/>
    <n v="1"/>
    <n v="5"/>
    <n v="5"/>
    <x v="2"/>
    <x v="2"/>
    <d v="2023-07-13T00:00:00"/>
  </r>
  <r>
    <s v="TXN_3033987"/>
    <x v="1"/>
    <n v="4"/>
    <n v="3"/>
    <n v="12"/>
    <x v="1"/>
    <x v="2"/>
    <d v="2023-03-13T00:00:00"/>
  </r>
  <r>
    <s v="TXN_2732570"/>
    <x v="2"/>
    <n v="3"/>
    <n v="1"/>
    <n v="3"/>
    <x v="3"/>
    <x v="2"/>
    <d v="2023-06-23T00:00:00"/>
  </r>
  <r>
    <s v="TXN_9104781"/>
    <x v="6"/>
    <n v="2"/>
    <n v="4"/>
    <n v="8"/>
    <x v="2"/>
    <x v="2"/>
    <d v="2023-07-03T00:00:00"/>
  </r>
  <r>
    <s v="TXN_7876775"/>
    <x v="0"/>
    <n v="5"/>
    <n v="2"/>
    <n v="10"/>
    <x v="2"/>
    <x v="0"/>
    <d v="2023-02-09T00:00:00"/>
  </r>
  <r>
    <s v="TXN_7566250"/>
    <x v="3"/>
    <n v="3"/>
    <n v="5"/>
    <n v="15"/>
    <x v="2"/>
    <x v="0"/>
    <d v="2023-06-04T00:00:00"/>
  </r>
  <r>
    <s v="TXN_3365018"/>
    <x v="7"/>
    <n v="5"/>
    <n v="3"/>
    <n v="15"/>
    <x v="1"/>
    <x v="0"/>
    <d v="2023-02-06T00:00:00"/>
  </r>
  <r>
    <s v="TXN_1487762"/>
    <x v="8"/>
    <n v="3"/>
    <n v="1.5"/>
    <n v="4.5"/>
    <x v="2"/>
    <x v="2"/>
    <d v="2023-02-07T00:00:00"/>
  </r>
  <r>
    <s v="TXN_4592205"/>
    <x v="2"/>
    <n v="3"/>
    <n v="1"/>
    <n v="3"/>
    <x v="0"/>
    <x v="1"/>
    <d v="2023-12-30T00:00:00"/>
  </r>
  <r>
    <s v="TXN_6660755"/>
    <x v="2"/>
    <n v="2"/>
    <n v="1"/>
    <n v="2"/>
    <x v="0"/>
    <x v="1"/>
    <d v="2023-05-16T00:00:00"/>
  </r>
  <r>
    <s v="TXN_3750900"/>
    <x v="8"/>
    <n v="2"/>
    <n v="1.5"/>
    <n v="3"/>
    <x v="0"/>
    <x v="1"/>
    <d v="2023-04-03T00:00:00"/>
  </r>
  <r>
    <s v="TXN_3290872"/>
    <x v="1"/>
    <n v="2"/>
    <n v="3"/>
    <n v="6"/>
    <x v="0"/>
    <x v="1"/>
    <d v="2023-06-13T00:00:00"/>
  </r>
  <r>
    <s v="TXN_6378158"/>
    <x v="3"/>
    <n v="5"/>
    <n v="5"/>
    <n v="25"/>
    <x v="0"/>
    <x v="1"/>
    <d v="2023-06-17T00:00:00"/>
  </r>
  <r>
    <s v="TXN_8800818"/>
    <x v="1"/>
    <n v="2"/>
    <n v="3"/>
    <n v="6"/>
    <x v="3"/>
    <x v="2"/>
    <d v="2023-09-28T00:00:00"/>
  </r>
  <r>
    <s v="TXN_5707386"/>
    <x v="8"/>
    <n v="5"/>
    <n v="1.5"/>
    <n v="7.5"/>
    <x v="2"/>
    <x v="0"/>
    <d v="2023-06-28T00:00:00"/>
  </r>
  <r>
    <s v="TXN_1145592"/>
    <x v="7"/>
    <n v="1"/>
    <n v="3"/>
    <n v="3"/>
    <x v="0"/>
    <x v="0"/>
    <d v="2023-09-11T00:00:00"/>
  </r>
  <r>
    <s v="TXN_2670487"/>
    <x v="0"/>
    <n v="3"/>
    <n v="2"/>
    <n v="6"/>
    <x v="3"/>
    <x v="2"/>
    <d v="2023-10-20T00:00:00"/>
  </r>
  <r>
    <s v="TXN_9485101"/>
    <x v="2"/>
    <n v="2"/>
    <n v="1"/>
    <n v="2"/>
    <x v="1"/>
    <x v="0"/>
    <d v="2023-11-01T00:00:00"/>
  </r>
  <r>
    <s v="TXN_9667219"/>
    <x v="7"/>
    <n v="4"/>
    <n v="3"/>
    <n v="12"/>
    <x v="1"/>
    <x v="1"/>
    <d v="2023-10-09T00:00:00"/>
  </r>
  <r>
    <s v="TXN_3119835"/>
    <x v="8"/>
    <n v="2"/>
    <n v="1.5"/>
    <n v="3"/>
    <x v="3"/>
    <x v="1"/>
    <d v="2023-03-01T00:00:00"/>
  </r>
  <r>
    <s v="TXN_2454046"/>
    <x v="7"/>
    <n v="2"/>
    <n v="3"/>
    <n v="6"/>
    <x v="2"/>
    <x v="0"/>
    <m/>
  </r>
  <r>
    <s v="TXN_7014091"/>
    <x v="0"/>
    <n v="5"/>
    <n v="2"/>
    <n v="10"/>
    <x v="1"/>
    <x v="1"/>
    <d v="2023-11-26T00:00:00"/>
  </r>
  <r>
    <s v="TXN_7107807"/>
    <x v="2"/>
    <n v="1"/>
    <n v="1"/>
    <n v="1"/>
    <x v="3"/>
    <x v="2"/>
    <d v="2023-11-01T00:00:00"/>
  </r>
  <r>
    <s v="TXN_5698925"/>
    <x v="7"/>
    <n v="2"/>
    <n v="3"/>
    <n v="6"/>
    <x v="2"/>
    <x v="1"/>
    <d v="2023-04-08T00:00:00"/>
  </r>
  <r>
    <s v="TXN_6662213"/>
    <x v="6"/>
    <n v="4"/>
    <n v="4"/>
    <n v="16"/>
    <x v="3"/>
    <x v="2"/>
    <d v="2023-01-18T00:00:00"/>
  </r>
  <r>
    <s v="TXN_1336900"/>
    <x v="0"/>
    <n v="5"/>
    <n v="2"/>
    <n v="10"/>
    <x v="0"/>
    <x v="2"/>
    <d v="2023-01-16T00:00:00"/>
  </r>
  <r>
    <s v="TXN_2250785"/>
    <x v="1"/>
    <n v="1"/>
    <n v="3"/>
    <n v="3"/>
    <x v="1"/>
    <x v="2"/>
    <d v="2023-03-19T00:00:00"/>
  </r>
  <r>
    <s v="TXN_8122340"/>
    <x v="0"/>
    <n v="4"/>
    <n v="2"/>
    <n v="8"/>
    <x v="0"/>
    <x v="2"/>
    <d v="2023-06-09T00:00:00"/>
  </r>
  <r>
    <s v="TXN_9911498"/>
    <x v="0"/>
    <n v="4"/>
    <n v="2"/>
    <n v="8"/>
    <x v="1"/>
    <x v="1"/>
    <d v="2023-03-27T00:00:00"/>
  </r>
  <r>
    <s v="TXN_4130861"/>
    <x v="3"/>
    <n v="2"/>
    <n v="5"/>
    <n v="10"/>
    <x v="0"/>
    <x v="2"/>
    <m/>
  </r>
  <r>
    <s v="TXN_3741325"/>
    <x v="6"/>
    <n v="5"/>
    <n v="4"/>
    <n v="20"/>
    <x v="3"/>
    <x v="2"/>
    <d v="2023-07-04T00:00:00"/>
  </r>
  <r>
    <s v="TXN_8658970"/>
    <x v="3"/>
    <n v="3"/>
    <n v="5"/>
    <n v="15"/>
    <x v="0"/>
    <x v="2"/>
    <d v="2023-09-03T00:00:00"/>
  </r>
  <r>
    <s v="TXN_2887971"/>
    <x v="4"/>
    <n v="2"/>
    <n v="4"/>
    <n v="8"/>
    <x v="3"/>
    <x v="2"/>
    <d v="2023-06-26T00:00:00"/>
  </r>
  <r>
    <s v="TXN_9865855"/>
    <x v="0"/>
    <n v="3"/>
    <n v="2"/>
    <n v="6"/>
    <x v="3"/>
    <x v="0"/>
    <d v="2023-04-18T00:00:00"/>
  </r>
  <r>
    <s v="TXN_2217295"/>
    <x v="7"/>
    <n v="4"/>
    <n v="3"/>
    <n v="12"/>
    <x v="0"/>
    <x v="1"/>
    <d v="2023-11-22T00:00:00"/>
  </r>
  <r>
    <s v="TXN_8913492"/>
    <x v="6"/>
    <n v="4"/>
    <n v="4"/>
    <n v="16"/>
    <x v="0"/>
    <x v="1"/>
    <d v="2023-12-25T00:00:00"/>
  </r>
  <r>
    <s v="TXN_5625086"/>
    <x v="6"/>
    <n v="1"/>
    <n v="4"/>
    <n v="4"/>
    <x v="0"/>
    <x v="1"/>
    <d v="2023-06-17T00:00:00"/>
  </r>
  <r>
    <s v="TXN_2690222"/>
    <x v="5"/>
    <n v="4"/>
    <n v="3"/>
    <n v="12"/>
    <x v="2"/>
    <x v="2"/>
    <d v="2023-01-01T00:00:00"/>
  </r>
  <r>
    <s v="TXN_5767429"/>
    <x v="1"/>
    <n v="2"/>
    <n v="3"/>
    <n v="6"/>
    <x v="2"/>
    <x v="2"/>
    <d v="2023-03-19T00:00:00"/>
  </r>
  <r>
    <s v="TXN_5910541"/>
    <x v="1"/>
    <n v="5"/>
    <n v="3"/>
    <n v="15"/>
    <x v="1"/>
    <x v="1"/>
    <d v="2023-09-08T00:00:00"/>
  </r>
  <r>
    <s v="TXN_4435352"/>
    <x v="3"/>
    <n v="2"/>
    <n v="5"/>
    <n v="10"/>
    <x v="0"/>
    <x v="2"/>
    <d v="2023-05-03T00:00:00"/>
  </r>
  <r>
    <s v="TXN_1009421"/>
    <x v="2"/>
    <n v="4"/>
    <n v="1"/>
    <n v="4"/>
    <x v="1"/>
    <x v="0"/>
    <d v="2023-02-21T00:00:00"/>
  </r>
  <r>
    <s v="TXN_5369243"/>
    <x v="4"/>
    <n v="4"/>
    <n v="4"/>
    <n v="16"/>
    <x v="1"/>
    <x v="0"/>
    <d v="2023-11-16T00:00:00"/>
  </r>
  <r>
    <s v="TXN_2939667"/>
    <x v="5"/>
    <n v="1"/>
    <n v="3"/>
    <n v="3"/>
    <x v="2"/>
    <x v="1"/>
    <d v="2023-12-21T00:00:00"/>
  </r>
  <r>
    <s v="TXN_5734395"/>
    <x v="6"/>
    <n v="5"/>
    <n v="4"/>
    <n v="20"/>
    <x v="1"/>
    <x v="0"/>
    <d v="2023-05-17T00:00:00"/>
  </r>
  <r>
    <s v="TXN_2966262"/>
    <x v="8"/>
    <n v="3"/>
    <n v="1.5"/>
    <n v="4.5"/>
    <x v="1"/>
    <x v="2"/>
    <d v="2023-11-19T00:00:00"/>
  </r>
  <r>
    <s v="TXN_7293241"/>
    <x v="5"/>
    <n v="1"/>
    <n v="2"/>
    <n v="2"/>
    <x v="3"/>
    <x v="2"/>
    <d v="2023-08-27T00:00:00"/>
  </r>
  <r>
    <s v="TXN_1827212"/>
    <x v="6"/>
    <n v="5"/>
    <n v="4"/>
    <n v="20"/>
    <x v="2"/>
    <x v="2"/>
    <d v="2023-12-22T00:00:00"/>
  </r>
  <r>
    <s v="TXN_4809548"/>
    <x v="4"/>
    <n v="3"/>
    <n v="4"/>
    <n v="12"/>
    <x v="2"/>
    <x v="0"/>
    <d v="2023-11-04T00:00:00"/>
  </r>
  <r>
    <s v="TXN_2224935"/>
    <x v="0"/>
    <n v="1"/>
    <n v="2"/>
    <n v="2"/>
    <x v="3"/>
    <x v="2"/>
    <d v="2023-04-15T00:00:00"/>
  </r>
  <r>
    <s v="TXN_7580441"/>
    <x v="0"/>
    <n v="1"/>
    <n v="2"/>
    <n v="2"/>
    <x v="1"/>
    <x v="2"/>
    <d v="2023-08-09T00:00:00"/>
  </r>
  <r>
    <s v="TXN_4897993"/>
    <x v="6"/>
    <n v="4"/>
    <n v="4"/>
    <n v="16"/>
    <x v="2"/>
    <x v="1"/>
    <d v="2023-12-07T00:00:00"/>
  </r>
  <r>
    <s v="TXN_9522045"/>
    <x v="0"/>
    <n v="3"/>
    <n v="2"/>
    <n v="6"/>
    <x v="2"/>
    <x v="2"/>
    <d v="2023-05-30T00:00:00"/>
  </r>
  <r>
    <s v="TXN_6128966"/>
    <x v="6"/>
    <n v="3"/>
    <n v="4"/>
    <n v="12"/>
    <x v="2"/>
    <x v="2"/>
    <d v="2023-12-18T00:00:00"/>
  </r>
  <r>
    <s v="TXN_5475746"/>
    <x v="1"/>
    <n v="3"/>
    <n v="3"/>
    <n v="9"/>
    <x v="0"/>
    <x v="1"/>
    <d v="2023-08-20T00:00:00"/>
  </r>
  <r>
    <s v="TXN_6071339"/>
    <x v="0"/>
    <n v="5"/>
    <n v="2"/>
    <n v="10"/>
    <x v="1"/>
    <x v="0"/>
    <d v="2023-10-17T00:00:00"/>
  </r>
  <r>
    <s v="TXN_9540864"/>
    <x v="2"/>
    <n v="2"/>
    <n v="1"/>
    <n v="2"/>
    <x v="3"/>
    <x v="0"/>
    <d v="2023-08-07T00:00:00"/>
  </r>
  <r>
    <s v="TXN_6389404"/>
    <x v="7"/>
    <n v="5"/>
    <n v="3"/>
    <n v="15"/>
    <x v="3"/>
    <x v="1"/>
    <d v="2023-11-20T00:00:00"/>
  </r>
  <r>
    <s v="TXN_8724474"/>
    <x v="5"/>
    <n v="5"/>
    <n v="5"/>
    <n v="25"/>
    <x v="1"/>
    <x v="2"/>
    <d v="2023-08-04T00:00:00"/>
  </r>
  <r>
    <s v="TXN_8199524"/>
    <x v="1"/>
    <n v="5"/>
    <n v="3"/>
    <n v="15"/>
    <x v="1"/>
    <x v="2"/>
    <d v="2023-12-01T00:00:00"/>
  </r>
  <r>
    <s v="TXN_1212652"/>
    <x v="7"/>
    <n v="3"/>
    <n v="3"/>
    <n v="9"/>
    <x v="0"/>
    <x v="2"/>
    <d v="2023-01-30T00:00:00"/>
  </r>
  <r>
    <s v="TXN_1799247"/>
    <x v="0"/>
    <n v="3"/>
    <n v="2"/>
    <n v="6"/>
    <x v="2"/>
    <x v="2"/>
    <d v="2023-01-25T00:00:00"/>
  </r>
  <r>
    <s v="TXN_5745054"/>
    <x v="4"/>
    <n v="1"/>
    <n v="4"/>
    <n v="4"/>
    <x v="0"/>
    <x v="2"/>
    <d v="2023-01-26T00:00:00"/>
  </r>
  <r>
    <s v="TXN_4328090"/>
    <x v="5"/>
    <n v="1"/>
    <n v="4"/>
    <n v="4"/>
    <x v="3"/>
    <x v="1"/>
    <d v="2023-04-18T00:00:00"/>
  </r>
  <r>
    <s v="TXN_3499226"/>
    <x v="7"/>
    <n v="1"/>
    <n v="3"/>
    <n v="3"/>
    <x v="0"/>
    <x v="0"/>
    <d v="2023-09-08T00:00:00"/>
  </r>
  <r>
    <s v="TXN_1259340"/>
    <x v="8"/>
    <n v="3"/>
    <n v="1.5"/>
    <n v="4.5"/>
    <x v="3"/>
    <x v="2"/>
    <d v="2023-02-24T00:00:00"/>
  </r>
  <r>
    <s v="TXN_3893480"/>
    <x v="2"/>
    <n v="3"/>
    <n v="1"/>
    <n v="3"/>
    <x v="2"/>
    <x v="2"/>
    <d v="2023-12-24T00:00:00"/>
  </r>
  <r>
    <s v="TXN_2614271"/>
    <x v="5"/>
    <n v="2"/>
    <n v="4"/>
    <n v="8"/>
    <x v="3"/>
    <x v="2"/>
    <d v="2023-08-03T00:00:00"/>
  </r>
  <r>
    <s v="TXN_8295765"/>
    <x v="1"/>
    <n v="4"/>
    <n v="3"/>
    <n v="12"/>
    <x v="2"/>
    <x v="0"/>
    <d v="2023-04-05T00:00:00"/>
  </r>
  <r>
    <s v="TXN_1324760"/>
    <x v="8"/>
    <n v="4"/>
    <n v="1.5"/>
    <n v="6"/>
    <x v="1"/>
    <x v="1"/>
    <d v="2023-01-18T00:00:00"/>
  </r>
  <r>
    <s v="TXN_8292441"/>
    <x v="3"/>
    <n v="1"/>
    <n v="5"/>
    <n v="5"/>
    <x v="1"/>
    <x v="0"/>
    <d v="2023-09-15T00:00:00"/>
  </r>
  <r>
    <s v="TXN_6663486"/>
    <x v="0"/>
    <n v="3"/>
    <n v="2"/>
    <n v="6"/>
    <x v="2"/>
    <x v="2"/>
    <d v="2023-11-02T00:00:00"/>
  </r>
  <r>
    <s v="TXN_9423451"/>
    <x v="0"/>
    <n v="1"/>
    <n v="2"/>
    <n v="2"/>
    <x v="2"/>
    <x v="2"/>
    <d v="2023-10-22T00:00:00"/>
  </r>
  <r>
    <s v="TXN_3792125"/>
    <x v="3"/>
    <n v="5"/>
    <n v="5"/>
    <n v="25"/>
    <x v="0"/>
    <x v="1"/>
    <d v="2023-08-25T00:00:00"/>
  </r>
  <r>
    <s v="TXN_7021504"/>
    <x v="2"/>
    <n v="2"/>
    <n v="1"/>
    <n v="2"/>
    <x v="2"/>
    <x v="1"/>
    <d v="2023-05-31T00:00:00"/>
  </r>
  <r>
    <s v="TXN_8608811"/>
    <x v="1"/>
    <n v="5"/>
    <n v="3"/>
    <n v="15"/>
    <x v="0"/>
    <x v="0"/>
    <d v="2023-01-05T00:00:00"/>
  </r>
  <r>
    <s v="TXN_4844386"/>
    <x v="5"/>
    <n v="5"/>
    <n v="3"/>
    <n v="15"/>
    <x v="0"/>
    <x v="1"/>
    <d v="2023-10-28T00:00:00"/>
  </r>
  <r>
    <s v="TXN_4368729"/>
    <x v="0"/>
    <n v="3"/>
    <n v="2"/>
    <n v="6"/>
    <x v="3"/>
    <x v="1"/>
    <d v="2023-06-11T00:00:00"/>
  </r>
  <r>
    <s v="TXN_5072156"/>
    <x v="8"/>
    <n v="3"/>
    <n v="1.5"/>
    <n v="4.5"/>
    <x v="3"/>
    <x v="0"/>
    <d v="2023-07-24T00:00:00"/>
  </r>
  <r>
    <s v="TXN_5763520"/>
    <x v="5"/>
    <n v="1"/>
    <n v="5"/>
    <n v="5"/>
    <x v="2"/>
    <x v="2"/>
    <d v="2023-01-17T00:00:00"/>
  </r>
  <r>
    <s v="TXN_4877933"/>
    <x v="7"/>
    <n v="5"/>
    <n v="3"/>
    <n v="15"/>
    <x v="3"/>
    <x v="1"/>
    <d v="2023-01-12T00:00:00"/>
  </r>
  <r>
    <s v="TXN_8854384"/>
    <x v="7"/>
    <n v="5"/>
    <n v="3"/>
    <n v="15"/>
    <x v="1"/>
    <x v="0"/>
    <d v="2023-08-12T00:00:00"/>
  </r>
  <r>
    <s v="TXN_3308378"/>
    <x v="2"/>
    <n v="4"/>
    <n v="1"/>
    <n v="4"/>
    <x v="3"/>
    <x v="2"/>
    <d v="2023-04-28T00:00:00"/>
  </r>
  <r>
    <s v="TXN_4355766"/>
    <x v="2"/>
    <n v="5"/>
    <n v="1"/>
    <n v="5"/>
    <x v="3"/>
    <x v="2"/>
    <d v="2023-11-07T00:00:00"/>
  </r>
  <r>
    <s v="TXN_5644235"/>
    <x v="3"/>
    <n v="4"/>
    <n v="5"/>
    <n v="20"/>
    <x v="1"/>
    <x v="1"/>
    <d v="2023-03-25T00:00:00"/>
  </r>
  <r>
    <s v="TXN_5331285"/>
    <x v="6"/>
    <n v="3"/>
    <n v="4"/>
    <n v="12"/>
    <x v="3"/>
    <x v="2"/>
    <d v="2023-03-12T00:00:00"/>
  </r>
  <r>
    <s v="TXN_7620397"/>
    <x v="2"/>
    <n v="4"/>
    <n v="1"/>
    <n v="4"/>
    <x v="2"/>
    <x v="2"/>
    <d v="2023-12-24T00:00:00"/>
  </r>
  <r>
    <s v="TXN_1214868"/>
    <x v="7"/>
    <n v="4"/>
    <n v="3"/>
    <n v="12"/>
    <x v="1"/>
    <x v="1"/>
    <d v="2023-07-30T00:00:00"/>
  </r>
  <r>
    <s v="TXN_5117595"/>
    <x v="4"/>
    <n v="4"/>
    <n v="4"/>
    <n v="16"/>
    <x v="1"/>
    <x v="1"/>
    <d v="2023-02-05T00:00:00"/>
  </r>
  <r>
    <s v="TXN_9708144"/>
    <x v="4"/>
    <n v="3"/>
    <n v="4"/>
    <n v="12"/>
    <x v="1"/>
    <x v="2"/>
    <d v="2023-04-18T00:00:00"/>
  </r>
  <r>
    <s v="TXN_8266689"/>
    <x v="5"/>
    <n v="5"/>
    <n v="3"/>
    <n v="15"/>
    <x v="1"/>
    <x v="1"/>
    <d v="2023-12-03T00:00:00"/>
  </r>
  <r>
    <s v="TXN_3589166"/>
    <x v="8"/>
    <n v="1"/>
    <n v="1.5"/>
    <n v="1.5"/>
    <x v="2"/>
    <x v="2"/>
    <d v="2023-02-02T00:00:00"/>
  </r>
  <r>
    <s v="TXN_3943672"/>
    <x v="6"/>
    <n v="4"/>
    <n v="4"/>
    <n v="16"/>
    <x v="0"/>
    <x v="2"/>
    <d v="2023-10-21T00:00:00"/>
  </r>
  <r>
    <s v="TXN_8988279"/>
    <x v="4"/>
    <n v="2"/>
    <n v="4"/>
    <n v="8"/>
    <x v="2"/>
    <x v="1"/>
    <d v="2023-08-08T00:00:00"/>
  </r>
  <r>
    <s v="TXN_4269933"/>
    <x v="4"/>
    <n v="2"/>
    <n v="4"/>
    <n v="8"/>
    <x v="2"/>
    <x v="0"/>
    <d v="2023-03-28T00:00:00"/>
  </r>
  <r>
    <s v="TXN_2234460"/>
    <x v="8"/>
    <n v="2"/>
    <n v="1.5"/>
    <n v="3"/>
    <x v="2"/>
    <x v="0"/>
    <d v="2023-08-15T00:00:00"/>
  </r>
  <r>
    <s v="TXN_4356564"/>
    <x v="0"/>
    <n v="2"/>
    <n v="2"/>
    <n v="4"/>
    <x v="0"/>
    <x v="0"/>
    <d v="2023-10-05T00:00:00"/>
  </r>
  <r>
    <s v="TXN_2223047"/>
    <x v="5"/>
    <n v="2"/>
    <n v="2"/>
    <n v="4"/>
    <x v="2"/>
    <x v="0"/>
    <d v="2023-06-14T00:00:00"/>
  </r>
  <r>
    <s v="TXN_9469735"/>
    <x v="1"/>
    <n v="1"/>
    <n v="3"/>
    <n v="3"/>
    <x v="2"/>
    <x v="1"/>
    <d v="2023-12-31T00:00:00"/>
  </r>
  <r>
    <s v="TXN_6762250"/>
    <x v="2"/>
    <n v="2"/>
    <n v="1"/>
    <n v="2"/>
    <x v="3"/>
    <x v="0"/>
    <d v="2023-06-17T00:00:00"/>
  </r>
  <r>
    <s v="TXN_8553273"/>
    <x v="7"/>
    <n v="5"/>
    <n v="3"/>
    <n v="15"/>
    <x v="1"/>
    <x v="1"/>
    <d v="2023-01-15T00:00:00"/>
  </r>
  <r>
    <s v="TXN_8713971"/>
    <x v="8"/>
    <n v="1"/>
    <n v="1.5"/>
    <n v="1.5"/>
    <x v="1"/>
    <x v="2"/>
    <d v="2023-08-26T00:00:00"/>
  </r>
  <r>
    <s v="TXN_4076575"/>
    <x v="4"/>
    <n v="3"/>
    <n v="4"/>
    <n v="12"/>
    <x v="2"/>
    <x v="0"/>
    <d v="2023-01-18T00:00:00"/>
  </r>
  <r>
    <s v="TXN_2432379"/>
    <x v="0"/>
    <n v="1"/>
    <n v="2"/>
    <n v="2"/>
    <x v="0"/>
    <x v="1"/>
    <d v="2023-10-24T00:00:00"/>
  </r>
  <r>
    <s v="TXN_3187634"/>
    <x v="5"/>
    <n v="5"/>
    <n v="2"/>
    <n v="10"/>
    <x v="3"/>
    <x v="0"/>
    <d v="2023-09-01T00:00:00"/>
  </r>
  <r>
    <s v="TXN_1961943"/>
    <x v="4"/>
    <n v="3"/>
    <n v="4"/>
    <n v="12"/>
    <x v="3"/>
    <x v="1"/>
    <d v="2023-11-05T00:00:00"/>
  </r>
  <r>
    <s v="TXN_5908104"/>
    <x v="6"/>
    <n v="2"/>
    <n v="4"/>
    <n v="8"/>
    <x v="0"/>
    <x v="2"/>
    <d v="2023-05-12T00:00:00"/>
  </r>
  <r>
    <s v="TXN_1355212"/>
    <x v="0"/>
    <n v="2"/>
    <n v="2"/>
    <n v="4"/>
    <x v="2"/>
    <x v="2"/>
    <d v="2023-05-25T00:00:00"/>
  </r>
  <r>
    <s v="TXN_2155393"/>
    <x v="7"/>
    <n v="2"/>
    <n v="3"/>
    <n v="6"/>
    <x v="3"/>
    <x v="1"/>
    <d v="2023-07-12T00:00:00"/>
  </r>
  <r>
    <s v="TXN_3485938"/>
    <x v="5"/>
    <n v="4"/>
    <n v="5"/>
    <n v="20"/>
    <x v="1"/>
    <x v="0"/>
    <d v="2023-05-28T00:00:00"/>
  </r>
  <r>
    <s v="TXN_9449037"/>
    <x v="0"/>
    <n v="4"/>
    <n v="2"/>
    <n v="8"/>
    <x v="2"/>
    <x v="0"/>
    <d v="2023-04-30T00:00:00"/>
  </r>
  <r>
    <s v="TXN_3114654"/>
    <x v="7"/>
    <n v="3"/>
    <n v="3"/>
    <n v="9"/>
    <x v="2"/>
    <x v="1"/>
    <d v="2023-12-01T00:00:00"/>
  </r>
  <r>
    <s v="TXN_5837801"/>
    <x v="3"/>
    <n v="1"/>
    <n v="5"/>
    <n v="5"/>
    <x v="0"/>
    <x v="1"/>
    <d v="2023-01-25T00:00:00"/>
  </r>
  <r>
    <s v="TXN_1336470"/>
    <x v="8"/>
    <n v="1"/>
    <n v="1.5"/>
    <n v="1.5"/>
    <x v="1"/>
    <x v="2"/>
    <d v="2023-12-22T00:00:00"/>
  </r>
  <r>
    <s v="TXN_2544724"/>
    <x v="1"/>
    <n v="5"/>
    <n v="3"/>
    <n v="15"/>
    <x v="3"/>
    <x v="0"/>
    <d v="2023-12-28T00:00:00"/>
  </r>
  <r>
    <s v="TXN_1035504"/>
    <x v="4"/>
    <n v="2"/>
    <n v="4"/>
    <n v="8"/>
    <x v="3"/>
    <x v="0"/>
    <d v="2023-03-30T00:00:00"/>
  </r>
  <r>
    <s v="TXN_2576799"/>
    <x v="7"/>
    <n v="1"/>
    <n v="3"/>
    <n v="3"/>
    <x v="1"/>
    <x v="2"/>
    <d v="2023-03-12T00:00:00"/>
  </r>
  <r>
    <s v="TXN_4659155"/>
    <x v="7"/>
    <n v="1"/>
    <n v="3"/>
    <n v="3"/>
    <x v="2"/>
    <x v="2"/>
    <d v="2023-04-13T00:00:00"/>
  </r>
  <r>
    <s v="TXN_9781961"/>
    <x v="0"/>
    <n v="1"/>
    <n v="2"/>
    <n v="2"/>
    <x v="0"/>
    <x v="1"/>
    <d v="2023-12-01T00:00:00"/>
  </r>
  <r>
    <s v="TXN_5313347"/>
    <x v="2"/>
    <n v="2"/>
    <n v="1"/>
    <n v="2"/>
    <x v="3"/>
    <x v="0"/>
    <d v="2023-12-10T00:00:00"/>
  </r>
  <r>
    <s v="TXN_7926510"/>
    <x v="3"/>
    <n v="4"/>
    <n v="5"/>
    <n v="20"/>
    <x v="1"/>
    <x v="2"/>
    <d v="2023-10-03T00:00:00"/>
  </r>
  <r>
    <s v="TXN_3477975"/>
    <x v="6"/>
    <n v="4"/>
    <n v="4"/>
    <n v="16"/>
    <x v="2"/>
    <x v="2"/>
    <d v="2023-02-26T00:00:00"/>
  </r>
  <r>
    <s v="TXN_6736084"/>
    <x v="7"/>
    <n v="1"/>
    <n v="3"/>
    <n v="3"/>
    <x v="2"/>
    <x v="0"/>
    <d v="2023-04-19T00:00:00"/>
  </r>
  <r>
    <s v="TXN_5573731"/>
    <x v="6"/>
    <n v="4"/>
    <n v="4"/>
    <n v="16"/>
    <x v="1"/>
    <x v="2"/>
    <d v="2023-01-15T00:00:00"/>
  </r>
  <r>
    <s v="TXN_2760327"/>
    <x v="3"/>
    <n v="1"/>
    <n v="5"/>
    <n v="5"/>
    <x v="2"/>
    <x v="0"/>
    <d v="2023-02-16T00:00:00"/>
  </r>
  <r>
    <s v="TXN_5540067"/>
    <x v="8"/>
    <n v="4"/>
    <n v="1.5"/>
    <n v="6"/>
    <x v="2"/>
    <x v="2"/>
    <d v="2023-08-24T00:00:00"/>
  </r>
  <r>
    <s v="TXN_7585599"/>
    <x v="1"/>
    <n v="1"/>
    <n v="3"/>
    <n v="3"/>
    <x v="0"/>
    <x v="2"/>
    <d v="2023-01-12T00:00:00"/>
  </r>
  <r>
    <s v="TXN_6333241"/>
    <x v="0"/>
    <n v="2"/>
    <n v="2"/>
    <n v="4"/>
    <x v="3"/>
    <x v="2"/>
    <d v="2023-09-15T00:00:00"/>
  </r>
  <r>
    <s v="TXN_1635631"/>
    <x v="2"/>
    <n v="4"/>
    <n v="1"/>
    <n v="4"/>
    <x v="0"/>
    <x v="2"/>
    <d v="2023-07-04T00:00:00"/>
  </r>
  <r>
    <s v="TXN_8907996"/>
    <x v="6"/>
    <n v="4"/>
    <n v="4"/>
    <n v="16"/>
    <x v="1"/>
    <x v="1"/>
    <d v="2023-02-19T00:00:00"/>
  </r>
  <r>
    <s v="TXN_3206049"/>
    <x v="0"/>
    <n v="4"/>
    <n v="2"/>
    <n v="8"/>
    <x v="2"/>
    <x v="2"/>
    <d v="2023-03-27T00:00:00"/>
  </r>
  <r>
    <s v="TXN_4620647"/>
    <x v="0"/>
    <n v="1"/>
    <n v="2"/>
    <n v="2"/>
    <x v="3"/>
    <x v="2"/>
    <d v="2023-07-15T00:00:00"/>
  </r>
  <r>
    <s v="TXN_5348915"/>
    <x v="7"/>
    <n v="1"/>
    <n v="3"/>
    <n v="3"/>
    <x v="3"/>
    <x v="0"/>
    <d v="2023-07-09T00:00:00"/>
  </r>
  <r>
    <s v="TXN_4036214"/>
    <x v="1"/>
    <n v="2"/>
    <n v="3"/>
    <n v="6"/>
    <x v="0"/>
    <x v="2"/>
    <d v="2023-10-17T00:00:00"/>
  </r>
  <r>
    <s v="TXN_6323914"/>
    <x v="7"/>
    <n v="1"/>
    <n v="3"/>
    <n v="3"/>
    <x v="0"/>
    <x v="1"/>
    <d v="2023-03-19T00:00:00"/>
  </r>
  <r>
    <s v="TXN_7804128"/>
    <x v="6"/>
    <n v="5"/>
    <n v="4"/>
    <n v="20"/>
    <x v="3"/>
    <x v="1"/>
    <d v="2023-02-12T00:00:00"/>
  </r>
  <r>
    <s v="TXN_6228313"/>
    <x v="5"/>
    <n v="4"/>
    <n v="3"/>
    <n v="12"/>
    <x v="2"/>
    <x v="2"/>
    <d v="2023-01-24T00:00:00"/>
  </r>
  <r>
    <s v="TXN_2930752"/>
    <x v="1"/>
    <n v="2"/>
    <n v="3"/>
    <n v="6"/>
    <x v="0"/>
    <x v="2"/>
    <d v="2023-03-04T00:00:00"/>
  </r>
  <r>
    <s v="TXN_3477101"/>
    <x v="2"/>
    <n v="4"/>
    <n v="1"/>
    <n v="4"/>
    <x v="2"/>
    <x v="0"/>
    <d v="2023-05-02T00:00:00"/>
  </r>
  <r>
    <s v="TXN_2210265"/>
    <x v="7"/>
    <n v="2"/>
    <n v="3"/>
    <n v="6"/>
    <x v="0"/>
    <x v="0"/>
    <d v="2023-06-14T00:00:00"/>
  </r>
  <r>
    <s v="TXN_5534515"/>
    <x v="4"/>
    <n v="1"/>
    <n v="4"/>
    <n v="4"/>
    <x v="0"/>
    <x v="0"/>
    <d v="2023-02-09T00:00:00"/>
  </r>
  <r>
    <s v="TXN_9561380"/>
    <x v="6"/>
    <n v="1"/>
    <n v="4"/>
    <n v="4"/>
    <x v="3"/>
    <x v="0"/>
    <d v="2023-08-11T00:00:00"/>
  </r>
  <r>
    <s v="TXN_3038078"/>
    <x v="2"/>
    <n v="1"/>
    <n v="1"/>
    <n v="1"/>
    <x v="0"/>
    <x v="0"/>
    <d v="2023-04-06T00:00:00"/>
  </r>
  <r>
    <s v="TXN_5652473"/>
    <x v="4"/>
    <n v="4"/>
    <n v="4"/>
    <n v="16"/>
    <x v="2"/>
    <x v="2"/>
    <d v="2023-03-19T00:00:00"/>
  </r>
  <r>
    <s v="TXN_5222822"/>
    <x v="3"/>
    <n v="1"/>
    <n v="5"/>
    <n v="5"/>
    <x v="2"/>
    <x v="1"/>
    <d v="2023-11-20T00:00:00"/>
  </r>
  <r>
    <s v="TXN_6238191"/>
    <x v="4"/>
    <n v="4"/>
    <n v="4"/>
    <n v="16"/>
    <x v="2"/>
    <x v="1"/>
    <d v="2023-10-27T00:00:00"/>
  </r>
  <r>
    <s v="TXN_1244593"/>
    <x v="3"/>
    <n v="5"/>
    <n v="5"/>
    <n v="25"/>
    <x v="2"/>
    <x v="1"/>
    <d v="2023-04-11T00:00:00"/>
  </r>
  <r>
    <s v="TXN_9749175"/>
    <x v="1"/>
    <n v="1"/>
    <n v="3"/>
    <n v="3"/>
    <x v="0"/>
    <x v="1"/>
    <d v="2023-09-07T00:00:00"/>
  </r>
  <r>
    <s v="TXN_4502314"/>
    <x v="2"/>
    <n v="3"/>
    <n v="1"/>
    <n v="3"/>
    <x v="0"/>
    <x v="2"/>
    <d v="2023-06-02T00:00:00"/>
  </r>
  <r>
    <s v="TXN_5476846"/>
    <x v="8"/>
    <n v="4"/>
    <n v="1.5"/>
    <n v="6"/>
    <x v="0"/>
    <x v="0"/>
    <m/>
  </r>
  <r>
    <s v="TXN_3703964"/>
    <x v="6"/>
    <n v="2"/>
    <n v="4"/>
    <n v="8"/>
    <x v="0"/>
    <x v="0"/>
    <d v="2023-09-23T00:00:00"/>
  </r>
  <r>
    <s v="TXN_1554195"/>
    <x v="4"/>
    <n v="2"/>
    <n v="4"/>
    <n v="8"/>
    <x v="3"/>
    <x v="2"/>
    <d v="2023-10-22T00:00:00"/>
  </r>
  <r>
    <s v="TXN_1025152"/>
    <x v="2"/>
    <n v="4"/>
    <n v="1"/>
    <n v="4"/>
    <x v="2"/>
    <x v="2"/>
    <d v="2023-08-19T00:00:00"/>
  </r>
  <r>
    <s v="TXN_3429942"/>
    <x v="4"/>
    <n v="3"/>
    <n v="4"/>
    <n v="12"/>
    <x v="3"/>
    <x v="1"/>
    <d v="2023-04-24T00:00:00"/>
  </r>
  <r>
    <s v="TXN_2134660"/>
    <x v="5"/>
    <n v="5"/>
    <n v="3"/>
    <n v="15"/>
    <x v="0"/>
    <x v="1"/>
    <d v="2023-11-08T00:00:00"/>
  </r>
  <r>
    <s v="TXN_8944175"/>
    <x v="3"/>
    <n v="3"/>
    <n v="5"/>
    <n v="15"/>
    <x v="3"/>
    <x v="2"/>
    <d v="2023-11-30T00:00:00"/>
  </r>
  <r>
    <s v="TXN_4680399"/>
    <x v="7"/>
    <n v="5"/>
    <n v="3"/>
    <n v="15"/>
    <x v="3"/>
    <x v="2"/>
    <d v="2023-04-07T00:00:00"/>
  </r>
  <r>
    <s v="TXN_5328065"/>
    <x v="1"/>
    <n v="5"/>
    <n v="3"/>
    <n v="15"/>
    <x v="1"/>
    <x v="2"/>
    <d v="2023-09-18T00:00:00"/>
  </r>
  <r>
    <s v="TXN_9202496"/>
    <x v="1"/>
    <n v="5"/>
    <n v="3"/>
    <n v="15"/>
    <x v="0"/>
    <x v="1"/>
    <d v="2023-07-19T00:00:00"/>
  </r>
  <r>
    <s v="TXN_2914953"/>
    <x v="1"/>
    <n v="2"/>
    <n v="3"/>
    <n v="6"/>
    <x v="1"/>
    <x v="1"/>
    <d v="2023-07-25T00:00:00"/>
  </r>
  <r>
    <s v="TXN_6068148"/>
    <x v="1"/>
    <n v="3"/>
    <n v="3"/>
    <n v="9"/>
    <x v="2"/>
    <x v="1"/>
    <d v="2023-08-11T00:00:00"/>
  </r>
  <r>
    <s v="TXN_1216051"/>
    <x v="1"/>
    <n v="4"/>
    <n v="3"/>
    <n v="12"/>
    <x v="3"/>
    <x v="0"/>
    <d v="2023-10-28T00:00:00"/>
  </r>
  <r>
    <s v="TXN_3943327"/>
    <x v="7"/>
    <n v="1"/>
    <n v="3"/>
    <n v="3"/>
    <x v="2"/>
    <x v="2"/>
    <d v="2023-05-20T00:00:00"/>
  </r>
  <r>
    <s v="TXN_5268025"/>
    <x v="2"/>
    <n v="5"/>
    <n v="1"/>
    <n v="5"/>
    <x v="3"/>
    <x v="1"/>
    <d v="2023-05-19T00:00:00"/>
  </r>
  <r>
    <s v="TXN_9952441"/>
    <x v="4"/>
    <n v="1"/>
    <n v="4"/>
    <n v="4"/>
    <x v="1"/>
    <x v="1"/>
    <d v="2023-09-05T00:00:00"/>
  </r>
  <r>
    <s v="TXN_7354271"/>
    <x v="2"/>
    <n v="4"/>
    <n v="1"/>
    <n v="4"/>
    <x v="2"/>
    <x v="1"/>
    <d v="2023-04-12T00:00:00"/>
  </r>
  <r>
    <s v="TXN_3358494"/>
    <x v="0"/>
    <n v="5"/>
    <n v="2"/>
    <n v="10"/>
    <x v="3"/>
    <x v="0"/>
    <d v="2023-06-22T00:00:00"/>
  </r>
  <r>
    <s v="TXN_2966507"/>
    <x v="2"/>
    <n v="3"/>
    <n v="1"/>
    <n v="3"/>
    <x v="2"/>
    <x v="1"/>
    <d v="2023-04-25T00:00:00"/>
  </r>
  <r>
    <s v="TXN_9752586"/>
    <x v="8"/>
    <n v="2"/>
    <n v="1.5"/>
    <n v="3"/>
    <x v="3"/>
    <x v="2"/>
    <d v="2023-06-14T00:00:00"/>
  </r>
  <r>
    <s v="TXN_1324968"/>
    <x v="2"/>
    <n v="3"/>
    <n v="1"/>
    <n v="3"/>
    <x v="0"/>
    <x v="1"/>
    <d v="2023-01-05T00:00:00"/>
  </r>
  <r>
    <s v="TXN_8424417"/>
    <x v="4"/>
    <n v="2"/>
    <n v="4"/>
    <n v="8"/>
    <x v="2"/>
    <x v="0"/>
    <d v="2023-10-21T00:00:00"/>
  </r>
  <r>
    <s v="TXN_3985920"/>
    <x v="3"/>
    <n v="5"/>
    <n v="5"/>
    <n v="25"/>
    <x v="3"/>
    <x v="1"/>
    <d v="2023-03-29T00:00:00"/>
  </r>
  <r>
    <s v="TXN_7335526"/>
    <x v="6"/>
    <n v="4"/>
    <n v="4"/>
    <n v="16"/>
    <x v="1"/>
    <x v="1"/>
    <d v="2023-06-03T00:00:00"/>
  </r>
  <r>
    <s v="TXN_5989987"/>
    <x v="4"/>
    <n v="4"/>
    <n v="4"/>
    <n v="16"/>
    <x v="1"/>
    <x v="2"/>
    <d v="2023-08-02T00:00:00"/>
  </r>
  <r>
    <s v="TXN_8132632"/>
    <x v="8"/>
    <n v="3"/>
    <n v="1.5"/>
    <n v="4.5"/>
    <x v="2"/>
    <x v="2"/>
    <d v="2023-07-26T00:00:00"/>
  </r>
  <r>
    <s v="TXN_2408294"/>
    <x v="6"/>
    <n v="4"/>
    <n v="4"/>
    <n v="16"/>
    <x v="3"/>
    <x v="1"/>
    <d v="2023-12-26T00:00:00"/>
  </r>
  <r>
    <s v="TXN_7380756"/>
    <x v="3"/>
    <n v="1"/>
    <n v="5"/>
    <n v="5"/>
    <x v="3"/>
    <x v="0"/>
    <d v="2023-10-16T00:00:00"/>
  </r>
  <r>
    <s v="TXN_1145888"/>
    <x v="0"/>
    <n v="4"/>
    <n v="2"/>
    <n v="8"/>
    <x v="2"/>
    <x v="2"/>
    <d v="2023-01-26T00:00:00"/>
  </r>
  <r>
    <s v="TXN_3845754"/>
    <x v="8"/>
    <n v="4"/>
    <n v="1.5"/>
    <n v="6"/>
    <x v="2"/>
    <x v="0"/>
    <d v="2023-11-25T00:00:00"/>
  </r>
  <r>
    <s v="TXN_1315214"/>
    <x v="8"/>
    <n v="2"/>
    <n v="1.5"/>
    <n v="3"/>
    <x v="3"/>
    <x v="1"/>
    <d v="2023-11-03T00:00:00"/>
  </r>
  <r>
    <s v="TXN_7602467"/>
    <x v="2"/>
    <n v="1"/>
    <n v="1"/>
    <n v="1"/>
    <x v="0"/>
    <x v="0"/>
    <d v="2023-10-17T00:00:00"/>
  </r>
  <r>
    <s v="TXN_1672708"/>
    <x v="3"/>
    <n v="4"/>
    <n v="5"/>
    <n v="20"/>
    <x v="2"/>
    <x v="2"/>
    <d v="2023-04-04T00:00:00"/>
  </r>
  <r>
    <s v="TXN_4979250"/>
    <x v="8"/>
    <n v="3"/>
    <n v="1.5"/>
    <n v="4.5"/>
    <x v="1"/>
    <x v="1"/>
    <d v="2023-11-01T00:00:00"/>
  </r>
  <r>
    <s v="TXN_2809397"/>
    <x v="3"/>
    <n v="2"/>
    <n v="5"/>
    <n v="10"/>
    <x v="3"/>
    <x v="0"/>
    <d v="2023-09-13T00:00:00"/>
  </r>
  <r>
    <s v="TXN_8752130"/>
    <x v="7"/>
    <n v="2"/>
    <n v="3"/>
    <n v="6"/>
    <x v="0"/>
    <x v="0"/>
    <d v="2023-10-23T00:00:00"/>
  </r>
  <r>
    <s v="TXN_7326075"/>
    <x v="2"/>
    <n v="1"/>
    <n v="1"/>
    <n v="1"/>
    <x v="1"/>
    <x v="2"/>
    <d v="2023-06-12T00:00:00"/>
  </r>
  <r>
    <s v="TXN_9134257"/>
    <x v="0"/>
    <n v="3"/>
    <n v="2"/>
    <n v="6"/>
    <x v="3"/>
    <x v="0"/>
    <d v="2023-05-19T00:00:00"/>
  </r>
  <r>
    <s v="TXN_9944832"/>
    <x v="0"/>
    <n v="3"/>
    <n v="2"/>
    <n v="6"/>
    <x v="2"/>
    <x v="2"/>
    <d v="2023-12-25T00:00:00"/>
  </r>
  <r>
    <s v="TXN_8329302"/>
    <x v="7"/>
    <n v="3"/>
    <n v="3"/>
    <n v="9"/>
    <x v="2"/>
    <x v="0"/>
    <m/>
  </r>
  <r>
    <s v="TXN_9639317"/>
    <x v="1"/>
    <n v="3"/>
    <n v="3"/>
    <n v="9"/>
    <x v="1"/>
    <x v="2"/>
    <d v="2023-12-28T00:00:00"/>
  </r>
  <r>
    <s v="TXN_7707761"/>
    <x v="8"/>
    <n v="3"/>
    <n v="1.5"/>
    <n v="4.5"/>
    <x v="0"/>
    <x v="2"/>
    <d v="2023-03-08T00:00:00"/>
  </r>
  <r>
    <s v="TXN_3177517"/>
    <x v="5"/>
    <n v="1"/>
    <n v="1.5"/>
    <n v="1.5"/>
    <x v="0"/>
    <x v="1"/>
    <d v="2023-02-22T00:00:00"/>
  </r>
  <r>
    <s v="TXN_5353855"/>
    <x v="5"/>
    <n v="3"/>
    <n v="4"/>
    <n v="12"/>
    <x v="0"/>
    <x v="0"/>
    <d v="2023-12-24T00:00:00"/>
  </r>
  <r>
    <s v="TXN_3106811"/>
    <x v="7"/>
    <n v="3"/>
    <n v="3"/>
    <n v="9"/>
    <x v="1"/>
    <x v="0"/>
    <d v="2023-09-27T00:00:00"/>
  </r>
  <r>
    <s v="TXN_3475342"/>
    <x v="7"/>
    <n v="3"/>
    <n v="3"/>
    <n v="9"/>
    <x v="2"/>
    <x v="1"/>
    <d v="2023-04-24T00:00:00"/>
  </r>
  <r>
    <s v="TXN_8017663"/>
    <x v="0"/>
    <n v="2"/>
    <n v="2"/>
    <n v="4"/>
    <x v="2"/>
    <x v="2"/>
    <d v="2023-05-18T00:00:00"/>
  </r>
  <r>
    <s v="TXN_6309965"/>
    <x v="1"/>
    <n v="5"/>
    <n v="3"/>
    <n v="15"/>
    <x v="3"/>
    <x v="0"/>
    <d v="2023-06-14T00:00:00"/>
  </r>
  <r>
    <s v="TXN_7146871"/>
    <x v="0"/>
    <n v="2"/>
    <n v="2"/>
    <n v="4"/>
    <x v="2"/>
    <x v="2"/>
    <d v="2023-09-20T00:00:00"/>
  </r>
  <r>
    <s v="TXN_2661443"/>
    <x v="7"/>
    <n v="2"/>
    <n v="3"/>
    <n v="6"/>
    <x v="0"/>
    <x v="2"/>
    <d v="2023-06-30T00:00:00"/>
  </r>
  <r>
    <s v="TXN_6954434"/>
    <x v="7"/>
    <n v="3"/>
    <n v="3"/>
    <n v="9"/>
    <x v="1"/>
    <x v="0"/>
    <d v="2023-02-23T00:00:00"/>
  </r>
  <r>
    <s v="TXN_3578712"/>
    <x v="8"/>
    <n v="5"/>
    <n v="1.5"/>
    <n v="7.5"/>
    <x v="0"/>
    <x v="2"/>
    <d v="2023-08-15T00:00:00"/>
  </r>
  <r>
    <s v="TXN_6131350"/>
    <x v="6"/>
    <n v="2"/>
    <n v="4"/>
    <n v="8"/>
    <x v="0"/>
    <x v="2"/>
    <d v="2023-09-28T00:00:00"/>
  </r>
  <r>
    <s v="TXN_9207050"/>
    <x v="2"/>
    <n v="5"/>
    <n v="1"/>
    <n v="5"/>
    <x v="3"/>
    <x v="1"/>
    <d v="2023-07-21T00:00:00"/>
  </r>
  <r>
    <s v="TXN_5351656"/>
    <x v="8"/>
    <n v="1"/>
    <n v="1.5"/>
    <n v="1.5"/>
    <x v="2"/>
    <x v="0"/>
    <d v="2023-03-02T00:00:00"/>
  </r>
  <r>
    <s v="TXN_8905718"/>
    <x v="8"/>
    <n v="5"/>
    <n v="1.5"/>
    <n v="7.5"/>
    <x v="2"/>
    <x v="1"/>
    <d v="2023-09-07T00:00:00"/>
  </r>
  <r>
    <s v="TXN_1938148"/>
    <x v="1"/>
    <n v="2"/>
    <n v="3"/>
    <n v="6"/>
    <x v="0"/>
    <x v="0"/>
    <d v="2023-06-07T00:00:00"/>
  </r>
  <r>
    <s v="TXN_2024598"/>
    <x v="6"/>
    <n v="1"/>
    <n v="4"/>
    <n v="4"/>
    <x v="3"/>
    <x v="1"/>
    <d v="2023-01-01T00:00:00"/>
  </r>
  <r>
    <s v="TXN_7145872"/>
    <x v="3"/>
    <n v="5"/>
    <n v="5"/>
    <n v="25"/>
    <x v="3"/>
    <x v="0"/>
    <d v="2023-04-15T00:00:00"/>
  </r>
  <r>
    <s v="TXN_8140560"/>
    <x v="1"/>
    <n v="5"/>
    <n v="3"/>
    <n v="15"/>
    <x v="2"/>
    <x v="0"/>
    <d v="2023-06-29T00:00:00"/>
  </r>
  <r>
    <s v="TXN_6591756"/>
    <x v="2"/>
    <n v="5"/>
    <n v="1"/>
    <n v="5"/>
    <x v="2"/>
    <x v="2"/>
    <d v="2023-03-09T00:00:00"/>
  </r>
  <r>
    <s v="TXN_9004306"/>
    <x v="0"/>
    <n v="4"/>
    <n v="2"/>
    <n v="8"/>
    <x v="0"/>
    <x v="1"/>
    <d v="2023-05-26T00:00:00"/>
  </r>
  <r>
    <s v="TXN_7899686"/>
    <x v="5"/>
    <n v="1"/>
    <n v="4"/>
    <n v="4"/>
    <x v="3"/>
    <x v="0"/>
    <d v="2023-09-09T00:00:00"/>
  </r>
  <r>
    <s v="TXN_7092761"/>
    <x v="3"/>
    <n v="4"/>
    <n v="5"/>
    <n v="20"/>
    <x v="2"/>
    <x v="2"/>
    <d v="2023-05-11T00:00:00"/>
  </r>
  <r>
    <s v="TXN_6360436"/>
    <x v="1"/>
    <n v="2"/>
    <n v="3"/>
    <n v="6"/>
    <x v="3"/>
    <x v="0"/>
    <d v="2023-09-13T00:00:00"/>
  </r>
  <r>
    <s v="TXN_3295247"/>
    <x v="0"/>
    <n v="5"/>
    <n v="2"/>
    <n v="10"/>
    <x v="3"/>
    <x v="2"/>
    <d v="2023-08-25T00:00:00"/>
  </r>
  <r>
    <s v="TXN_5822344"/>
    <x v="6"/>
    <n v="5"/>
    <n v="4"/>
    <n v="20"/>
    <x v="1"/>
    <x v="1"/>
    <d v="2023-09-27T00:00:00"/>
  </r>
  <r>
    <s v="TXN_4266069"/>
    <x v="0"/>
    <n v="1"/>
    <n v="2"/>
    <n v="2"/>
    <x v="2"/>
    <x v="2"/>
    <d v="2023-12-25T00:00:00"/>
  </r>
  <r>
    <s v="TXN_9470768"/>
    <x v="4"/>
    <n v="5"/>
    <n v="4"/>
    <n v="20"/>
    <x v="0"/>
    <x v="2"/>
    <d v="2023-09-27T00:00:00"/>
  </r>
  <r>
    <s v="TXN_1540181"/>
    <x v="8"/>
    <n v="3"/>
    <n v="1.5"/>
    <n v="4.5"/>
    <x v="2"/>
    <x v="0"/>
    <d v="2023-08-17T00:00:00"/>
  </r>
  <r>
    <s v="TXN_6688020"/>
    <x v="3"/>
    <n v="5"/>
    <n v="5"/>
    <n v="25"/>
    <x v="2"/>
    <x v="2"/>
    <d v="2023-09-05T00:00:00"/>
  </r>
  <r>
    <s v="TXN_4181147"/>
    <x v="0"/>
    <n v="4"/>
    <n v="2"/>
    <n v="8"/>
    <x v="2"/>
    <x v="0"/>
    <d v="2023-02-18T00:00:00"/>
  </r>
  <r>
    <s v="TXN_7211792"/>
    <x v="8"/>
    <n v="3"/>
    <n v="1.5"/>
    <n v="4.5"/>
    <x v="2"/>
    <x v="0"/>
    <d v="2023-11-27T00:00:00"/>
  </r>
  <r>
    <s v="TXN_6568978"/>
    <x v="1"/>
    <n v="3"/>
    <n v="3"/>
    <n v="9"/>
    <x v="3"/>
    <x v="2"/>
    <d v="2023-03-12T00:00:00"/>
  </r>
  <r>
    <s v="TXN_6670607"/>
    <x v="7"/>
    <n v="5"/>
    <n v="3"/>
    <n v="15"/>
    <x v="2"/>
    <x v="0"/>
    <d v="2023-01-06T00:00:00"/>
  </r>
  <r>
    <s v="TXN_9773606"/>
    <x v="8"/>
    <n v="2"/>
    <n v="1.5"/>
    <n v="3"/>
    <x v="1"/>
    <x v="0"/>
    <d v="2023-12-04T00:00:00"/>
  </r>
  <r>
    <s v="TXN_9762035"/>
    <x v="4"/>
    <n v="1"/>
    <n v="4"/>
    <n v="4"/>
    <x v="1"/>
    <x v="0"/>
    <d v="2023-08-21T00:00:00"/>
  </r>
  <r>
    <s v="TXN_4493661"/>
    <x v="6"/>
    <n v="1"/>
    <n v="4"/>
    <n v="4"/>
    <x v="1"/>
    <x v="2"/>
    <d v="2023-07-08T00:00:00"/>
  </r>
  <r>
    <s v="TXN_4617139"/>
    <x v="7"/>
    <n v="4"/>
    <n v="3"/>
    <n v="12"/>
    <x v="2"/>
    <x v="2"/>
    <d v="2023-04-12T00:00:00"/>
  </r>
  <r>
    <s v="TXN_5339625"/>
    <x v="4"/>
    <n v="5"/>
    <n v="4"/>
    <n v="20"/>
    <x v="3"/>
    <x v="2"/>
    <d v="2023-06-29T00:00:00"/>
  </r>
  <r>
    <s v="TXN_9657636"/>
    <x v="1"/>
    <n v="1"/>
    <n v="3"/>
    <n v="3"/>
    <x v="1"/>
    <x v="0"/>
    <d v="2023-07-08T00:00:00"/>
  </r>
  <r>
    <s v="TXN_1375992"/>
    <x v="0"/>
    <n v="5"/>
    <n v="2"/>
    <n v="10"/>
    <x v="0"/>
    <x v="1"/>
    <d v="2023-03-23T00:00:00"/>
  </r>
  <r>
    <s v="TXN_2077318"/>
    <x v="7"/>
    <n v="2"/>
    <n v="3"/>
    <n v="6"/>
    <x v="3"/>
    <x v="1"/>
    <d v="2023-08-24T00:00:00"/>
  </r>
  <r>
    <s v="TXN_8232653"/>
    <x v="3"/>
    <n v="5"/>
    <n v="5"/>
    <n v="25"/>
    <x v="1"/>
    <x v="2"/>
    <d v="2023-04-21T00:00:00"/>
  </r>
  <r>
    <s v="TXN_4624436"/>
    <x v="6"/>
    <n v="1"/>
    <n v="4"/>
    <n v="4"/>
    <x v="2"/>
    <x v="2"/>
    <d v="2023-05-22T00:00:00"/>
  </r>
  <r>
    <s v="TXN_6158865"/>
    <x v="2"/>
    <n v="1"/>
    <n v="1"/>
    <n v="1"/>
    <x v="3"/>
    <x v="2"/>
    <d v="2023-11-27T00:00:00"/>
  </r>
  <r>
    <s v="TXN_6148337"/>
    <x v="2"/>
    <n v="2"/>
    <n v="1"/>
    <n v="2"/>
    <x v="2"/>
    <x v="1"/>
    <d v="2023-09-27T00:00:00"/>
  </r>
  <r>
    <s v="TXN_9096951"/>
    <x v="4"/>
    <n v="3"/>
    <n v="4"/>
    <n v="12"/>
    <x v="1"/>
    <x v="0"/>
    <d v="2023-06-28T00:00:00"/>
  </r>
  <r>
    <s v="TXN_7080148"/>
    <x v="1"/>
    <n v="3"/>
    <n v="3"/>
    <n v="9"/>
    <x v="2"/>
    <x v="2"/>
    <d v="2023-12-30T00:00:00"/>
  </r>
  <r>
    <s v="TXN_4275169"/>
    <x v="3"/>
    <n v="1"/>
    <n v="5"/>
    <n v="5"/>
    <x v="2"/>
    <x v="0"/>
    <d v="2023-06-27T00:00:00"/>
  </r>
  <r>
    <s v="TXN_9005396"/>
    <x v="7"/>
    <n v="4"/>
    <n v="3"/>
    <n v="12"/>
    <x v="1"/>
    <x v="2"/>
    <d v="2023-08-10T00:00:00"/>
  </r>
  <r>
    <s v="TXN_2466036"/>
    <x v="0"/>
    <n v="5"/>
    <n v="2"/>
    <n v="10"/>
    <x v="2"/>
    <x v="0"/>
    <d v="2023-08-31T00:00:00"/>
  </r>
  <r>
    <s v="TXN_1533790"/>
    <x v="1"/>
    <n v="4"/>
    <n v="3"/>
    <n v="12"/>
    <x v="3"/>
    <x v="0"/>
    <d v="2023-07-21T00:00:00"/>
  </r>
  <r>
    <s v="TXN_7090165"/>
    <x v="6"/>
    <n v="5"/>
    <n v="4"/>
    <n v="20"/>
    <x v="3"/>
    <x v="1"/>
    <d v="2023-08-30T00:00:00"/>
  </r>
  <r>
    <s v="TXN_9533792"/>
    <x v="2"/>
    <n v="3"/>
    <n v="1"/>
    <n v="3"/>
    <x v="3"/>
    <x v="1"/>
    <d v="2023-09-01T00:00:00"/>
  </r>
  <r>
    <s v="TXN_4995910"/>
    <x v="1"/>
    <n v="5"/>
    <n v="3"/>
    <n v="15"/>
    <x v="2"/>
    <x v="2"/>
    <d v="2023-03-10T00:00:00"/>
  </r>
  <r>
    <s v="TXN_9174916"/>
    <x v="0"/>
    <n v="3"/>
    <n v="2"/>
    <n v="6"/>
    <x v="0"/>
    <x v="2"/>
    <d v="2023-06-21T00:00:00"/>
  </r>
  <r>
    <s v="TXN_8121601"/>
    <x v="7"/>
    <n v="4"/>
    <n v="3"/>
    <n v="12"/>
    <x v="2"/>
    <x v="1"/>
    <d v="2023-07-02T00:00:00"/>
  </r>
  <r>
    <s v="TXN_5882077"/>
    <x v="6"/>
    <n v="3"/>
    <n v="4"/>
    <n v="12"/>
    <x v="2"/>
    <x v="0"/>
    <d v="2023-03-10T00:00:00"/>
  </r>
  <r>
    <s v="TXN_3163681"/>
    <x v="6"/>
    <n v="2"/>
    <n v="4"/>
    <n v="8"/>
    <x v="2"/>
    <x v="2"/>
    <d v="2023-05-11T00:00:00"/>
  </r>
  <r>
    <s v="TXN_2849719"/>
    <x v="0"/>
    <n v="5"/>
    <n v="2"/>
    <n v="10"/>
    <x v="3"/>
    <x v="0"/>
    <d v="2023-06-23T00:00:00"/>
  </r>
  <r>
    <s v="TXN_9623460"/>
    <x v="6"/>
    <n v="3"/>
    <n v="4"/>
    <n v="12"/>
    <x v="3"/>
    <x v="1"/>
    <d v="2023-01-17T00:00:00"/>
  </r>
  <r>
    <s v="TXN_3359704"/>
    <x v="3"/>
    <n v="3"/>
    <n v="5"/>
    <n v="15"/>
    <x v="3"/>
    <x v="1"/>
    <d v="2023-07-23T00:00:00"/>
  </r>
  <r>
    <s v="TXN_7093219"/>
    <x v="4"/>
    <n v="4"/>
    <n v="4"/>
    <n v="16"/>
    <x v="0"/>
    <x v="2"/>
    <d v="2023-06-06T00:00:00"/>
  </r>
  <r>
    <s v="TXN_2444408"/>
    <x v="6"/>
    <n v="2"/>
    <n v="4"/>
    <n v="8"/>
    <x v="3"/>
    <x v="1"/>
    <d v="2023-05-11T00:00:00"/>
  </r>
  <r>
    <s v="TXN_2475111"/>
    <x v="2"/>
    <n v="3"/>
    <n v="1"/>
    <n v="3"/>
    <x v="2"/>
    <x v="0"/>
    <d v="2023-03-31T00:00:00"/>
  </r>
  <r>
    <s v="TXN_3296152"/>
    <x v="3"/>
    <n v="3"/>
    <n v="5"/>
    <n v="15"/>
    <x v="0"/>
    <x v="1"/>
    <d v="2023-10-20T00:00:00"/>
  </r>
  <r>
    <s v="TXN_5157855"/>
    <x v="3"/>
    <n v="1"/>
    <n v="5"/>
    <n v="5"/>
    <x v="3"/>
    <x v="2"/>
    <d v="2023-08-18T00:00:00"/>
  </r>
  <r>
    <s v="TXN_2887411"/>
    <x v="4"/>
    <n v="2"/>
    <n v="4"/>
    <n v="8"/>
    <x v="1"/>
    <x v="1"/>
    <d v="2023-01-16T00:00:00"/>
  </r>
  <r>
    <s v="TXN_7543369"/>
    <x v="8"/>
    <n v="5"/>
    <n v="1.5"/>
    <n v="7.5"/>
    <x v="3"/>
    <x v="0"/>
    <d v="2023-11-18T00:00:00"/>
  </r>
  <r>
    <s v="TXN_9561441"/>
    <x v="8"/>
    <n v="5"/>
    <n v="1.5"/>
    <n v="7.5"/>
    <x v="1"/>
    <x v="1"/>
    <d v="2023-11-11T00:00:00"/>
  </r>
  <r>
    <s v="TXN_5595584"/>
    <x v="4"/>
    <n v="2"/>
    <n v="4"/>
    <n v="8"/>
    <x v="2"/>
    <x v="1"/>
    <d v="2023-10-19T00:00:00"/>
  </r>
  <r>
    <s v="TXN_1158197"/>
    <x v="0"/>
    <n v="2"/>
    <n v="2"/>
    <n v="4"/>
    <x v="2"/>
    <x v="0"/>
    <d v="2023-05-21T00:00:00"/>
  </r>
  <r>
    <s v="TXN_3633955"/>
    <x v="6"/>
    <n v="4"/>
    <n v="4"/>
    <n v="16"/>
    <x v="1"/>
    <x v="1"/>
    <d v="2023-09-20T00:00:00"/>
  </r>
  <r>
    <s v="TXN_2761949"/>
    <x v="3"/>
    <n v="3"/>
    <n v="5"/>
    <n v="15"/>
    <x v="0"/>
    <x v="1"/>
    <d v="2023-10-01T00:00:00"/>
  </r>
  <r>
    <s v="TXN_4967355"/>
    <x v="6"/>
    <n v="2"/>
    <n v="4"/>
    <n v="8"/>
    <x v="2"/>
    <x v="1"/>
    <d v="2023-04-25T00:00:00"/>
  </r>
  <r>
    <s v="TXN_8062897"/>
    <x v="4"/>
    <n v="2"/>
    <n v="4"/>
    <n v="8"/>
    <x v="3"/>
    <x v="0"/>
    <d v="2023-10-02T00:00:00"/>
  </r>
  <r>
    <s v="TXN_4831426"/>
    <x v="7"/>
    <n v="4"/>
    <n v="3"/>
    <n v="12"/>
    <x v="0"/>
    <x v="2"/>
    <d v="2023-02-27T00:00:00"/>
  </r>
  <r>
    <s v="TXN_3995843"/>
    <x v="5"/>
    <n v="3"/>
    <n v="4"/>
    <n v="12"/>
    <x v="2"/>
    <x v="1"/>
    <d v="2023-12-31T00:00:00"/>
  </r>
  <r>
    <s v="TXN_4284492"/>
    <x v="7"/>
    <n v="3"/>
    <n v="3"/>
    <n v="9"/>
    <x v="2"/>
    <x v="0"/>
    <d v="2023-05-30T00:00:00"/>
  </r>
  <r>
    <s v="TXN_9942634"/>
    <x v="8"/>
    <n v="5"/>
    <n v="1.5"/>
    <n v="7.5"/>
    <x v="2"/>
    <x v="0"/>
    <d v="2023-01-17T00:00:00"/>
  </r>
  <r>
    <s v="TXN_7104682"/>
    <x v="2"/>
    <n v="5"/>
    <n v="1"/>
    <n v="5"/>
    <x v="2"/>
    <x v="0"/>
    <d v="2023-08-31T00:00:00"/>
  </r>
  <r>
    <s v="TXN_5745955"/>
    <x v="4"/>
    <n v="4"/>
    <n v="4"/>
    <n v="16"/>
    <x v="0"/>
    <x v="2"/>
    <m/>
  </r>
  <r>
    <s v="TXN_6866209"/>
    <x v="4"/>
    <n v="5"/>
    <n v="4"/>
    <n v="20"/>
    <x v="3"/>
    <x v="1"/>
    <d v="2023-05-20T00:00:00"/>
  </r>
  <r>
    <s v="TXN_7573801"/>
    <x v="1"/>
    <n v="2"/>
    <n v="3"/>
    <n v="6"/>
    <x v="2"/>
    <x v="1"/>
    <d v="2023-12-14T00:00:00"/>
  </r>
  <r>
    <s v="TXN_9681880"/>
    <x v="0"/>
    <n v="3"/>
    <n v="2"/>
    <n v="6"/>
    <x v="1"/>
    <x v="1"/>
    <d v="2023-03-21T00:00:00"/>
  </r>
  <r>
    <s v="TXN_2559288"/>
    <x v="3"/>
    <n v="4"/>
    <n v="5"/>
    <n v="20"/>
    <x v="0"/>
    <x v="2"/>
    <d v="2023-12-27T00:00:00"/>
  </r>
  <r>
    <s v="TXN_9188692"/>
    <x v="1"/>
    <m/>
    <n v="3"/>
    <m/>
    <x v="0"/>
    <x v="2"/>
    <d v="2023-12-01T00:00:00"/>
  </r>
  <r>
    <s v="TXN_2936975"/>
    <x v="8"/>
    <n v="1"/>
    <n v="1.5"/>
    <n v="1.5"/>
    <x v="3"/>
    <x v="0"/>
    <d v="2023-10-05T00:00:00"/>
  </r>
  <r>
    <s v="TXN_5027125"/>
    <x v="3"/>
    <n v="3"/>
    <n v="5"/>
    <n v="15"/>
    <x v="1"/>
    <x v="1"/>
    <d v="2023-07-06T00:00:00"/>
  </r>
  <r>
    <s v="TXN_7433758"/>
    <x v="2"/>
    <n v="1"/>
    <n v="1"/>
    <n v="1"/>
    <x v="1"/>
    <x v="2"/>
    <d v="2023-06-09T00:00:00"/>
  </r>
  <r>
    <s v="TXN_2092288"/>
    <x v="0"/>
    <n v="1"/>
    <n v="2"/>
    <n v="2"/>
    <x v="0"/>
    <x v="0"/>
    <d v="2023-03-30T00:00:00"/>
  </r>
  <r>
    <s v="TXN_5701303"/>
    <x v="0"/>
    <n v="1"/>
    <n v="2"/>
    <n v="2"/>
    <x v="3"/>
    <x v="0"/>
    <d v="2023-09-08T00:00:00"/>
  </r>
  <r>
    <s v="TXN_7323833"/>
    <x v="5"/>
    <n v="3"/>
    <n v="4"/>
    <n v="12"/>
    <x v="0"/>
    <x v="2"/>
    <d v="2023-04-09T00:00:00"/>
  </r>
  <r>
    <s v="TXN_5161371"/>
    <x v="1"/>
    <n v="2"/>
    <n v="3"/>
    <n v="6"/>
    <x v="0"/>
    <x v="1"/>
    <d v="2023-01-17T00:00:00"/>
  </r>
  <r>
    <s v="TXN_6228918"/>
    <x v="1"/>
    <n v="1"/>
    <n v="3"/>
    <n v="3"/>
    <x v="3"/>
    <x v="1"/>
    <m/>
  </r>
  <r>
    <s v="TXN_1132566"/>
    <x v="1"/>
    <n v="3"/>
    <n v="3"/>
    <n v="9"/>
    <x v="1"/>
    <x v="2"/>
    <d v="2023-02-27T00:00:00"/>
  </r>
  <r>
    <s v="TXN_3713527"/>
    <x v="2"/>
    <n v="4"/>
    <n v="1"/>
    <n v="4"/>
    <x v="2"/>
    <x v="0"/>
    <d v="2023-03-08T00:00:00"/>
  </r>
  <r>
    <s v="TXN_1719440"/>
    <x v="2"/>
    <n v="5"/>
    <n v="1"/>
    <n v="5"/>
    <x v="3"/>
    <x v="0"/>
    <d v="2023-07-13T00:00:00"/>
  </r>
  <r>
    <s v="TXN_6273703"/>
    <x v="8"/>
    <n v="2"/>
    <n v="1.5"/>
    <n v="3"/>
    <x v="0"/>
    <x v="2"/>
    <d v="2023-12-24T00:00:00"/>
  </r>
  <r>
    <s v="TXN_2050017"/>
    <x v="6"/>
    <n v="4"/>
    <n v="4"/>
    <n v="16"/>
    <x v="2"/>
    <x v="0"/>
    <d v="2023-03-24T00:00:00"/>
  </r>
  <r>
    <s v="TXN_6797827"/>
    <x v="6"/>
    <n v="1"/>
    <n v="4"/>
    <n v="4"/>
    <x v="0"/>
    <x v="2"/>
    <d v="2023-06-16T00:00:00"/>
  </r>
  <r>
    <s v="TXN_6885626"/>
    <x v="1"/>
    <n v="5"/>
    <n v="3"/>
    <n v="15"/>
    <x v="2"/>
    <x v="1"/>
    <d v="2023-08-06T00:00:00"/>
  </r>
  <r>
    <s v="TXN_3729074"/>
    <x v="3"/>
    <n v="3"/>
    <n v="5"/>
    <n v="15"/>
    <x v="0"/>
    <x v="1"/>
    <d v="2023-04-15T00:00:00"/>
  </r>
  <r>
    <s v="TXN_7418962"/>
    <x v="4"/>
    <n v="4"/>
    <n v="4"/>
    <n v="16"/>
    <x v="1"/>
    <x v="2"/>
    <d v="2023-03-07T00:00:00"/>
  </r>
  <r>
    <s v="TXN_7217537"/>
    <x v="3"/>
    <n v="3"/>
    <n v="5"/>
    <n v="15"/>
    <x v="1"/>
    <x v="1"/>
    <d v="2023-12-19T00:00:00"/>
  </r>
  <r>
    <s v="TXN_7904970"/>
    <x v="8"/>
    <n v="2"/>
    <n v="1.5"/>
    <n v="3"/>
    <x v="0"/>
    <x v="0"/>
    <d v="2023-05-23T00:00:00"/>
  </r>
  <r>
    <s v="TXN_8845592"/>
    <x v="6"/>
    <n v="5"/>
    <n v="4"/>
    <n v="20"/>
    <x v="0"/>
    <x v="1"/>
    <d v="2023-11-12T00:00:00"/>
  </r>
  <r>
    <s v="TXN_2402637"/>
    <x v="5"/>
    <n v="2"/>
    <n v="4"/>
    <n v="8"/>
    <x v="2"/>
    <x v="0"/>
    <d v="2023-06-18T00:00:00"/>
  </r>
  <r>
    <s v="TXN_2081985"/>
    <x v="0"/>
    <n v="2"/>
    <n v="2"/>
    <n v="4"/>
    <x v="3"/>
    <x v="2"/>
    <d v="2023-03-24T00:00:00"/>
  </r>
  <r>
    <s v="TXN_5664467"/>
    <x v="8"/>
    <n v="4"/>
    <n v="1.5"/>
    <n v="6"/>
    <x v="3"/>
    <x v="0"/>
    <d v="2023-11-06T00:00:00"/>
  </r>
  <r>
    <s v="TXN_2275523"/>
    <x v="8"/>
    <n v="4"/>
    <n v="1.5"/>
    <n v="6"/>
    <x v="3"/>
    <x v="2"/>
    <d v="2023-09-02T00:00:00"/>
  </r>
  <r>
    <s v="TXN_7230977"/>
    <x v="5"/>
    <n v="5"/>
    <n v="3"/>
    <n v="15"/>
    <x v="2"/>
    <x v="0"/>
    <d v="2023-08-24T00:00:00"/>
  </r>
  <r>
    <s v="TXN_6451747"/>
    <x v="3"/>
    <n v="4"/>
    <n v="5"/>
    <n v="20"/>
    <x v="1"/>
    <x v="2"/>
    <d v="2023-05-23T00:00:00"/>
  </r>
  <r>
    <s v="TXN_2680626"/>
    <x v="1"/>
    <n v="3"/>
    <n v="3"/>
    <n v="9"/>
    <x v="1"/>
    <x v="1"/>
    <d v="2023-01-08T00:00:00"/>
  </r>
  <r>
    <s v="TXN_8668840"/>
    <x v="1"/>
    <n v="5"/>
    <n v="3"/>
    <n v="15"/>
    <x v="3"/>
    <x v="2"/>
    <d v="2023-10-03T00:00:00"/>
  </r>
  <r>
    <s v="TXN_5390428"/>
    <x v="7"/>
    <n v="2"/>
    <n v="3"/>
    <n v="6"/>
    <x v="2"/>
    <x v="1"/>
    <d v="2023-11-25T00:00:00"/>
  </r>
  <r>
    <s v="TXN_5009367"/>
    <x v="7"/>
    <n v="3"/>
    <n v="3"/>
    <n v="9"/>
    <x v="0"/>
    <x v="1"/>
    <d v="2023-04-19T00:00:00"/>
  </r>
  <r>
    <s v="TXN_5930921"/>
    <x v="2"/>
    <n v="2"/>
    <n v="1"/>
    <n v="2"/>
    <x v="3"/>
    <x v="0"/>
    <m/>
  </r>
  <r>
    <s v="TXN_3067854"/>
    <x v="1"/>
    <n v="1"/>
    <n v="3"/>
    <n v="3"/>
    <x v="0"/>
    <x v="2"/>
    <d v="2023-07-08T00:00:00"/>
  </r>
  <r>
    <s v="TXN_6401072"/>
    <x v="4"/>
    <n v="4"/>
    <n v="4"/>
    <n v="16"/>
    <x v="1"/>
    <x v="0"/>
    <d v="2023-07-28T00:00:00"/>
  </r>
  <r>
    <s v="TXN_6377597"/>
    <x v="2"/>
    <n v="1"/>
    <n v="1"/>
    <n v="1"/>
    <x v="2"/>
    <x v="1"/>
    <m/>
  </r>
  <r>
    <s v="TXN_6799966"/>
    <x v="8"/>
    <n v="4"/>
    <n v="1.5"/>
    <n v="6"/>
    <x v="3"/>
    <x v="2"/>
    <d v="2023-03-03T00:00:00"/>
  </r>
  <r>
    <s v="TXN_5080934"/>
    <x v="7"/>
    <n v="3"/>
    <n v="3"/>
    <n v="9"/>
    <x v="1"/>
    <x v="0"/>
    <d v="2023-12-10T00:00:00"/>
  </r>
  <r>
    <s v="TXN_8684125"/>
    <x v="3"/>
    <n v="2"/>
    <n v="5"/>
    <n v="10"/>
    <x v="0"/>
    <x v="1"/>
    <d v="2023-03-08T00:00:00"/>
  </r>
  <r>
    <s v="TXN_1647077"/>
    <x v="4"/>
    <n v="2"/>
    <n v="4"/>
    <n v="8"/>
    <x v="2"/>
    <x v="2"/>
    <d v="2023-08-19T00:00:00"/>
  </r>
  <r>
    <s v="TXN_9769782"/>
    <x v="4"/>
    <n v="5"/>
    <n v="4"/>
    <n v="20"/>
    <x v="1"/>
    <x v="0"/>
    <m/>
  </r>
  <r>
    <s v="TXN_8167808"/>
    <x v="1"/>
    <n v="3"/>
    <n v="3"/>
    <n v="9"/>
    <x v="1"/>
    <x v="1"/>
    <d v="2023-02-03T00:00:00"/>
  </r>
  <r>
    <s v="TXN_4541998"/>
    <x v="6"/>
    <n v="1"/>
    <n v="4"/>
    <n v="4"/>
    <x v="2"/>
    <x v="0"/>
    <d v="2023-01-13T00:00:00"/>
  </r>
  <r>
    <s v="TXN_3369789"/>
    <x v="6"/>
    <n v="5"/>
    <n v="4"/>
    <n v="20"/>
    <x v="2"/>
    <x v="2"/>
    <d v="2023-04-15T00:00:00"/>
  </r>
  <r>
    <s v="TXN_7973461"/>
    <x v="8"/>
    <n v="3"/>
    <n v="1.5"/>
    <n v="4.5"/>
    <x v="2"/>
    <x v="1"/>
    <d v="2023-04-11T00:00:00"/>
  </r>
  <r>
    <s v="TXN_7753587"/>
    <x v="1"/>
    <n v="1"/>
    <n v="3"/>
    <n v="3"/>
    <x v="0"/>
    <x v="0"/>
    <d v="2023-03-28T00:00:00"/>
  </r>
  <r>
    <s v="TXN_4490958"/>
    <x v="0"/>
    <n v="2"/>
    <n v="2"/>
    <n v="4"/>
    <x v="2"/>
    <x v="2"/>
    <d v="2023-03-30T00:00:00"/>
  </r>
  <r>
    <s v="TXN_8715515"/>
    <x v="5"/>
    <n v="5"/>
    <n v="3"/>
    <n v="15"/>
    <x v="0"/>
    <x v="0"/>
    <d v="2023-07-23T00:00:00"/>
  </r>
  <r>
    <s v="TXN_8242126"/>
    <x v="3"/>
    <n v="4"/>
    <n v="5"/>
    <n v="20"/>
    <x v="3"/>
    <x v="1"/>
    <d v="2023-11-20T00:00:00"/>
  </r>
  <r>
    <s v="TXN_2972659"/>
    <x v="8"/>
    <n v="3"/>
    <n v="1.5"/>
    <n v="4.5"/>
    <x v="2"/>
    <x v="2"/>
    <d v="2023-12-16T00:00:00"/>
  </r>
  <r>
    <s v="TXN_5685028"/>
    <x v="1"/>
    <n v="5"/>
    <n v="3"/>
    <n v="15"/>
    <x v="3"/>
    <x v="0"/>
    <d v="2023-08-12T00:00:00"/>
  </r>
  <r>
    <s v="TXN_9835620"/>
    <x v="7"/>
    <n v="2"/>
    <n v="3"/>
    <n v="6"/>
    <x v="2"/>
    <x v="2"/>
    <d v="2023-06-09T00:00:00"/>
  </r>
  <r>
    <s v="TXN_9245124"/>
    <x v="8"/>
    <n v="4"/>
    <n v="1.5"/>
    <n v="6"/>
    <x v="3"/>
    <x v="1"/>
    <d v="2023-04-19T00:00:00"/>
  </r>
  <r>
    <s v="TXN_8619762"/>
    <x v="4"/>
    <n v="4"/>
    <n v="4"/>
    <n v="16"/>
    <x v="1"/>
    <x v="0"/>
    <d v="2023-08-05T00:00:00"/>
  </r>
  <r>
    <s v="TXN_5983031"/>
    <x v="7"/>
    <n v="3"/>
    <n v="3"/>
    <n v="9"/>
    <x v="3"/>
    <x v="1"/>
    <d v="2023-03-09T00:00:00"/>
  </r>
  <r>
    <s v="TXN_8730549"/>
    <x v="4"/>
    <n v="4"/>
    <n v="4"/>
    <n v="16"/>
    <x v="2"/>
    <x v="0"/>
    <d v="2023-02-04T00:00:00"/>
  </r>
  <r>
    <s v="TXN_6889867"/>
    <x v="6"/>
    <n v="5"/>
    <n v="4"/>
    <n v="20"/>
    <x v="1"/>
    <x v="2"/>
    <d v="2023-03-07T00:00:00"/>
  </r>
  <r>
    <s v="TXN_9035484"/>
    <x v="0"/>
    <n v="2"/>
    <n v="2"/>
    <n v="4"/>
    <x v="1"/>
    <x v="2"/>
    <d v="2023-06-29T00:00:00"/>
  </r>
  <r>
    <s v="TXN_2505327"/>
    <x v="7"/>
    <n v="2"/>
    <n v="3"/>
    <n v="6"/>
    <x v="2"/>
    <x v="2"/>
    <m/>
  </r>
  <r>
    <s v="TXN_9972525"/>
    <x v="0"/>
    <n v="4"/>
    <n v="2"/>
    <n v="8"/>
    <x v="2"/>
    <x v="2"/>
    <d v="2023-07-31T00:00:00"/>
  </r>
  <r>
    <s v="TXN_3315026"/>
    <x v="7"/>
    <n v="5"/>
    <n v="3"/>
    <n v="15"/>
    <x v="1"/>
    <x v="2"/>
    <d v="2023-11-06T00:00:00"/>
  </r>
  <r>
    <s v="TXN_3613385"/>
    <x v="2"/>
    <n v="3"/>
    <n v="1"/>
    <n v="3"/>
    <x v="2"/>
    <x v="0"/>
    <d v="2023-05-26T00:00:00"/>
  </r>
  <r>
    <s v="TXN_9629541"/>
    <x v="6"/>
    <n v="5"/>
    <n v="4"/>
    <n v="20"/>
    <x v="3"/>
    <x v="2"/>
    <d v="2023-12-18T00:00:00"/>
  </r>
  <r>
    <s v="TXN_7503640"/>
    <x v="3"/>
    <n v="3"/>
    <n v="5"/>
    <n v="15"/>
    <x v="3"/>
    <x v="2"/>
    <d v="2023-11-04T00:00:00"/>
  </r>
  <r>
    <s v="TXN_1135761"/>
    <x v="5"/>
    <n v="3"/>
    <n v="3"/>
    <n v="9"/>
    <x v="3"/>
    <x v="2"/>
    <d v="2023-01-30T00:00:00"/>
  </r>
  <r>
    <s v="TXN_8558404"/>
    <x v="3"/>
    <n v="4"/>
    <n v="5"/>
    <n v="20"/>
    <x v="3"/>
    <x v="1"/>
    <d v="2023-07-15T00:00:00"/>
  </r>
  <r>
    <s v="TXN_8430735"/>
    <x v="7"/>
    <n v="2"/>
    <n v="3"/>
    <n v="6"/>
    <x v="2"/>
    <x v="2"/>
    <d v="2023-10-25T00:00:00"/>
  </r>
  <r>
    <s v="TXN_8279865"/>
    <x v="7"/>
    <n v="1"/>
    <n v="3"/>
    <n v="3"/>
    <x v="1"/>
    <x v="2"/>
    <d v="2023-07-18T00:00:00"/>
  </r>
  <r>
    <s v="TXN_5906520"/>
    <x v="3"/>
    <n v="2"/>
    <n v="5"/>
    <n v="10"/>
    <x v="2"/>
    <x v="2"/>
    <d v="2023-01-31T00:00:00"/>
  </r>
  <r>
    <s v="TXN_8250427"/>
    <x v="0"/>
    <n v="4"/>
    <n v="2"/>
    <n v="8"/>
    <x v="0"/>
    <x v="2"/>
    <d v="2023-09-15T00:00:00"/>
  </r>
  <r>
    <s v="TXN_9928337"/>
    <x v="7"/>
    <n v="1"/>
    <n v="3"/>
    <n v="3"/>
    <x v="2"/>
    <x v="0"/>
    <d v="2023-11-05T00:00:00"/>
  </r>
  <r>
    <s v="TXN_7008306"/>
    <x v="3"/>
    <n v="2"/>
    <n v="5"/>
    <n v="10"/>
    <x v="2"/>
    <x v="2"/>
    <d v="2023-04-11T00:00:00"/>
  </r>
  <r>
    <s v="TXN_5603538"/>
    <x v="7"/>
    <n v="3"/>
    <n v="3"/>
    <n v="9"/>
    <x v="1"/>
    <x v="2"/>
    <d v="2023-02-15T00:00:00"/>
  </r>
  <r>
    <s v="TXN_7368648"/>
    <x v="8"/>
    <n v="1"/>
    <n v="1.5"/>
    <n v="1.5"/>
    <x v="3"/>
    <x v="1"/>
    <d v="2023-03-09T00:00:00"/>
  </r>
  <r>
    <s v="TXN_6220542"/>
    <x v="7"/>
    <n v="3"/>
    <n v="3"/>
    <n v="9"/>
    <x v="2"/>
    <x v="0"/>
    <d v="2023-03-24T00:00:00"/>
  </r>
  <r>
    <s v="TXN_3299535"/>
    <x v="0"/>
    <n v="3"/>
    <n v="2"/>
    <n v="6"/>
    <x v="2"/>
    <x v="0"/>
    <d v="2023-11-16T00:00:00"/>
  </r>
  <r>
    <s v="TXN_1217959"/>
    <x v="7"/>
    <n v="2"/>
    <n v="3"/>
    <n v="6"/>
    <x v="3"/>
    <x v="0"/>
    <d v="2023-07-28T00:00:00"/>
  </r>
  <r>
    <s v="TXN_4390633"/>
    <x v="8"/>
    <n v="2"/>
    <n v="1.5"/>
    <n v="3"/>
    <x v="2"/>
    <x v="2"/>
    <d v="2023-10-17T00:00:00"/>
  </r>
  <r>
    <s v="TXN_5052998"/>
    <x v="7"/>
    <n v="3"/>
    <n v="3"/>
    <n v="9"/>
    <x v="0"/>
    <x v="2"/>
    <d v="2023-10-07T00:00:00"/>
  </r>
  <r>
    <s v="TXN_5171332"/>
    <x v="8"/>
    <n v="5"/>
    <n v="1.5"/>
    <n v="7.5"/>
    <x v="1"/>
    <x v="0"/>
    <d v="2023-02-05T00:00:00"/>
  </r>
  <r>
    <s v="TXN_4798484"/>
    <x v="7"/>
    <n v="3"/>
    <n v="3"/>
    <n v="9"/>
    <x v="2"/>
    <x v="1"/>
    <d v="2023-08-09T00:00:00"/>
  </r>
  <r>
    <s v="TXN_7905741"/>
    <x v="2"/>
    <n v="5"/>
    <n v="1"/>
    <n v="5"/>
    <x v="0"/>
    <x v="2"/>
    <d v="2023-02-08T00:00:00"/>
  </r>
  <r>
    <s v="TXN_6369875"/>
    <x v="8"/>
    <n v="5"/>
    <n v="1.5"/>
    <n v="7.5"/>
    <x v="1"/>
    <x v="2"/>
    <d v="2023-10-04T00:00:00"/>
  </r>
  <r>
    <s v="TXN_7840162"/>
    <x v="2"/>
    <n v="5"/>
    <n v="1"/>
    <n v="5"/>
    <x v="1"/>
    <x v="0"/>
    <d v="2023-02-27T00:00:00"/>
  </r>
  <r>
    <s v="TXN_9069297"/>
    <x v="2"/>
    <n v="4"/>
    <n v="1"/>
    <n v="4"/>
    <x v="0"/>
    <x v="1"/>
    <d v="2023-01-27T00:00:00"/>
  </r>
  <r>
    <s v="TXN_5017038"/>
    <x v="6"/>
    <n v="3"/>
    <n v="4"/>
    <n v="12"/>
    <x v="2"/>
    <x v="2"/>
    <d v="2023-05-25T00:00:00"/>
  </r>
  <r>
    <s v="TXN_6748453"/>
    <x v="6"/>
    <n v="5"/>
    <n v="4"/>
    <n v="20"/>
    <x v="2"/>
    <x v="1"/>
    <d v="2023-05-08T00:00:00"/>
  </r>
  <r>
    <s v="TXN_1678985"/>
    <x v="7"/>
    <n v="2"/>
    <n v="3"/>
    <n v="6"/>
    <x v="1"/>
    <x v="1"/>
    <d v="2023-07-16T00:00:00"/>
  </r>
  <r>
    <s v="TXN_6697669"/>
    <x v="1"/>
    <n v="5"/>
    <n v="3"/>
    <n v="15"/>
    <x v="1"/>
    <x v="2"/>
    <d v="2023-01-03T00:00:00"/>
  </r>
  <r>
    <s v="TXN_3131555"/>
    <x v="6"/>
    <n v="2"/>
    <n v="4"/>
    <n v="8"/>
    <x v="1"/>
    <x v="0"/>
    <d v="2023-12-04T00:00:00"/>
  </r>
  <r>
    <s v="TXN_1617029"/>
    <x v="5"/>
    <n v="4"/>
    <n v="5"/>
    <n v="20"/>
    <x v="1"/>
    <x v="0"/>
    <d v="2023-05-15T00:00:00"/>
  </r>
  <r>
    <s v="TXN_7785297"/>
    <x v="2"/>
    <n v="3"/>
    <n v="1"/>
    <n v="3"/>
    <x v="1"/>
    <x v="2"/>
    <d v="2023-12-06T00:00:00"/>
  </r>
  <r>
    <s v="TXN_9432588"/>
    <x v="0"/>
    <n v="5"/>
    <n v="2"/>
    <n v="10"/>
    <x v="2"/>
    <x v="2"/>
    <d v="2023-07-26T00:00:00"/>
  </r>
  <r>
    <s v="TXN_3313000"/>
    <x v="0"/>
    <n v="5"/>
    <n v="2"/>
    <n v="10"/>
    <x v="0"/>
    <x v="1"/>
    <d v="2023-01-08T00:00:00"/>
  </r>
  <r>
    <s v="TXN_3120023"/>
    <x v="2"/>
    <n v="3"/>
    <n v="1"/>
    <n v="3"/>
    <x v="1"/>
    <x v="1"/>
    <d v="2023-09-30T00:00:00"/>
  </r>
  <r>
    <s v="TXN_7483257"/>
    <x v="6"/>
    <n v="2"/>
    <n v="4"/>
    <n v="8"/>
    <x v="3"/>
    <x v="0"/>
    <d v="2023-06-05T00:00:00"/>
  </r>
  <r>
    <s v="TXN_3430842"/>
    <x v="2"/>
    <n v="2"/>
    <n v="1"/>
    <n v="2"/>
    <x v="1"/>
    <x v="0"/>
    <d v="2023-08-02T00:00:00"/>
  </r>
  <r>
    <s v="TXN_9622300"/>
    <x v="3"/>
    <n v="1"/>
    <n v="5"/>
    <n v="5"/>
    <x v="1"/>
    <x v="0"/>
    <d v="2023-06-23T00:00:00"/>
  </r>
  <r>
    <s v="TXN_8822610"/>
    <x v="1"/>
    <n v="4"/>
    <n v="3"/>
    <n v="12"/>
    <x v="2"/>
    <x v="0"/>
    <d v="2023-08-05T00:00:00"/>
  </r>
  <r>
    <s v="TXN_8005089"/>
    <x v="3"/>
    <n v="4"/>
    <n v="5"/>
    <n v="20"/>
    <x v="2"/>
    <x v="2"/>
    <d v="2023-06-10T00:00:00"/>
  </r>
  <r>
    <s v="TXN_7009420"/>
    <x v="6"/>
    <n v="5"/>
    <n v="4"/>
    <n v="20"/>
    <x v="2"/>
    <x v="0"/>
    <d v="2023-07-07T00:00:00"/>
  </r>
  <r>
    <s v="TXN_5118667"/>
    <x v="0"/>
    <n v="4"/>
    <n v="2"/>
    <n v="8"/>
    <x v="1"/>
    <x v="1"/>
    <d v="2023-12-12T00:00:00"/>
  </r>
  <r>
    <s v="TXN_6533180"/>
    <x v="0"/>
    <n v="5"/>
    <n v="2"/>
    <n v="10"/>
    <x v="2"/>
    <x v="0"/>
    <d v="2023-05-03T00:00:00"/>
  </r>
  <r>
    <s v="TXN_6989438"/>
    <x v="6"/>
    <n v="4"/>
    <n v="4"/>
    <n v="16"/>
    <x v="1"/>
    <x v="0"/>
    <d v="2023-12-17T00:00:00"/>
  </r>
  <r>
    <s v="TXN_3894820"/>
    <x v="6"/>
    <n v="5"/>
    <n v="4"/>
    <n v="20"/>
    <x v="3"/>
    <x v="0"/>
    <m/>
  </r>
  <r>
    <s v="TXN_7003185"/>
    <x v="8"/>
    <n v="2"/>
    <n v="1.5"/>
    <n v="3"/>
    <x v="2"/>
    <x v="2"/>
    <d v="2023-06-03T00:00:00"/>
  </r>
  <r>
    <s v="TXN_1139495"/>
    <x v="3"/>
    <n v="3"/>
    <n v="5"/>
    <n v="15"/>
    <x v="3"/>
    <x v="2"/>
    <d v="2023-02-19T00:00:00"/>
  </r>
  <r>
    <s v="TXN_1256536"/>
    <x v="3"/>
    <n v="1"/>
    <n v="5"/>
    <n v="5"/>
    <x v="2"/>
    <x v="0"/>
    <d v="2023-12-16T00:00:00"/>
  </r>
  <r>
    <s v="TXN_6437055"/>
    <x v="1"/>
    <n v="1"/>
    <n v="3"/>
    <n v="3"/>
    <x v="2"/>
    <x v="2"/>
    <d v="2023-10-22T00:00:00"/>
  </r>
  <r>
    <s v="TXN_6212975"/>
    <x v="5"/>
    <n v="1"/>
    <n v="4"/>
    <n v="4"/>
    <x v="0"/>
    <x v="0"/>
    <d v="2023-06-08T00:00:00"/>
  </r>
  <r>
    <s v="TXN_4223466"/>
    <x v="7"/>
    <n v="4"/>
    <n v="3"/>
    <n v="12"/>
    <x v="3"/>
    <x v="0"/>
    <d v="2023-05-31T00:00:00"/>
  </r>
  <r>
    <s v="TXN_6684202"/>
    <x v="6"/>
    <n v="1"/>
    <n v="4"/>
    <n v="4"/>
    <x v="2"/>
    <x v="2"/>
    <d v="2023-07-31T00:00:00"/>
  </r>
  <r>
    <s v="TXN_7279066"/>
    <x v="5"/>
    <n v="5"/>
    <n v="3"/>
    <n v="15"/>
    <x v="3"/>
    <x v="0"/>
    <d v="2023-09-09T00:00:00"/>
  </r>
  <r>
    <s v="TXN_5032114"/>
    <x v="6"/>
    <n v="2"/>
    <n v="4"/>
    <n v="8"/>
    <x v="2"/>
    <x v="2"/>
    <d v="2023-05-31T00:00:00"/>
  </r>
  <r>
    <s v="TXN_3411281"/>
    <x v="1"/>
    <n v="2"/>
    <n v="3"/>
    <n v="6"/>
    <x v="2"/>
    <x v="2"/>
    <d v="2023-09-29T00:00:00"/>
  </r>
  <r>
    <s v="TXN_6608817"/>
    <x v="6"/>
    <n v="5"/>
    <n v="4"/>
    <n v="20"/>
    <x v="0"/>
    <x v="0"/>
    <d v="2023-07-17T00:00:00"/>
  </r>
  <r>
    <s v="TXN_4258943"/>
    <x v="6"/>
    <n v="2"/>
    <n v="4"/>
    <n v="8"/>
    <x v="0"/>
    <x v="1"/>
    <d v="2023-01-02T00:00:00"/>
  </r>
  <r>
    <s v="TXN_1897660"/>
    <x v="8"/>
    <n v="3"/>
    <n v="1.5"/>
    <n v="4.5"/>
    <x v="3"/>
    <x v="1"/>
    <m/>
  </r>
  <r>
    <s v="TXN_9774691"/>
    <x v="1"/>
    <n v="3"/>
    <n v="3"/>
    <n v="9"/>
    <x v="0"/>
    <x v="0"/>
    <d v="2023-04-11T00:00:00"/>
  </r>
  <r>
    <s v="TXN_8556230"/>
    <x v="5"/>
    <n v="5"/>
    <n v="1"/>
    <n v="5"/>
    <x v="1"/>
    <x v="1"/>
    <d v="2023-05-21T00:00:00"/>
  </r>
  <r>
    <s v="TXN_1522430"/>
    <x v="4"/>
    <n v="3"/>
    <n v="4"/>
    <n v="12"/>
    <x v="0"/>
    <x v="2"/>
    <d v="2023-12-06T00:00:00"/>
  </r>
  <r>
    <s v="TXN_2797077"/>
    <x v="5"/>
    <n v="2"/>
    <n v="5"/>
    <n v="10"/>
    <x v="2"/>
    <x v="0"/>
    <d v="2023-07-04T00:00:00"/>
  </r>
  <r>
    <s v="TXN_7666909"/>
    <x v="7"/>
    <n v="4"/>
    <n v="3"/>
    <n v="12"/>
    <x v="0"/>
    <x v="0"/>
    <d v="2023-08-29T00:00:00"/>
  </r>
  <r>
    <s v="TXN_9365558"/>
    <x v="3"/>
    <n v="4"/>
    <n v="5"/>
    <n v="20"/>
    <x v="0"/>
    <x v="0"/>
    <d v="2023-02-12T00:00:00"/>
  </r>
  <r>
    <s v="TXN_6837601"/>
    <x v="3"/>
    <n v="1"/>
    <n v="5"/>
    <n v="5"/>
    <x v="3"/>
    <x v="0"/>
    <d v="2023-02-05T00:00:00"/>
  </r>
  <r>
    <s v="TXN_1713983"/>
    <x v="3"/>
    <n v="2"/>
    <n v="5"/>
    <n v="10"/>
    <x v="1"/>
    <x v="1"/>
    <d v="2023-05-11T00:00:00"/>
  </r>
  <r>
    <s v="TXN_4674417"/>
    <x v="2"/>
    <n v="5"/>
    <n v="1"/>
    <n v="5"/>
    <x v="3"/>
    <x v="0"/>
    <d v="2023-07-03T00:00:00"/>
  </r>
  <r>
    <s v="TXN_4641838"/>
    <x v="2"/>
    <n v="5"/>
    <n v="1"/>
    <n v="5"/>
    <x v="0"/>
    <x v="2"/>
    <d v="2023-04-30T00:00:00"/>
  </r>
  <r>
    <s v="TXN_9315119"/>
    <x v="3"/>
    <n v="2"/>
    <n v="5"/>
    <n v="10"/>
    <x v="2"/>
    <x v="0"/>
    <d v="2023-06-16T00:00:00"/>
  </r>
  <r>
    <s v="TXN_2552405"/>
    <x v="7"/>
    <n v="5"/>
    <n v="3"/>
    <n v="15"/>
    <x v="0"/>
    <x v="2"/>
    <d v="2023-06-22T00:00:00"/>
  </r>
  <r>
    <s v="TXN_3465980"/>
    <x v="2"/>
    <n v="4"/>
    <n v="1"/>
    <n v="4"/>
    <x v="1"/>
    <x v="0"/>
    <d v="2023-07-08T00:00:00"/>
  </r>
  <r>
    <s v="TXN_4220189"/>
    <x v="8"/>
    <n v="1"/>
    <n v="1.5"/>
    <n v="1.5"/>
    <x v="2"/>
    <x v="0"/>
    <d v="2023-08-16T00:00:00"/>
  </r>
  <r>
    <s v="TXN_7343905"/>
    <x v="1"/>
    <n v="1"/>
    <n v="3"/>
    <n v="3"/>
    <x v="3"/>
    <x v="1"/>
    <d v="2023-01-17T00:00:00"/>
  </r>
  <r>
    <s v="TXN_9813938"/>
    <x v="6"/>
    <n v="5"/>
    <n v="4"/>
    <n v="20"/>
    <x v="1"/>
    <x v="2"/>
    <d v="2023-06-30T00:00:00"/>
  </r>
  <r>
    <s v="TXN_6129460"/>
    <x v="7"/>
    <n v="5"/>
    <n v="3"/>
    <n v="15"/>
    <x v="1"/>
    <x v="2"/>
    <d v="2023-11-19T00:00:00"/>
  </r>
  <r>
    <s v="TXN_9470590"/>
    <x v="3"/>
    <n v="1"/>
    <n v="5"/>
    <n v="5"/>
    <x v="0"/>
    <x v="0"/>
    <d v="2023-04-11T00:00:00"/>
  </r>
  <r>
    <s v="TXN_7212607"/>
    <x v="0"/>
    <n v="3"/>
    <n v="2"/>
    <n v="6"/>
    <x v="3"/>
    <x v="1"/>
    <d v="2023-08-06T00:00:00"/>
  </r>
  <r>
    <s v="TXN_8384628"/>
    <x v="3"/>
    <n v="3"/>
    <n v="5"/>
    <n v="15"/>
    <x v="0"/>
    <x v="0"/>
    <d v="2023-08-22T00:00:00"/>
  </r>
  <r>
    <s v="TXN_4200340"/>
    <x v="1"/>
    <n v="5"/>
    <n v="3"/>
    <n v="15"/>
    <x v="1"/>
    <x v="0"/>
    <d v="2023-07-06T00:00:00"/>
  </r>
  <r>
    <s v="TXN_9349052"/>
    <x v="5"/>
    <n v="4"/>
    <n v="3"/>
    <n v="12"/>
    <x v="1"/>
    <x v="2"/>
    <d v="2023-10-31T00:00:00"/>
  </r>
  <r>
    <s v="TXN_9749434"/>
    <x v="1"/>
    <n v="5"/>
    <n v="3"/>
    <n v="15"/>
    <x v="0"/>
    <x v="0"/>
    <m/>
  </r>
  <r>
    <s v="TXN_2693584"/>
    <x v="2"/>
    <n v="3"/>
    <n v="1"/>
    <n v="3"/>
    <x v="2"/>
    <x v="2"/>
    <d v="2023-10-28T00:00:00"/>
  </r>
  <r>
    <s v="TXN_4778105"/>
    <x v="7"/>
    <n v="4"/>
    <n v="3"/>
    <n v="12"/>
    <x v="3"/>
    <x v="1"/>
    <d v="2023-10-08T00:00:00"/>
  </r>
  <r>
    <s v="TXN_7804488"/>
    <x v="2"/>
    <n v="2"/>
    <n v="1"/>
    <n v="2"/>
    <x v="3"/>
    <x v="2"/>
    <d v="2023-11-28T00:00:00"/>
  </r>
  <r>
    <s v="TXN_4674667"/>
    <x v="0"/>
    <n v="2"/>
    <n v="2"/>
    <n v="4"/>
    <x v="2"/>
    <x v="0"/>
    <d v="2023-05-24T00:00:00"/>
  </r>
  <r>
    <s v="TXN_8832852"/>
    <x v="6"/>
    <n v="5"/>
    <n v="4"/>
    <n v="20"/>
    <x v="2"/>
    <x v="0"/>
    <m/>
  </r>
  <r>
    <s v="TXN_4278785"/>
    <x v="3"/>
    <n v="3"/>
    <n v="5"/>
    <n v="15"/>
    <x v="1"/>
    <x v="1"/>
    <d v="2023-04-29T00:00:00"/>
  </r>
  <r>
    <s v="TXN_4462052"/>
    <x v="2"/>
    <n v="1"/>
    <n v="1"/>
    <n v="1"/>
    <x v="1"/>
    <x v="1"/>
    <d v="2023-10-12T00:00:00"/>
  </r>
  <r>
    <s v="TXN_3379368"/>
    <x v="1"/>
    <n v="5"/>
    <n v="3"/>
    <n v="15"/>
    <x v="0"/>
    <x v="2"/>
    <d v="2023-05-26T00:00:00"/>
  </r>
  <r>
    <s v="TXN_7651864"/>
    <x v="4"/>
    <n v="4"/>
    <n v="4"/>
    <n v="16"/>
    <x v="3"/>
    <x v="2"/>
    <d v="2023-04-29T00:00:00"/>
  </r>
  <r>
    <s v="TXN_7089173"/>
    <x v="7"/>
    <n v="1"/>
    <n v="3"/>
    <n v="3"/>
    <x v="3"/>
    <x v="2"/>
    <d v="2023-01-14T00:00:00"/>
  </r>
  <r>
    <s v="TXN_1906642"/>
    <x v="2"/>
    <n v="4"/>
    <n v="1"/>
    <n v="4"/>
    <x v="2"/>
    <x v="0"/>
    <d v="2023-06-06T00:00:00"/>
  </r>
  <r>
    <s v="TXN_5410349"/>
    <x v="5"/>
    <n v="5"/>
    <n v="3"/>
    <n v="15"/>
    <x v="0"/>
    <x v="0"/>
    <d v="2023-03-05T00:00:00"/>
  </r>
  <r>
    <s v="TXN_5234368"/>
    <x v="0"/>
    <n v="3"/>
    <n v="2"/>
    <n v="6"/>
    <x v="3"/>
    <x v="2"/>
    <d v="2023-06-10T00:00:00"/>
  </r>
  <r>
    <s v="TXN_5544904"/>
    <x v="3"/>
    <n v="5"/>
    <n v="5"/>
    <n v="25"/>
    <x v="2"/>
    <x v="2"/>
    <d v="2023-04-19T00:00:00"/>
  </r>
  <r>
    <s v="TXN_3376958"/>
    <x v="3"/>
    <n v="4"/>
    <n v="5"/>
    <n v="20"/>
    <x v="2"/>
    <x v="1"/>
    <d v="2023-10-31T00:00:00"/>
  </r>
  <r>
    <s v="TXN_5446085"/>
    <x v="0"/>
    <n v="3"/>
    <n v="2"/>
    <n v="6"/>
    <x v="3"/>
    <x v="2"/>
    <d v="2023-09-16T00:00:00"/>
  </r>
  <r>
    <s v="TXN_9676940"/>
    <x v="7"/>
    <n v="2"/>
    <n v="3"/>
    <n v="6"/>
    <x v="0"/>
    <x v="0"/>
    <d v="2023-08-16T00:00:00"/>
  </r>
  <r>
    <s v="TXN_2371941"/>
    <x v="7"/>
    <n v="2"/>
    <n v="3"/>
    <n v="6"/>
    <x v="1"/>
    <x v="2"/>
    <d v="2023-01-26T00:00:00"/>
  </r>
  <r>
    <s v="TXN_8980774"/>
    <x v="8"/>
    <n v="4"/>
    <n v="1.5"/>
    <n v="6"/>
    <x v="2"/>
    <x v="1"/>
    <m/>
  </r>
  <r>
    <s v="TXN_5708913"/>
    <x v="1"/>
    <n v="2"/>
    <n v="3"/>
    <n v="6"/>
    <x v="1"/>
    <x v="1"/>
    <d v="2023-04-29T00:00:00"/>
  </r>
  <r>
    <s v="TXN_6310726"/>
    <x v="5"/>
    <n v="3"/>
    <n v="1"/>
    <n v="3"/>
    <x v="0"/>
    <x v="2"/>
    <d v="2023-03-30T00:00:00"/>
  </r>
  <r>
    <s v="TXN_4096816"/>
    <x v="5"/>
    <n v="3"/>
    <n v="2"/>
    <n v="6"/>
    <x v="3"/>
    <x v="0"/>
    <d v="2023-11-02T00:00:00"/>
  </r>
  <r>
    <s v="TXN_7451083"/>
    <x v="0"/>
    <n v="1"/>
    <n v="2"/>
    <n v="2"/>
    <x v="3"/>
    <x v="2"/>
    <d v="2023-06-24T00:00:00"/>
  </r>
  <r>
    <s v="TXN_5132082"/>
    <x v="3"/>
    <n v="5"/>
    <n v="5"/>
    <n v="25"/>
    <x v="2"/>
    <x v="2"/>
    <d v="2023-10-08T00:00:00"/>
  </r>
  <r>
    <s v="TXN_7323040"/>
    <x v="2"/>
    <n v="3"/>
    <n v="1"/>
    <n v="3"/>
    <x v="2"/>
    <x v="0"/>
    <d v="2023-11-09T00:00:00"/>
  </r>
  <r>
    <s v="TXN_9176418"/>
    <x v="4"/>
    <n v="1"/>
    <n v="4"/>
    <n v="4"/>
    <x v="3"/>
    <x v="0"/>
    <d v="2023-03-02T00:00:00"/>
  </r>
  <r>
    <s v="TXN_9702662"/>
    <x v="5"/>
    <n v="4"/>
    <n v="4"/>
    <n v="16"/>
    <x v="2"/>
    <x v="0"/>
    <d v="2023-07-10T00:00:00"/>
  </r>
  <r>
    <s v="TXN_7612618"/>
    <x v="4"/>
    <n v="4"/>
    <n v="4"/>
    <n v="16"/>
    <x v="0"/>
    <x v="2"/>
    <d v="2023-04-12T00:00:00"/>
  </r>
  <r>
    <s v="TXN_7321789"/>
    <x v="7"/>
    <n v="3"/>
    <n v="3"/>
    <n v="9"/>
    <x v="3"/>
    <x v="0"/>
    <d v="2023-05-10T00:00:00"/>
  </r>
  <r>
    <s v="TXN_3679126"/>
    <x v="2"/>
    <n v="1"/>
    <n v="1"/>
    <n v="1"/>
    <x v="1"/>
    <x v="2"/>
    <d v="2023-07-15T00:00:00"/>
  </r>
  <r>
    <s v="TXN_2008137"/>
    <x v="0"/>
    <n v="4"/>
    <n v="2"/>
    <n v="8"/>
    <x v="2"/>
    <x v="2"/>
    <d v="2023-10-07T00:00:00"/>
  </r>
  <r>
    <s v="TXN_2622670"/>
    <x v="1"/>
    <n v="5"/>
    <n v="3"/>
    <n v="15"/>
    <x v="3"/>
    <x v="2"/>
    <d v="2023-01-28T00:00:00"/>
  </r>
  <r>
    <s v="TXN_4791105"/>
    <x v="5"/>
    <n v="3"/>
    <n v="4"/>
    <n v="12"/>
    <x v="2"/>
    <x v="0"/>
    <d v="2023-05-18T00:00:00"/>
  </r>
  <r>
    <s v="TXN_6882819"/>
    <x v="5"/>
    <n v="1"/>
    <n v="3"/>
    <n v="3"/>
    <x v="1"/>
    <x v="2"/>
    <d v="2023-08-21T00:00:00"/>
  </r>
  <r>
    <s v="TXN_2152670"/>
    <x v="8"/>
    <n v="3"/>
    <n v="1.5"/>
    <n v="4.5"/>
    <x v="0"/>
    <x v="1"/>
    <d v="2023-12-24T00:00:00"/>
  </r>
  <r>
    <s v="TXN_3482117"/>
    <x v="6"/>
    <n v="2"/>
    <n v="4"/>
    <n v="8"/>
    <x v="2"/>
    <x v="2"/>
    <d v="2023-07-18T00:00:00"/>
  </r>
  <r>
    <s v="TXN_1843989"/>
    <x v="5"/>
    <n v="5"/>
    <n v="1"/>
    <n v="5"/>
    <x v="2"/>
    <x v="0"/>
    <d v="2023-07-19T00:00:00"/>
  </r>
  <r>
    <s v="TXN_4943715"/>
    <x v="0"/>
    <n v="5"/>
    <n v="2"/>
    <n v="10"/>
    <x v="3"/>
    <x v="2"/>
    <d v="2023-10-06T00:00:00"/>
  </r>
  <r>
    <s v="TXN_8571836"/>
    <x v="7"/>
    <n v="3"/>
    <n v="3"/>
    <n v="9"/>
    <x v="1"/>
    <x v="2"/>
    <d v="2023-12-27T00:00:00"/>
  </r>
  <r>
    <s v="TXN_2544176"/>
    <x v="8"/>
    <n v="3"/>
    <n v="1.5"/>
    <n v="4.5"/>
    <x v="2"/>
    <x v="0"/>
    <d v="2023-12-19T00:00:00"/>
  </r>
  <r>
    <s v="TXN_1589264"/>
    <x v="5"/>
    <n v="2"/>
    <n v="5"/>
    <n v="10"/>
    <x v="1"/>
    <x v="2"/>
    <d v="2023-07-26T00:00:00"/>
  </r>
  <r>
    <s v="TXN_1379209"/>
    <x v="8"/>
    <n v="5"/>
    <n v="1.5"/>
    <n v="7.5"/>
    <x v="2"/>
    <x v="1"/>
    <d v="2023-02-06T00:00:00"/>
  </r>
  <r>
    <s v="TXN_2515920"/>
    <x v="5"/>
    <n v="3"/>
    <n v="3"/>
    <n v="9"/>
    <x v="1"/>
    <x v="1"/>
    <d v="2023-10-02T00:00:00"/>
  </r>
  <r>
    <s v="TXN_6496099"/>
    <x v="0"/>
    <n v="5"/>
    <n v="2"/>
    <n v="10"/>
    <x v="3"/>
    <x v="2"/>
    <d v="2023-07-21T00:00:00"/>
  </r>
  <r>
    <s v="TXN_8696065"/>
    <x v="4"/>
    <n v="3"/>
    <n v="4"/>
    <n v="12"/>
    <x v="0"/>
    <x v="1"/>
    <d v="2023-11-04T00:00:00"/>
  </r>
  <r>
    <s v="TXN_4746320"/>
    <x v="2"/>
    <n v="2"/>
    <n v="1"/>
    <n v="2"/>
    <x v="2"/>
    <x v="0"/>
    <d v="2023-04-02T00:00:00"/>
  </r>
  <r>
    <s v="TXN_1250407"/>
    <x v="2"/>
    <n v="1"/>
    <n v="1"/>
    <n v="1"/>
    <x v="0"/>
    <x v="0"/>
    <d v="2023-11-21T00:00:00"/>
  </r>
  <r>
    <s v="TXN_1617476"/>
    <x v="1"/>
    <n v="2"/>
    <n v="3"/>
    <n v="6"/>
    <x v="3"/>
    <x v="1"/>
    <d v="2023-02-10T00:00:00"/>
  </r>
  <r>
    <s v="TXN_4196578"/>
    <x v="8"/>
    <n v="2"/>
    <n v="1.5"/>
    <n v="3"/>
    <x v="0"/>
    <x v="2"/>
    <d v="2023-06-26T00:00:00"/>
  </r>
  <r>
    <s v="TXN_9725461"/>
    <x v="4"/>
    <n v="3"/>
    <n v="4"/>
    <n v="12"/>
    <x v="0"/>
    <x v="1"/>
    <d v="2023-11-25T00:00:00"/>
  </r>
  <r>
    <s v="TXN_2975443"/>
    <x v="3"/>
    <n v="5"/>
    <n v="5"/>
    <n v="25"/>
    <x v="2"/>
    <x v="0"/>
    <d v="2023-12-31T00:00:00"/>
  </r>
  <r>
    <s v="TXN_1000555"/>
    <x v="8"/>
    <n v="1"/>
    <n v="1.5"/>
    <n v="1.5"/>
    <x v="0"/>
    <x v="1"/>
    <d v="2023-10-19T00:00:00"/>
  </r>
  <r>
    <s v="TXN_1622411"/>
    <x v="3"/>
    <n v="2"/>
    <n v="5"/>
    <n v="10"/>
    <x v="2"/>
    <x v="0"/>
    <d v="2023-07-23T00:00:00"/>
  </r>
  <r>
    <s v="TXN_9429128"/>
    <x v="0"/>
    <n v="4"/>
    <n v="2"/>
    <n v="8"/>
    <x v="0"/>
    <x v="1"/>
    <d v="2023-12-19T00:00:00"/>
  </r>
  <r>
    <s v="TXN_1056277"/>
    <x v="2"/>
    <n v="5"/>
    <n v="1"/>
    <n v="5"/>
    <x v="2"/>
    <x v="2"/>
    <d v="2023-02-06T00:00:00"/>
  </r>
  <r>
    <s v="TXN_4801617"/>
    <x v="7"/>
    <n v="5"/>
    <n v="3"/>
    <n v="15"/>
    <x v="2"/>
    <x v="2"/>
    <d v="2023-04-02T00:00:00"/>
  </r>
  <r>
    <s v="TXN_1365285"/>
    <x v="7"/>
    <n v="5"/>
    <n v="3"/>
    <n v="15"/>
    <x v="0"/>
    <x v="2"/>
    <d v="2023-06-11T00:00:00"/>
  </r>
  <r>
    <s v="TXN_3189677"/>
    <x v="4"/>
    <n v="1"/>
    <n v="4"/>
    <n v="4"/>
    <x v="2"/>
    <x v="2"/>
    <d v="2023-01-11T00:00:00"/>
  </r>
  <r>
    <s v="TXN_3375399"/>
    <x v="2"/>
    <n v="1"/>
    <n v="1"/>
    <n v="1"/>
    <x v="3"/>
    <x v="0"/>
    <d v="2023-05-21T00:00:00"/>
  </r>
  <r>
    <s v="TXN_9315755"/>
    <x v="1"/>
    <n v="5"/>
    <n v="3"/>
    <n v="15"/>
    <x v="1"/>
    <x v="0"/>
    <d v="2023-09-26T00:00:00"/>
  </r>
  <r>
    <s v="TXN_6853678"/>
    <x v="2"/>
    <n v="4"/>
    <n v="1"/>
    <n v="4"/>
    <x v="3"/>
    <x v="2"/>
    <d v="2023-07-23T00:00:00"/>
  </r>
  <r>
    <s v="TXN_6530886"/>
    <x v="0"/>
    <n v="1"/>
    <n v="2"/>
    <n v="2"/>
    <x v="0"/>
    <x v="2"/>
    <d v="2023-10-21T00:00:00"/>
  </r>
  <r>
    <s v="TXN_3530720"/>
    <x v="4"/>
    <n v="5"/>
    <n v="4"/>
    <n v="20"/>
    <x v="3"/>
    <x v="1"/>
    <d v="2023-10-18T00:00:00"/>
  </r>
  <r>
    <s v="TXN_3716067"/>
    <x v="8"/>
    <n v="5"/>
    <n v="1.5"/>
    <n v="7.5"/>
    <x v="0"/>
    <x v="1"/>
    <m/>
  </r>
  <r>
    <s v="TXN_1410102"/>
    <x v="3"/>
    <n v="1"/>
    <n v="5"/>
    <n v="5"/>
    <x v="1"/>
    <x v="1"/>
    <d v="2023-06-23T00:00:00"/>
  </r>
  <r>
    <s v="TXN_6977098"/>
    <x v="7"/>
    <n v="5"/>
    <n v="3"/>
    <n v="15"/>
    <x v="0"/>
    <x v="1"/>
    <d v="2023-06-09T00:00:00"/>
  </r>
  <r>
    <s v="TXN_7735237"/>
    <x v="1"/>
    <n v="2"/>
    <n v="3"/>
    <n v="6"/>
    <x v="3"/>
    <x v="1"/>
    <d v="2023-01-13T00:00:00"/>
  </r>
  <r>
    <s v="TXN_7510766"/>
    <x v="0"/>
    <n v="3"/>
    <n v="2"/>
    <n v="6"/>
    <x v="2"/>
    <x v="1"/>
    <d v="2023-07-24T00:00:00"/>
  </r>
  <r>
    <s v="TXN_3352256"/>
    <x v="6"/>
    <n v="2"/>
    <n v="4"/>
    <n v="8"/>
    <x v="2"/>
    <x v="0"/>
    <d v="2023-09-08T00:00:00"/>
  </r>
  <r>
    <s v="TXN_8494538"/>
    <x v="1"/>
    <n v="4"/>
    <n v="3"/>
    <n v="12"/>
    <x v="2"/>
    <x v="2"/>
    <d v="2023-11-08T00:00:00"/>
  </r>
  <r>
    <s v="TXN_8676769"/>
    <x v="3"/>
    <n v="3"/>
    <n v="5"/>
    <n v="15"/>
    <x v="3"/>
    <x v="1"/>
    <d v="2023-06-16T00:00:00"/>
  </r>
  <r>
    <s v="TXN_5282529"/>
    <x v="8"/>
    <n v="5"/>
    <n v="1.5"/>
    <n v="7.5"/>
    <x v="0"/>
    <x v="0"/>
    <d v="2023-04-13T00:00:00"/>
  </r>
  <r>
    <s v="TXN_9495930"/>
    <x v="0"/>
    <n v="2"/>
    <n v="2"/>
    <n v="4"/>
    <x v="3"/>
    <x v="0"/>
    <d v="2023-10-23T00:00:00"/>
  </r>
  <r>
    <s v="TXN_3514492"/>
    <x v="7"/>
    <n v="3"/>
    <n v="3"/>
    <n v="9"/>
    <x v="3"/>
    <x v="1"/>
    <d v="2023-02-23T00:00:00"/>
  </r>
  <r>
    <s v="TXN_1349215"/>
    <x v="5"/>
    <n v="1"/>
    <n v="4"/>
    <n v="4"/>
    <x v="3"/>
    <x v="2"/>
    <d v="2023-02-06T00:00:00"/>
  </r>
  <r>
    <s v="TXN_7223646"/>
    <x v="2"/>
    <n v="5"/>
    <n v="1"/>
    <n v="5"/>
    <x v="0"/>
    <x v="2"/>
    <d v="2023-09-19T00:00:00"/>
  </r>
  <r>
    <s v="TXN_4033982"/>
    <x v="5"/>
    <n v="2"/>
    <n v="1.5"/>
    <n v="3"/>
    <x v="0"/>
    <x v="0"/>
    <d v="2023-01-04T00:00:00"/>
  </r>
  <r>
    <s v="TXN_1842697"/>
    <x v="5"/>
    <n v="5"/>
    <n v="3"/>
    <n v="15"/>
    <x v="2"/>
    <x v="2"/>
    <d v="2023-10-25T00:00:00"/>
  </r>
  <r>
    <s v="TXN_4227337"/>
    <x v="8"/>
    <n v="4"/>
    <n v="1.5"/>
    <n v="6"/>
    <x v="3"/>
    <x v="0"/>
    <d v="2023-12-15T00:00:00"/>
  </r>
  <r>
    <s v="TXN_5790213"/>
    <x v="7"/>
    <n v="3"/>
    <n v="3"/>
    <n v="9"/>
    <x v="1"/>
    <x v="2"/>
    <d v="2023-08-30T00:00:00"/>
  </r>
  <r>
    <s v="TXN_3546261"/>
    <x v="8"/>
    <n v="3"/>
    <n v="1.5"/>
    <n v="4.5"/>
    <x v="2"/>
    <x v="0"/>
    <d v="2023-03-20T00:00:00"/>
  </r>
  <r>
    <s v="TXN_7119228"/>
    <x v="5"/>
    <n v="4"/>
    <n v="3"/>
    <n v="12"/>
    <x v="3"/>
    <x v="2"/>
    <d v="2023-10-09T00:00:00"/>
  </r>
  <r>
    <s v="TXN_3334257"/>
    <x v="6"/>
    <n v="2"/>
    <n v="4"/>
    <n v="8"/>
    <x v="1"/>
    <x v="2"/>
    <d v="2023-06-10T00:00:00"/>
  </r>
  <r>
    <s v="TXN_5665767"/>
    <x v="8"/>
    <n v="4"/>
    <n v="1.5"/>
    <n v="6"/>
    <x v="2"/>
    <x v="2"/>
    <d v="2023-08-22T00:00:00"/>
  </r>
  <r>
    <s v="TXN_4527464"/>
    <x v="8"/>
    <n v="4"/>
    <n v="1.5"/>
    <n v="6"/>
    <x v="2"/>
    <x v="1"/>
    <d v="2023-08-09T00:00:00"/>
  </r>
  <r>
    <s v="TXN_1011236"/>
    <x v="1"/>
    <n v="1"/>
    <n v="3"/>
    <n v="3"/>
    <x v="1"/>
    <x v="1"/>
    <d v="2023-02-08T00:00:00"/>
  </r>
  <r>
    <s v="TXN_8293691"/>
    <x v="0"/>
    <n v="4"/>
    <n v="2"/>
    <n v="8"/>
    <x v="2"/>
    <x v="2"/>
    <d v="2023-06-30T00:00:00"/>
  </r>
  <r>
    <s v="TXN_7463011"/>
    <x v="6"/>
    <n v="2"/>
    <n v="4"/>
    <n v="8"/>
    <x v="2"/>
    <x v="1"/>
    <d v="2023-01-22T00:00:00"/>
  </r>
  <r>
    <s v="TXN_6872268"/>
    <x v="7"/>
    <n v="2"/>
    <n v="3"/>
    <n v="6"/>
    <x v="3"/>
    <x v="1"/>
    <d v="2023-01-07T00:00:00"/>
  </r>
  <r>
    <s v="TXN_3999554"/>
    <x v="0"/>
    <n v="1"/>
    <n v="2"/>
    <n v="2"/>
    <x v="0"/>
    <x v="0"/>
    <d v="2023-09-13T00:00:00"/>
  </r>
  <r>
    <s v="TXN_9942247"/>
    <x v="0"/>
    <n v="2"/>
    <n v="2"/>
    <n v="4"/>
    <x v="1"/>
    <x v="0"/>
    <d v="2023-10-15T00:00:00"/>
  </r>
  <r>
    <s v="TXN_3687300"/>
    <x v="2"/>
    <n v="2"/>
    <n v="1"/>
    <n v="2"/>
    <x v="0"/>
    <x v="1"/>
    <m/>
  </r>
  <r>
    <s v="TXN_6113452"/>
    <x v="6"/>
    <n v="2"/>
    <n v="4"/>
    <n v="8"/>
    <x v="1"/>
    <x v="0"/>
    <d v="2023-09-21T00:00:00"/>
  </r>
  <r>
    <s v="TXN_1752617"/>
    <x v="8"/>
    <n v="5"/>
    <n v="1.5"/>
    <n v="7.5"/>
    <x v="2"/>
    <x v="0"/>
    <d v="2023-09-05T00:00:00"/>
  </r>
  <r>
    <s v="TXN_1949789"/>
    <x v="3"/>
    <n v="2"/>
    <n v="5"/>
    <n v="10"/>
    <x v="2"/>
    <x v="0"/>
    <d v="2023-11-07T00:00:00"/>
  </r>
  <r>
    <s v="TXN_7386089"/>
    <x v="6"/>
    <n v="2"/>
    <n v="4"/>
    <n v="8"/>
    <x v="2"/>
    <x v="1"/>
    <d v="2023-07-15T00:00:00"/>
  </r>
  <r>
    <s v="TXN_6751134"/>
    <x v="6"/>
    <n v="3"/>
    <n v="4"/>
    <n v="12"/>
    <x v="2"/>
    <x v="2"/>
    <d v="2023-01-12T00:00:00"/>
  </r>
  <r>
    <s v="TXN_2731270"/>
    <x v="1"/>
    <n v="1"/>
    <n v="3"/>
    <n v="3"/>
    <x v="2"/>
    <x v="0"/>
    <d v="2023-05-31T00:00:00"/>
  </r>
  <r>
    <s v="TXN_8830813"/>
    <x v="0"/>
    <n v="1"/>
    <n v="2"/>
    <n v="2"/>
    <x v="1"/>
    <x v="1"/>
    <d v="2023-06-18T00:00:00"/>
  </r>
  <r>
    <s v="TXN_2548248"/>
    <x v="1"/>
    <n v="4"/>
    <n v="3"/>
    <n v="12"/>
    <x v="2"/>
    <x v="0"/>
    <d v="2023-06-28T00:00:00"/>
  </r>
  <r>
    <s v="TXN_3026930"/>
    <x v="1"/>
    <n v="2"/>
    <n v="3"/>
    <n v="6"/>
    <x v="1"/>
    <x v="1"/>
    <d v="2023-03-23T00:00:00"/>
  </r>
  <r>
    <s v="TXN_2824366"/>
    <x v="6"/>
    <n v="4"/>
    <n v="4"/>
    <n v="16"/>
    <x v="2"/>
    <x v="1"/>
    <d v="2023-07-02T00:00:00"/>
  </r>
  <r>
    <s v="TXN_2801651"/>
    <x v="7"/>
    <n v="4"/>
    <n v="3"/>
    <n v="12"/>
    <x v="3"/>
    <x v="0"/>
    <d v="2023-07-10T00:00:00"/>
  </r>
  <r>
    <s v="TXN_5005592"/>
    <x v="0"/>
    <n v="1"/>
    <n v="2"/>
    <n v="2"/>
    <x v="0"/>
    <x v="1"/>
    <d v="2023-06-05T00:00:00"/>
  </r>
  <r>
    <s v="TXN_8284313"/>
    <x v="3"/>
    <n v="5"/>
    <n v="5"/>
    <n v="25"/>
    <x v="2"/>
    <x v="2"/>
    <d v="2023-11-20T00:00:00"/>
  </r>
  <r>
    <s v="TXN_8058026"/>
    <x v="8"/>
    <n v="1"/>
    <n v="1.5"/>
    <n v="1.5"/>
    <x v="2"/>
    <x v="0"/>
    <d v="2023-05-19T00:00:00"/>
  </r>
  <r>
    <s v="TXN_2182790"/>
    <x v="8"/>
    <n v="5"/>
    <n v="1.5"/>
    <n v="7.5"/>
    <x v="0"/>
    <x v="0"/>
    <d v="2023-05-05T00:00:00"/>
  </r>
  <r>
    <s v="TXN_7251929"/>
    <x v="5"/>
    <n v="2"/>
    <n v="5"/>
    <n v="10"/>
    <x v="3"/>
    <x v="1"/>
    <d v="2023-01-31T00:00:00"/>
  </r>
  <r>
    <s v="TXN_2145530"/>
    <x v="6"/>
    <n v="3"/>
    <n v="4"/>
    <n v="12"/>
    <x v="3"/>
    <x v="2"/>
    <d v="2023-10-08T00:00:00"/>
  </r>
  <r>
    <s v="TXN_4159861"/>
    <x v="7"/>
    <n v="1"/>
    <n v="3"/>
    <n v="3"/>
    <x v="3"/>
    <x v="2"/>
    <d v="2023-03-20T00:00:00"/>
  </r>
  <r>
    <s v="TXN_4600614"/>
    <x v="6"/>
    <n v="3"/>
    <n v="4"/>
    <n v="12"/>
    <x v="3"/>
    <x v="0"/>
    <d v="2023-01-27T00:00:00"/>
  </r>
  <r>
    <s v="TXN_1853298"/>
    <x v="2"/>
    <n v="5"/>
    <n v="1"/>
    <n v="5"/>
    <x v="0"/>
    <x v="2"/>
    <d v="2023-01-02T00:00:00"/>
  </r>
  <r>
    <s v="TXN_6600858"/>
    <x v="6"/>
    <n v="3"/>
    <n v="4"/>
    <n v="12"/>
    <x v="1"/>
    <x v="2"/>
    <d v="2023-03-27T00:00:00"/>
  </r>
  <r>
    <s v="TXN_7494793"/>
    <x v="4"/>
    <n v="5"/>
    <n v="4"/>
    <n v="20"/>
    <x v="2"/>
    <x v="0"/>
    <d v="2023-12-29T00:00:00"/>
  </r>
  <r>
    <s v="TXN_3968170"/>
    <x v="3"/>
    <n v="1"/>
    <n v="5"/>
    <n v="5"/>
    <x v="2"/>
    <x v="1"/>
    <d v="2023-08-05T00:00:00"/>
  </r>
  <r>
    <s v="TXN_4628310"/>
    <x v="7"/>
    <n v="4"/>
    <n v="3"/>
    <n v="12"/>
    <x v="0"/>
    <x v="0"/>
    <d v="2023-04-20T00:00:00"/>
  </r>
  <r>
    <s v="TXN_6110009"/>
    <x v="7"/>
    <n v="5"/>
    <n v="3"/>
    <n v="15"/>
    <x v="2"/>
    <x v="0"/>
    <d v="2023-12-26T00:00:00"/>
  </r>
  <r>
    <s v="TXN_8996187"/>
    <x v="3"/>
    <n v="2"/>
    <n v="5"/>
    <n v="10"/>
    <x v="0"/>
    <x v="1"/>
    <d v="2023-09-28T00:00:00"/>
  </r>
  <r>
    <s v="TXN_3544792"/>
    <x v="6"/>
    <n v="1"/>
    <n v="4"/>
    <n v="4"/>
    <x v="3"/>
    <x v="2"/>
    <d v="2023-06-27T00:00:00"/>
  </r>
  <r>
    <s v="TXN_2353057"/>
    <x v="1"/>
    <n v="3"/>
    <n v="3"/>
    <n v="9"/>
    <x v="2"/>
    <x v="0"/>
    <d v="2023-08-04T00:00:00"/>
  </r>
  <r>
    <s v="TXN_6013295"/>
    <x v="7"/>
    <n v="2"/>
    <n v="3"/>
    <n v="6"/>
    <x v="1"/>
    <x v="0"/>
    <d v="2023-11-07T00:00:00"/>
  </r>
  <r>
    <s v="TXN_3200195"/>
    <x v="7"/>
    <n v="3"/>
    <n v="3"/>
    <n v="9"/>
    <x v="3"/>
    <x v="1"/>
    <d v="2023-05-04T00:00:00"/>
  </r>
  <r>
    <s v="TXN_4860027"/>
    <x v="2"/>
    <n v="5"/>
    <n v="1"/>
    <n v="5"/>
    <x v="3"/>
    <x v="0"/>
    <d v="2023-07-28T00:00:00"/>
  </r>
  <r>
    <s v="TXN_3509437"/>
    <x v="5"/>
    <n v="4"/>
    <n v="4"/>
    <n v="16"/>
    <x v="2"/>
    <x v="1"/>
    <d v="2023-12-06T00:00:00"/>
  </r>
  <r>
    <s v="TXN_5442505"/>
    <x v="1"/>
    <n v="4"/>
    <n v="3"/>
    <n v="12"/>
    <x v="3"/>
    <x v="0"/>
    <d v="2023-09-07T00:00:00"/>
  </r>
  <r>
    <s v="TXN_4708410"/>
    <x v="1"/>
    <n v="4"/>
    <n v="3"/>
    <n v="12"/>
    <x v="3"/>
    <x v="1"/>
    <d v="2023-10-08T00:00:00"/>
  </r>
  <r>
    <s v="TXN_4847617"/>
    <x v="6"/>
    <n v="4"/>
    <n v="4"/>
    <n v="16"/>
    <x v="0"/>
    <x v="2"/>
    <d v="2023-08-04T00:00:00"/>
  </r>
  <r>
    <s v="TXN_1898329"/>
    <x v="1"/>
    <n v="5"/>
    <n v="3"/>
    <n v="15"/>
    <x v="1"/>
    <x v="1"/>
    <d v="2023-04-12T00:00:00"/>
  </r>
  <r>
    <s v="TXN_2508266"/>
    <x v="2"/>
    <n v="1"/>
    <n v="1"/>
    <n v="1"/>
    <x v="2"/>
    <x v="2"/>
    <d v="2023-01-28T00:00:00"/>
  </r>
  <r>
    <s v="TXN_1945918"/>
    <x v="7"/>
    <n v="2"/>
    <n v="3"/>
    <n v="6"/>
    <x v="2"/>
    <x v="2"/>
    <d v="2023-09-12T00:00:00"/>
  </r>
  <r>
    <s v="TXN_8147057"/>
    <x v="7"/>
    <n v="1"/>
    <n v="3"/>
    <n v="3"/>
    <x v="3"/>
    <x v="1"/>
    <d v="2023-08-21T00:00:00"/>
  </r>
  <r>
    <s v="TXN_9546556"/>
    <x v="5"/>
    <n v="5"/>
    <n v="3"/>
    <n v="15"/>
    <x v="1"/>
    <x v="1"/>
    <d v="2023-08-18T00:00:00"/>
  </r>
  <r>
    <s v="TXN_4935258"/>
    <x v="1"/>
    <n v="2"/>
    <n v="3"/>
    <n v="6"/>
    <x v="0"/>
    <x v="2"/>
    <d v="2023-09-14T00:00:00"/>
  </r>
  <r>
    <s v="TXN_5588239"/>
    <x v="2"/>
    <n v="1"/>
    <n v="1"/>
    <n v="1"/>
    <x v="3"/>
    <x v="0"/>
    <d v="2023-03-31T00:00:00"/>
  </r>
  <r>
    <s v="TXN_6575599"/>
    <x v="0"/>
    <n v="5"/>
    <n v="2"/>
    <n v="10"/>
    <x v="3"/>
    <x v="0"/>
    <d v="2023-10-09T00:00:00"/>
  </r>
  <r>
    <s v="TXN_9382156"/>
    <x v="8"/>
    <n v="5"/>
    <n v="1.5"/>
    <n v="7.5"/>
    <x v="2"/>
    <x v="0"/>
    <d v="2023-06-02T00:00:00"/>
  </r>
  <r>
    <s v="TXN_1229376"/>
    <x v="1"/>
    <n v="3"/>
    <n v="3"/>
    <n v="9"/>
    <x v="3"/>
    <x v="1"/>
    <d v="2023-08-14T00:00:00"/>
  </r>
  <r>
    <s v="TXN_1732216"/>
    <x v="0"/>
    <n v="3"/>
    <n v="2"/>
    <n v="6"/>
    <x v="3"/>
    <x v="0"/>
    <d v="2023-08-30T00:00:00"/>
  </r>
  <r>
    <s v="TXN_1756717"/>
    <x v="4"/>
    <n v="3"/>
    <n v="4"/>
    <n v="12"/>
    <x v="0"/>
    <x v="2"/>
    <d v="2023-01-22T00:00:00"/>
  </r>
  <r>
    <s v="TXN_8188857"/>
    <x v="1"/>
    <n v="1"/>
    <n v="3"/>
    <n v="3"/>
    <x v="2"/>
    <x v="2"/>
    <d v="2023-12-21T00:00:00"/>
  </r>
  <r>
    <s v="TXN_9783697"/>
    <x v="6"/>
    <n v="1"/>
    <n v="4"/>
    <n v="4"/>
    <x v="3"/>
    <x v="0"/>
    <d v="2023-07-14T00:00:00"/>
  </r>
  <r>
    <s v="TXN_6991253"/>
    <x v="7"/>
    <n v="3"/>
    <n v="3"/>
    <n v="9"/>
    <x v="2"/>
    <x v="1"/>
    <d v="2023-12-13T00:00:00"/>
  </r>
  <r>
    <s v="TXN_7177487"/>
    <x v="8"/>
    <n v="4"/>
    <n v="1.5"/>
    <n v="6"/>
    <x v="0"/>
    <x v="2"/>
    <d v="2023-09-07T00:00:00"/>
  </r>
  <r>
    <s v="TXN_8444245"/>
    <x v="5"/>
    <n v="1"/>
    <n v="3"/>
    <n v="3"/>
    <x v="1"/>
    <x v="2"/>
    <d v="2023-01-30T00:00:00"/>
  </r>
  <r>
    <s v="TXN_3224756"/>
    <x v="1"/>
    <n v="2"/>
    <n v="3"/>
    <n v="6"/>
    <x v="0"/>
    <x v="0"/>
    <d v="2023-11-20T00:00:00"/>
  </r>
  <r>
    <s v="TXN_3421456"/>
    <x v="1"/>
    <n v="1"/>
    <n v="3"/>
    <n v="3"/>
    <x v="2"/>
    <x v="2"/>
    <d v="2023-09-05T00:00:00"/>
  </r>
  <r>
    <s v="TXN_9421618"/>
    <x v="1"/>
    <n v="3"/>
    <n v="3"/>
    <n v="9"/>
    <x v="1"/>
    <x v="2"/>
    <d v="2023-02-21T00:00:00"/>
  </r>
  <r>
    <s v="TXN_9054741"/>
    <x v="7"/>
    <n v="1"/>
    <n v="3"/>
    <n v="3"/>
    <x v="0"/>
    <x v="0"/>
    <d v="2023-06-24T00:00:00"/>
  </r>
  <r>
    <s v="TXN_9063299"/>
    <x v="1"/>
    <n v="4"/>
    <n v="3"/>
    <n v="12"/>
    <x v="3"/>
    <x v="1"/>
    <d v="2023-06-15T00:00:00"/>
  </r>
  <r>
    <s v="TXN_4318159"/>
    <x v="0"/>
    <n v="4"/>
    <n v="2"/>
    <n v="8"/>
    <x v="3"/>
    <x v="2"/>
    <d v="2023-03-30T00:00:00"/>
  </r>
  <r>
    <s v="TXN_8127390"/>
    <x v="8"/>
    <n v="3"/>
    <n v="1.5"/>
    <n v="4.5"/>
    <x v="2"/>
    <x v="1"/>
    <d v="2023-01-19T00:00:00"/>
  </r>
  <r>
    <s v="TXN_9682798"/>
    <x v="1"/>
    <n v="3"/>
    <n v="3"/>
    <n v="9"/>
    <x v="1"/>
    <x v="1"/>
    <d v="2023-09-15T00:00:00"/>
  </r>
  <r>
    <s v="TXN_9716971"/>
    <x v="3"/>
    <n v="4"/>
    <n v="5"/>
    <n v="20"/>
    <x v="3"/>
    <x v="2"/>
    <d v="2023-06-21T00:00:00"/>
  </r>
  <r>
    <s v="TXN_7827797"/>
    <x v="3"/>
    <n v="3"/>
    <n v="5"/>
    <n v="15"/>
    <x v="2"/>
    <x v="0"/>
    <d v="2023-06-30T00:00:00"/>
  </r>
  <r>
    <s v="TXN_4343391"/>
    <x v="2"/>
    <n v="5"/>
    <n v="1"/>
    <n v="5"/>
    <x v="1"/>
    <x v="0"/>
    <d v="2023-06-01T00:00:00"/>
  </r>
  <r>
    <s v="TXN_6877186"/>
    <x v="2"/>
    <n v="2"/>
    <n v="1"/>
    <n v="2"/>
    <x v="0"/>
    <x v="1"/>
    <d v="2023-12-05T00:00:00"/>
  </r>
  <r>
    <s v="TXN_8162049"/>
    <x v="6"/>
    <n v="1"/>
    <n v="4"/>
    <n v="4"/>
    <x v="3"/>
    <x v="2"/>
    <m/>
  </r>
  <r>
    <s v="TXN_6559173"/>
    <x v="4"/>
    <n v="5"/>
    <n v="4"/>
    <n v="20"/>
    <x v="2"/>
    <x v="2"/>
    <d v="2023-08-09T00:00:00"/>
  </r>
  <r>
    <s v="TXN_9818498"/>
    <x v="4"/>
    <n v="3"/>
    <n v="4"/>
    <n v="12"/>
    <x v="0"/>
    <x v="0"/>
    <d v="2023-09-01T00:00:00"/>
  </r>
  <r>
    <s v="TXN_2520102"/>
    <x v="0"/>
    <n v="1"/>
    <n v="2"/>
    <n v="2"/>
    <x v="3"/>
    <x v="2"/>
    <d v="2023-03-08T00:00:00"/>
  </r>
  <r>
    <s v="TXN_9155044"/>
    <x v="6"/>
    <n v="3"/>
    <n v="4"/>
    <n v="12"/>
    <x v="0"/>
    <x v="1"/>
    <d v="2023-02-28T00:00:00"/>
  </r>
  <r>
    <s v="TXN_5625110"/>
    <x v="3"/>
    <n v="3"/>
    <n v="5"/>
    <n v="15"/>
    <x v="3"/>
    <x v="0"/>
    <d v="2023-11-07T00:00:00"/>
  </r>
  <r>
    <s v="TXN_3923375"/>
    <x v="1"/>
    <n v="5"/>
    <n v="3"/>
    <n v="15"/>
    <x v="0"/>
    <x v="2"/>
    <m/>
  </r>
  <r>
    <s v="TXN_8706498"/>
    <x v="4"/>
    <n v="5"/>
    <n v="4"/>
    <n v="20"/>
    <x v="2"/>
    <x v="2"/>
    <d v="2023-05-08T00:00:00"/>
  </r>
  <r>
    <s v="TXN_1188596"/>
    <x v="7"/>
    <n v="1"/>
    <n v="3"/>
    <n v="3"/>
    <x v="1"/>
    <x v="2"/>
    <d v="2023-10-24T00:00:00"/>
  </r>
  <r>
    <s v="TXN_8085790"/>
    <x v="2"/>
    <n v="4"/>
    <n v="1"/>
    <n v="4"/>
    <x v="1"/>
    <x v="0"/>
    <d v="2023-10-27T00:00:00"/>
  </r>
  <r>
    <s v="TXN_3113823"/>
    <x v="3"/>
    <n v="5"/>
    <n v="5"/>
    <n v="25"/>
    <x v="3"/>
    <x v="1"/>
    <d v="2023-03-01T00:00:00"/>
  </r>
  <r>
    <s v="TXN_3423451"/>
    <x v="3"/>
    <n v="4"/>
    <n v="5"/>
    <n v="20"/>
    <x v="1"/>
    <x v="2"/>
    <d v="2023-10-11T00:00:00"/>
  </r>
  <r>
    <s v="TXN_8010863"/>
    <x v="0"/>
    <n v="2"/>
    <n v="2"/>
    <n v="4"/>
    <x v="2"/>
    <x v="2"/>
    <d v="2023-06-30T00:00:00"/>
  </r>
  <r>
    <s v="TXN_6154626"/>
    <x v="4"/>
    <n v="5"/>
    <n v="4"/>
    <n v="20"/>
    <x v="2"/>
    <x v="0"/>
    <d v="2023-05-06T00:00:00"/>
  </r>
  <r>
    <s v="TXN_5841004"/>
    <x v="2"/>
    <n v="2"/>
    <n v="1"/>
    <n v="2"/>
    <x v="0"/>
    <x v="1"/>
    <d v="2023-04-28T00:00:00"/>
  </r>
  <r>
    <s v="TXN_2886223"/>
    <x v="6"/>
    <n v="5"/>
    <n v="4"/>
    <n v="20"/>
    <x v="0"/>
    <x v="2"/>
    <d v="2023-07-24T00:00:00"/>
  </r>
  <r>
    <s v="TXN_6047742"/>
    <x v="4"/>
    <n v="5"/>
    <n v="4"/>
    <n v="20"/>
    <x v="3"/>
    <x v="1"/>
    <d v="2023-12-11T00:00:00"/>
  </r>
  <r>
    <s v="TXN_5086795"/>
    <x v="3"/>
    <n v="1"/>
    <n v="5"/>
    <n v="5"/>
    <x v="1"/>
    <x v="1"/>
    <d v="2023-04-29T00:00:00"/>
  </r>
  <r>
    <s v="TXN_1943186"/>
    <x v="3"/>
    <n v="2"/>
    <n v="5"/>
    <n v="10"/>
    <x v="1"/>
    <x v="1"/>
    <d v="2023-12-16T00:00:00"/>
  </r>
  <r>
    <s v="TXN_9600016"/>
    <x v="2"/>
    <n v="4"/>
    <n v="1"/>
    <n v="4"/>
    <x v="2"/>
    <x v="0"/>
    <d v="2023-05-06T00:00:00"/>
  </r>
  <r>
    <s v="TXN_7397017"/>
    <x v="3"/>
    <n v="3"/>
    <n v="5"/>
    <n v="15"/>
    <x v="3"/>
    <x v="0"/>
    <m/>
  </r>
  <r>
    <s v="TXN_4305997"/>
    <x v="8"/>
    <n v="3"/>
    <n v="1.5"/>
    <n v="4.5"/>
    <x v="2"/>
    <x v="1"/>
    <d v="2023-11-22T00:00:00"/>
  </r>
  <r>
    <s v="TXN_4364374"/>
    <x v="6"/>
    <n v="2"/>
    <n v="4"/>
    <n v="8"/>
    <x v="1"/>
    <x v="2"/>
    <d v="2023-04-20T00:00:00"/>
  </r>
  <r>
    <s v="TXN_7031347"/>
    <x v="5"/>
    <n v="4"/>
    <n v="3"/>
    <n v="12"/>
    <x v="0"/>
    <x v="0"/>
    <d v="2023-06-09T00:00:00"/>
  </r>
  <r>
    <s v="TXN_9703331"/>
    <x v="1"/>
    <n v="2"/>
    <n v="3"/>
    <n v="6"/>
    <x v="1"/>
    <x v="2"/>
    <d v="2023-09-09T00:00:00"/>
  </r>
  <r>
    <s v="TXN_3851247"/>
    <x v="1"/>
    <n v="1"/>
    <n v="3"/>
    <n v="3"/>
    <x v="0"/>
    <x v="1"/>
    <d v="2023-11-23T00:00:00"/>
  </r>
  <r>
    <s v="TXN_6666679"/>
    <x v="7"/>
    <n v="2"/>
    <n v="3"/>
    <n v="6"/>
    <x v="3"/>
    <x v="2"/>
    <d v="2023-08-25T00:00:00"/>
  </r>
  <r>
    <s v="TXN_5683213"/>
    <x v="4"/>
    <n v="2"/>
    <n v="4"/>
    <n v="8"/>
    <x v="0"/>
    <x v="1"/>
    <d v="2023-10-30T00:00:00"/>
  </r>
  <r>
    <s v="TXN_2052609"/>
    <x v="1"/>
    <n v="4"/>
    <n v="3"/>
    <n v="12"/>
    <x v="0"/>
    <x v="0"/>
    <d v="2023-06-23T00:00:00"/>
  </r>
  <r>
    <s v="TXN_6557825"/>
    <x v="8"/>
    <n v="3"/>
    <n v="1.5"/>
    <n v="4.5"/>
    <x v="2"/>
    <x v="2"/>
    <d v="2023-05-07T00:00:00"/>
  </r>
  <r>
    <s v="TXN_6228999"/>
    <x v="2"/>
    <n v="5"/>
    <n v="1"/>
    <n v="5"/>
    <x v="2"/>
    <x v="2"/>
    <d v="2023-02-07T00:00:00"/>
  </r>
  <r>
    <s v="TXN_4226287"/>
    <x v="2"/>
    <n v="1"/>
    <n v="1"/>
    <n v="1"/>
    <x v="2"/>
    <x v="2"/>
    <d v="2023-04-29T00:00:00"/>
  </r>
  <r>
    <s v="TXN_9868053"/>
    <x v="7"/>
    <n v="3"/>
    <n v="3"/>
    <n v="9"/>
    <x v="3"/>
    <x v="1"/>
    <m/>
  </r>
  <r>
    <s v="TXN_2570829"/>
    <x v="7"/>
    <n v="1"/>
    <n v="3"/>
    <n v="3"/>
    <x v="1"/>
    <x v="0"/>
    <d v="2023-03-31T00:00:00"/>
  </r>
  <r>
    <s v="TXN_7433531"/>
    <x v="6"/>
    <n v="2"/>
    <n v="4"/>
    <n v="8"/>
    <x v="2"/>
    <x v="0"/>
    <d v="2023-08-16T00:00:00"/>
  </r>
  <r>
    <s v="TXN_5190685"/>
    <x v="2"/>
    <n v="4"/>
    <n v="1"/>
    <n v="4"/>
    <x v="1"/>
    <x v="0"/>
    <d v="2023-11-12T00:00:00"/>
  </r>
  <r>
    <s v="TXN_4526296"/>
    <x v="4"/>
    <n v="5"/>
    <n v="4"/>
    <n v="20"/>
    <x v="2"/>
    <x v="0"/>
    <d v="2023-11-23T00:00:00"/>
  </r>
  <r>
    <s v="TXN_5137315"/>
    <x v="3"/>
    <n v="5"/>
    <n v="5"/>
    <n v="25"/>
    <x v="0"/>
    <x v="1"/>
    <d v="2023-01-05T00:00:00"/>
  </r>
  <r>
    <s v="TXN_6513435"/>
    <x v="7"/>
    <n v="3"/>
    <n v="3"/>
    <n v="9"/>
    <x v="2"/>
    <x v="0"/>
    <d v="2023-08-16T00:00:00"/>
  </r>
  <r>
    <s v="TXN_8337899"/>
    <x v="2"/>
    <n v="1"/>
    <n v="1"/>
    <n v="1"/>
    <x v="3"/>
    <x v="2"/>
    <d v="2023-11-10T00:00:00"/>
  </r>
  <r>
    <s v="TXN_2245787"/>
    <x v="3"/>
    <n v="4"/>
    <n v="5"/>
    <n v="20"/>
    <x v="2"/>
    <x v="0"/>
    <d v="2023-10-29T00:00:00"/>
  </r>
  <r>
    <s v="TXN_9203396"/>
    <x v="0"/>
    <n v="5"/>
    <n v="2"/>
    <n v="10"/>
    <x v="3"/>
    <x v="1"/>
    <d v="2023-01-08T00:00:00"/>
  </r>
  <r>
    <s v="TXN_9352671"/>
    <x v="6"/>
    <n v="2"/>
    <n v="4"/>
    <n v="8"/>
    <x v="1"/>
    <x v="0"/>
    <d v="2023-02-10T00:00:00"/>
  </r>
  <r>
    <s v="TXN_6391414"/>
    <x v="4"/>
    <n v="4"/>
    <n v="4"/>
    <n v="16"/>
    <x v="1"/>
    <x v="1"/>
    <d v="2023-05-08T00:00:00"/>
  </r>
  <r>
    <s v="TXN_2613440"/>
    <x v="7"/>
    <n v="3"/>
    <n v="3"/>
    <n v="9"/>
    <x v="0"/>
    <x v="1"/>
    <d v="2023-04-15T00:00:00"/>
  </r>
  <r>
    <s v="TXN_5632564"/>
    <x v="2"/>
    <n v="1"/>
    <n v="1"/>
    <n v="1"/>
    <x v="0"/>
    <x v="2"/>
    <d v="2023-11-04T00:00:00"/>
  </r>
  <r>
    <s v="TXN_4175122"/>
    <x v="5"/>
    <n v="4"/>
    <n v="2"/>
    <n v="8"/>
    <x v="3"/>
    <x v="1"/>
    <d v="2023-09-29T00:00:00"/>
  </r>
  <r>
    <s v="TXN_3475075"/>
    <x v="1"/>
    <n v="3"/>
    <n v="3"/>
    <n v="9"/>
    <x v="1"/>
    <x v="0"/>
    <m/>
  </r>
  <r>
    <s v="TXN_4759797"/>
    <x v="3"/>
    <n v="3"/>
    <n v="5"/>
    <n v="15"/>
    <x v="2"/>
    <x v="1"/>
    <m/>
  </r>
  <r>
    <s v="TXN_4704439"/>
    <x v="0"/>
    <n v="3"/>
    <n v="2"/>
    <n v="6"/>
    <x v="1"/>
    <x v="2"/>
    <d v="2023-06-14T00:00:00"/>
  </r>
  <r>
    <s v="TXN_3292043"/>
    <x v="2"/>
    <n v="5"/>
    <n v="1"/>
    <n v="5"/>
    <x v="2"/>
    <x v="2"/>
    <m/>
  </r>
  <r>
    <s v="TXN_2666340"/>
    <x v="1"/>
    <n v="2"/>
    <n v="3"/>
    <n v="6"/>
    <x v="1"/>
    <x v="0"/>
    <d v="2023-09-29T00:00:00"/>
  </r>
  <r>
    <s v="TXN_8004162"/>
    <x v="3"/>
    <n v="5"/>
    <n v="5"/>
    <n v="25"/>
    <x v="2"/>
    <x v="2"/>
    <d v="2023-11-04T00:00:00"/>
  </r>
  <r>
    <s v="TXN_6539480"/>
    <x v="1"/>
    <n v="5"/>
    <n v="3"/>
    <n v="15"/>
    <x v="1"/>
    <x v="0"/>
    <d v="2023-08-25T00:00:00"/>
  </r>
  <r>
    <s v="TXN_1993002"/>
    <x v="5"/>
    <n v="4"/>
    <n v="3"/>
    <n v="12"/>
    <x v="2"/>
    <x v="0"/>
    <d v="2023-03-30T00:00:00"/>
  </r>
  <r>
    <s v="TXN_5024094"/>
    <x v="8"/>
    <n v="1"/>
    <n v="1.5"/>
    <n v="1.5"/>
    <x v="0"/>
    <x v="2"/>
    <d v="2023-02-20T00:00:00"/>
  </r>
  <r>
    <s v="TXN_7399898"/>
    <x v="7"/>
    <n v="3"/>
    <n v="3"/>
    <n v="9"/>
    <x v="2"/>
    <x v="2"/>
    <d v="2023-02-19T00:00:00"/>
  </r>
  <r>
    <s v="TXN_7675213"/>
    <x v="5"/>
    <n v="2"/>
    <n v="4"/>
    <n v="8"/>
    <x v="3"/>
    <x v="1"/>
    <d v="2023-03-08T00:00:00"/>
  </r>
  <r>
    <s v="TXN_5180728"/>
    <x v="8"/>
    <n v="2"/>
    <n v="1.5"/>
    <n v="3"/>
    <x v="2"/>
    <x v="1"/>
    <d v="2023-09-01T00:00:00"/>
  </r>
  <r>
    <s v="TXN_1442791"/>
    <x v="8"/>
    <n v="1"/>
    <n v="1.5"/>
    <n v="1.5"/>
    <x v="2"/>
    <x v="2"/>
    <d v="2023-03-23T00:00:00"/>
  </r>
  <r>
    <s v="TXN_7169607"/>
    <x v="1"/>
    <n v="2"/>
    <n v="3"/>
    <n v="6"/>
    <x v="0"/>
    <x v="2"/>
    <d v="2023-04-10T00:00:00"/>
  </r>
  <r>
    <s v="TXN_8157817"/>
    <x v="8"/>
    <n v="2"/>
    <n v="1.5"/>
    <n v="3"/>
    <x v="0"/>
    <x v="0"/>
    <d v="2023-08-30T00:00:00"/>
  </r>
  <r>
    <s v="TXN_9105544"/>
    <x v="8"/>
    <n v="3"/>
    <n v="1.5"/>
    <n v="4.5"/>
    <x v="2"/>
    <x v="1"/>
    <d v="2023-07-08T00:00:00"/>
  </r>
  <r>
    <s v="TXN_7620529"/>
    <x v="6"/>
    <n v="2"/>
    <n v="4"/>
    <n v="8"/>
    <x v="1"/>
    <x v="1"/>
    <d v="2023-08-08T00:00:00"/>
  </r>
  <r>
    <s v="TXN_1491670"/>
    <x v="7"/>
    <n v="5"/>
    <n v="3"/>
    <n v="15"/>
    <x v="0"/>
    <x v="0"/>
    <d v="2023-06-28T00:00:00"/>
  </r>
  <r>
    <s v="TXN_8041777"/>
    <x v="1"/>
    <n v="1"/>
    <n v="3"/>
    <n v="3"/>
    <x v="1"/>
    <x v="2"/>
    <d v="2023-11-23T00:00:00"/>
  </r>
  <r>
    <s v="TXN_2366464"/>
    <x v="7"/>
    <n v="1"/>
    <n v="3"/>
    <n v="3"/>
    <x v="1"/>
    <x v="0"/>
    <d v="2023-06-05T00:00:00"/>
  </r>
  <r>
    <s v="TXN_7994275"/>
    <x v="4"/>
    <n v="3"/>
    <n v="4"/>
    <n v="12"/>
    <x v="0"/>
    <x v="1"/>
    <d v="2023-09-18T00:00:00"/>
  </r>
  <r>
    <s v="TXN_6034920"/>
    <x v="2"/>
    <n v="1"/>
    <n v="1"/>
    <n v="1"/>
    <x v="0"/>
    <x v="1"/>
    <d v="2023-09-09T00:00:00"/>
  </r>
  <r>
    <s v="TXN_4673812"/>
    <x v="2"/>
    <n v="2"/>
    <n v="1"/>
    <n v="2"/>
    <x v="3"/>
    <x v="0"/>
    <d v="2023-05-01T00:00:00"/>
  </r>
  <r>
    <s v="TXN_3577949"/>
    <x v="1"/>
    <n v="3"/>
    <n v="3"/>
    <n v="9"/>
    <x v="2"/>
    <x v="0"/>
    <d v="2023-04-25T00:00:00"/>
  </r>
  <r>
    <s v="TXN_4503560"/>
    <x v="1"/>
    <n v="5"/>
    <n v="3"/>
    <n v="15"/>
    <x v="3"/>
    <x v="2"/>
    <d v="2023-02-21T00:00:00"/>
  </r>
  <r>
    <s v="TXN_6543620"/>
    <x v="2"/>
    <n v="2"/>
    <n v="1"/>
    <n v="2"/>
    <x v="1"/>
    <x v="0"/>
    <d v="2023-04-08T00:00:00"/>
  </r>
  <r>
    <s v="TXN_5071222"/>
    <x v="2"/>
    <n v="5"/>
    <n v="1"/>
    <n v="5"/>
    <x v="3"/>
    <x v="2"/>
    <d v="2023-10-25T00:00:00"/>
  </r>
  <r>
    <s v="TXN_1605048"/>
    <x v="1"/>
    <n v="4"/>
    <n v="3"/>
    <n v="12"/>
    <x v="1"/>
    <x v="0"/>
    <d v="2023-03-16T00:00:00"/>
  </r>
  <r>
    <s v="TXN_9907306"/>
    <x v="5"/>
    <n v="3"/>
    <n v="1"/>
    <n v="3"/>
    <x v="3"/>
    <x v="0"/>
    <d v="2023-09-06T00:00:00"/>
  </r>
  <r>
    <s v="TXN_2401829"/>
    <x v="4"/>
    <n v="5"/>
    <n v="4"/>
    <n v="20"/>
    <x v="3"/>
    <x v="0"/>
    <d v="2023-02-07T00:00:00"/>
  </r>
  <r>
    <s v="TXN_8359674"/>
    <x v="3"/>
    <n v="3"/>
    <n v="5"/>
    <n v="15"/>
    <x v="2"/>
    <x v="0"/>
    <d v="2023-10-16T00:00:00"/>
  </r>
  <r>
    <s v="TXN_1937611"/>
    <x v="8"/>
    <n v="2"/>
    <n v="1.5"/>
    <n v="3"/>
    <x v="0"/>
    <x v="0"/>
    <d v="2023-11-02T00:00:00"/>
  </r>
  <r>
    <s v="TXN_5438111"/>
    <x v="4"/>
    <n v="3"/>
    <n v="4"/>
    <n v="12"/>
    <x v="1"/>
    <x v="1"/>
    <d v="2023-01-06T00:00:00"/>
  </r>
  <r>
    <s v="TXN_1442771"/>
    <x v="5"/>
    <n v="1"/>
    <n v="3"/>
    <n v="3"/>
    <x v="2"/>
    <x v="2"/>
    <d v="2023-04-25T00:00:00"/>
  </r>
  <r>
    <s v="TXN_5793057"/>
    <x v="6"/>
    <n v="3"/>
    <n v="4"/>
    <n v="12"/>
    <x v="0"/>
    <x v="1"/>
    <d v="2023-02-25T00:00:00"/>
  </r>
  <r>
    <s v="TXN_1778597"/>
    <x v="2"/>
    <n v="3"/>
    <n v="1"/>
    <n v="3"/>
    <x v="1"/>
    <x v="2"/>
    <d v="2023-09-28T00:00:00"/>
  </r>
  <r>
    <s v="TXN_4076631"/>
    <x v="5"/>
    <n v="4"/>
    <n v="3"/>
    <n v="12"/>
    <x v="1"/>
    <x v="1"/>
    <d v="2023-07-21T00:00:00"/>
  </r>
  <r>
    <s v="TXN_1660757"/>
    <x v="1"/>
    <n v="4"/>
    <n v="3"/>
    <n v="12"/>
    <x v="3"/>
    <x v="0"/>
    <d v="2023-11-08T00:00:00"/>
  </r>
  <r>
    <s v="TXN_7540909"/>
    <x v="8"/>
    <n v="2"/>
    <n v="1.5"/>
    <n v="3"/>
    <x v="3"/>
    <x v="2"/>
    <d v="2023-02-20T00:00:00"/>
  </r>
  <r>
    <s v="TXN_1469462"/>
    <x v="1"/>
    <n v="1"/>
    <n v="3"/>
    <n v="3"/>
    <x v="0"/>
    <x v="0"/>
    <d v="2023-09-05T00:00:00"/>
  </r>
  <r>
    <s v="TXN_4745094"/>
    <x v="8"/>
    <n v="5"/>
    <n v="1.5"/>
    <n v="7.5"/>
    <x v="0"/>
    <x v="2"/>
    <d v="2023-12-05T00:00:00"/>
  </r>
  <r>
    <s v="TXN_3711712"/>
    <x v="3"/>
    <n v="5"/>
    <n v="5"/>
    <n v="25"/>
    <x v="3"/>
    <x v="1"/>
    <d v="2023-08-20T00:00:00"/>
  </r>
  <r>
    <s v="TXN_7909509"/>
    <x v="4"/>
    <n v="3"/>
    <n v="4"/>
    <n v="12"/>
    <x v="2"/>
    <x v="0"/>
    <d v="2023-10-10T00:00:00"/>
  </r>
  <r>
    <s v="TXN_8577850"/>
    <x v="8"/>
    <n v="3"/>
    <n v="1.5"/>
    <n v="4.5"/>
    <x v="2"/>
    <x v="2"/>
    <d v="2023-07-10T00:00:00"/>
  </r>
  <r>
    <s v="TXN_1268480"/>
    <x v="3"/>
    <n v="5"/>
    <n v="5"/>
    <n v="25"/>
    <x v="1"/>
    <x v="1"/>
    <d v="2023-04-18T00:00:00"/>
  </r>
  <r>
    <s v="TXN_6579974"/>
    <x v="6"/>
    <n v="5"/>
    <n v="4"/>
    <n v="20"/>
    <x v="3"/>
    <x v="2"/>
    <d v="2023-05-10T00:00:00"/>
  </r>
  <r>
    <s v="TXN_6957331"/>
    <x v="7"/>
    <n v="3"/>
    <n v="3"/>
    <n v="9"/>
    <x v="3"/>
    <x v="2"/>
    <d v="2023-01-23T00:00:00"/>
  </r>
  <r>
    <s v="TXN_7796731"/>
    <x v="7"/>
    <n v="2"/>
    <n v="3"/>
    <n v="6"/>
    <x v="2"/>
    <x v="1"/>
    <d v="2023-06-09T00:00:00"/>
  </r>
  <r>
    <s v="TXN_7218914"/>
    <x v="5"/>
    <n v="1"/>
    <n v="5"/>
    <n v="5"/>
    <x v="3"/>
    <x v="1"/>
    <d v="2023-01-11T00:00:00"/>
  </r>
  <r>
    <s v="TXN_4869107"/>
    <x v="4"/>
    <n v="3"/>
    <n v="4"/>
    <n v="12"/>
    <x v="3"/>
    <x v="1"/>
    <d v="2023-01-30T00:00:00"/>
  </r>
  <r>
    <s v="TXN_2027203"/>
    <x v="0"/>
    <n v="3"/>
    <n v="2"/>
    <n v="6"/>
    <x v="0"/>
    <x v="2"/>
    <d v="2023-07-15T00:00:00"/>
  </r>
  <r>
    <s v="TXN_6149748"/>
    <x v="3"/>
    <n v="3"/>
    <n v="5"/>
    <n v="15"/>
    <x v="0"/>
    <x v="2"/>
    <d v="2023-07-06T00:00:00"/>
  </r>
  <r>
    <s v="TXN_1633563"/>
    <x v="5"/>
    <n v="4"/>
    <n v="4"/>
    <n v="16"/>
    <x v="3"/>
    <x v="1"/>
    <d v="2023-02-05T00:00:00"/>
  </r>
  <r>
    <s v="TXN_3088330"/>
    <x v="8"/>
    <n v="5"/>
    <n v="1.5"/>
    <n v="7.5"/>
    <x v="3"/>
    <x v="1"/>
    <d v="2023-12-08T00:00:00"/>
  </r>
  <r>
    <s v="TXN_5001766"/>
    <x v="4"/>
    <n v="1"/>
    <n v="4"/>
    <n v="4"/>
    <x v="3"/>
    <x v="2"/>
    <d v="2023-05-24T00:00:00"/>
  </r>
  <r>
    <s v="TXN_5634960"/>
    <x v="8"/>
    <n v="2"/>
    <n v="1.5"/>
    <n v="3"/>
    <x v="2"/>
    <x v="0"/>
    <d v="2023-09-06T00:00:00"/>
  </r>
  <r>
    <s v="TXN_6280724"/>
    <x v="0"/>
    <n v="3"/>
    <n v="2"/>
    <n v="6"/>
    <x v="0"/>
    <x v="2"/>
    <d v="2023-05-02T00:00:00"/>
  </r>
  <r>
    <s v="TXN_7650834"/>
    <x v="3"/>
    <n v="2"/>
    <n v="5"/>
    <n v="10"/>
    <x v="1"/>
    <x v="0"/>
    <d v="2023-10-29T00:00:00"/>
  </r>
  <r>
    <s v="TXN_4107857"/>
    <x v="8"/>
    <n v="1"/>
    <n v="1.5"/>
    <n v="1.5"/>
    <x v="0"/>
    <x v="0"/>
    <d v="2023-01-29T00:00:00"/>
  </r>
  <r>
    <s v="TXN_2052771"/>
    <x v="8"/>
    <n v="4"/>
    <n v="1.5"/>
    <n v="6"/>
    <x v="3"/>
    <x v="0"/>
    <m/>
  </r>
  <r>
    <s v="TXN_4635037"/>
    <x v="7"/>
    <n v="1"/>
    <n v="3"/>
    <n v="3"/>
    <x v="3"/>
    <x v="1"/>
    <d v="2023-05-17T00:00:00"/>
  </r>
  <r>
    <s v="TXN_2160119"/>
    <x v="5"/>
    <n v="5"/>
    <n v="4"/>
    <n v="20"/>
    <x v="1"/>
    <x v="2"/>
    <d v="2023-12-27T00:00:00"/>
  </r>
  <r>
    <s v="TXN_9103776"/>
    <x v="8"/>
    <n v="4"/>
    <n v="1.5"/>
    <n v="6"/>
    <x v="0"/>
    <x v="1"/>
    <d v="2023-05-03T00:00:00"/>
  </r>
  <r>
    <s v="TXN_7538221"/>
    <x v="1"/>
    <n v="5"/>
    <n v="3"/>
    <n v="15"/>
    <x v="0"/>
    <x v="0"/>
    <d v="2023-03-31T00:00:00"/>
  </r>
  <r>
    <s v="TXN_4565754"/>
    <x v="4"/>
    <m/>
    <n v="4"/>
    <m/>
    <x v="3"/>
    <x v="0"/>
    <d v="2023-10-06T00:00:00"/>
  </r>
  <r>
    <s v="TXN_8807333"/>
    <x v="6"/>
    <n v="5"/>
    <n v="4"/>
    <n v="20"/>
    <x v="3"/>
    <x v="1"/>
    <d v="2023-03-18T00:00:00"/>
  </r>
  <r>
    <s v="TXN_8006056"/>
    <x v="7"/>
    <n v="4"/>
    <n v="3"/>
    <n v="12"/>
    <x v="0"/>
    <x v="0"/>
    <d v="2023-12-19T00:00:00"/>
  </r>
  <r>
    <s v="TXN_2216532"/>
    <x v="8"/>
    <n v="3"/>
    <n v="1.5"/>
    <n v="4.5"/>
    <x v="1"/>
    <x v="2"/>
    <d v="2023-12-27T00:00:00"/>
  </r>
  <r>
    <s v="TXN_6553720"/>
    <x v="0"/>
    <n v="4"/>
    <n v="2"/>
    <n v="8"/>
    <x v="2"/>
    <x v="1"/>
    <d v="2023-02-02T00:00:00"/>
  </r>
  <r>
    <s v="TXN_5828907"/>
    <x v="2"/>
    <n v="5"/>
    <n v="1"/>
    <n v="5"/>
    <x v="3"/>
    <x v="2"/>
    <d v="2023-05-13T00:00:00"/>
  </r>
  <r>
    <s v="TXN_2336248"/>
    <x v="1"/>
    <n v="5"/>
    <n v="3"/>
    <n v="15"/>
    <x v="2"/>
    <x v="0"/>
    <d v="2023-10-19T00:00:00"/>
  </r>
  <r>
    <s v="TXN_3321611"/>
    <x v="5"/>
    <n v="3"/>
    <n v="4"/>
    <n v="12"/>
    <x v="2"/>
    <x v="0"/>
    <d v="2023-09-09T00:00:00"/>
  </r>
  <r>
    <s v="TXN_6022618"/>
    <x v="4"/>
    <n v="1"/>
    <n v="4"/>
    <n v="4"/>
    <x v="3"/>
    <x v="1"/>
    <d v="2023-12-18T00:00:00"/>
  </r>
  <r>
    <s v="TXN_1665810"/>
    <x v="6"/>
    <n v="5"/>
    <n v="4"/>
    <n v="20"/>
    <x v="3"/>
    <x v="1"/>
    <d v="2023-02-26T00:00:00"/>
  </r>
  <r>
    <s v="TXN_1399696"/>
    <x v="1"/>
    <n v="5"/>
    <n v="3"/>
    <n v="15"/>
    <x v="1"/>
    <x v="1"/>
    <d v="2023-04-08T00:00:00"/>
  </r>
  <r>
    <s v="TXN_9154381"/>
    <x v="2"/>
    <n v="2"/>
    <n v="1"/>
    <n v="2"/>
    <x v="0"/>
    <x v="1"/>
    <d v="2023-04-21T00:00:00"/>
  </r>
  <r>
    <s v="TXN_5333966"/>
    <x v="7"/>
    <n v="4"/>
    <n v="3"/>
    <n v="12"/>
    <x v="2"/>
    <x v="1"/>
    <d v="2023-06-11T00:00:00"/>
  </r>
  <r>
    <s v="TXN_8361813"/>
    <x v="2"/>
    <n v="3"/>
    <n v="1"/>
    <n v="3"/>
    <x v="1"/>
    <x v="1"/>
    <d v="2023-08-01T00:00:00"/>
  </r>
  <r>
    <s v="TXN_9841222"/>
    <x v="6"/>
    <n v="5"/>
    <n v="4"/>
    <n v="20"/>
    <x v="0"/>
    <x v="2"/>
    <d v="2023-04-23T00:00:00"/>
  </r>
  <r>
    <s v="TXN_4754346"/>
    <x v="7"/>
    <n v="4"/>
    <n v="3"/>
    <n v="12"/>
    <x v="0"/>
    <x v="1"/>
    <d v="2023-08-31T00:00:00"/>
  </r>
  <r>
    <s v="TXN_5910268"/>
    <x v="3"/>
    <n v="4"/>
    <n v="5"/>
    <n v="20"/>
    <x v="2"/>
    <x v="0"/>
    <d v="2023-07-04T00:00:00"/>
  </r>
  <r>
    <s v="TXN_9433806"/>
    <x v="0"/>
    <n v="1"/>
    <n v="2"/>
    <n v="2"/>
    <x v="2"/>
    <x v="2"/>
    <m/>
  </r>
  <r>
    <s v="TXN_5227574"/>
    <x v="7"/>
    <n v="4"/>
    <n v="3"/>
    <n v="12"/>
    <x v="3"/>
    <x v="2"/>
    <d v="2023-04-10T00:00:00"/>
  </r>
  <r>
    <s v="TXN_5485774"/>
    <x v="0"/>
    <n v="2"/>
    <n v="2"/>
    <n v="4"/>
    <x v="0"/>
    <x v="2"/>
    <d v="2023-07-20T00:00:00"/>
  </r>
  <r>
    <s v="TXN_6504165"/>
    <x v="7"/>
    <n v="3"/>
    <n v="3"/>
    <n v="9"/>
    <x v="1"/>
    <x v="0"/>
    <d v="2023-02-13T00:00:00"/>
  </r>
  <r>
    <s v="TXN_6297232"/>
    <x v="0"/>
    <m/>
    <n v="2"/>
    <m/>
    <x v="2"/>
    <x v="2"/>
    <d v="2023-04-07T00:00:00"/>
  </r>
  <r>
    <s v="TXN_2391659"/>
    <x v="8"/>
    <n v="5"/>
    <n v="1.5"/>
    <n v="7.5"/>
    <x v="2"/>
    <x v="2"/>
    <d v="2023-02-16T00:00:00"/>
  </r>
  <r>
    <s v="TXN_8964493"/>
    <x v="4"/>
    <n v="1"/>
    <n v="4"/>
    <n v="4"/>
    <x v="1"/>
    <x v="2"/>
    <d v="2023-02-10T00:00:00"/>
  </r>
  <r>
    <s v="TXN_1931832"/>
    <x v="5"/>
    <n v="4"/>
    <n v="4"/>
    <n v="16"/>
    <x v="0"/>
    <x v="2"/>
    <d v="2023-05-07T00:00:00"/>
  </r>
  <r>
    <s v="TXN_4939667"/>
    <x v="3"/>
    <n v="1"/>
    <n v="5"/>
    <n v="5"/>
    <x v="1"/>
    <x v="0"/>
    <d v="2023-01-23T00:00:00"/>
  </r>
  <r>
    <s v="TXN_7126803"/>
    <x v="6"/>
    <n v="5"/>
    <n v="4"/>
    <n v="20"/>
    <x v="3"/>
    <x v="0"/>
    <d v="2023-05-24T00:00:00"/>
  </r>
  <r>
    <s v="TXN_9649878"/>
    <x v="1"/>
    <n v="5"/>
    <n v="3"/>
    <n v="15"/>
    <x v="1"/>
    <x v="2"/>
    <d v="2023-12-24T00:00:00"/>
  </r>
  <r>
    <s v="TXN_5086063"/>
    <x v="7"/>
    <n v="3"/>
    <n v="3"/>
    <n v="9"/>
    <x v="3"/>
    <x v="0"/>
    <d v="2023-09-28T00:00:00"/>
  </r>
  <r>
    <s v="TXN_5026564"/>
    <x v="4"/>
    <n v="3"/>
    <n v="4"/>
    <n v="12"/>
    <x v="1"/>
    <x v="2"/>
    <d v="2023-09-12T00:00:00"/>
  </r>
  <r>
    <s v="TXN_9680054"/>
    <x v="1"/>
    <n v="3"/>
    <n v="3"/>
    <n v="9"/>
    <x v="2"/>
    <x v="1"/>
    <d v="2023-03-14T00:00:00"/>
  </r>
  <r>
    <s v="TXN_7299015"/>
    <x v="0"/>
    <n v="5"/>
    <n v="2"/>
    <n v="10"/>
    <x v="2"/>
    <x v="0"/>
    <d v="2023-12-02T00:00:00"/>
  </r>
  <r>
    <s v="TXN_6040824"/>
    <x v="6"/>
    <n v="1"/>
    <n v="4"/>
    <n v="4"/>
    <x v="1"/>
    <x v="2"/>
    <d v="2023-01-07T00:00:00"/>
  </r>
  <r>
    <s v="TXN_4520062"/>
    <x v="5"/>
    <n v="2"/>
    <n v="1.5"/>
    <n v="3"/>
    <x v="2"/>
    <x v="1"/>
    <d v="2023-01-10T00:00:00"/>
  </r>
  <r>
    <s v="TXN_5889049"/>
    <x v="2"/>
    <n v="2"/>
    <n v="1"/>
    <n v="2"/>
    <x v="2"/>
    <x v="1"/>
    <d v="2023-07-14T00:00:00"/>
  </r>
  <r>
    <s v="TXN_1177438"/>
    <x v="3"/>
    <n v="4"/>
    <n v="5"/>
    <n v="20"/>
    <x v="2"/>
    <x v="0"/>
    <d v="2023-08-21T00:00:00"/>
  </r>
  <r>
    <s v="TXN_6345691"/>
    <x v="5"/>
    <n v="5"/>
    <n v="4"/>
    <n v="20"/>
    <x v="0"/>
    <x v="2"/>
    <d v="2023-09-03T00:00:00"/>
  </r>
  <r>
    <s v="TXN_6523635"/>
    <x v="5"/>
    <n v="2"/>
    <n v="5"/>
    <n v="10"/>
    <x v="2"/>
    <x v="0"/>
    <d v="2023-04-22T00:00:00"/>
  </r>
  <r>
    <s v="TXN_7494217"/>
    <x v="2"/>
    <n v="1"/>
    <n v="1"/>
    <n v="1"/>
    <x v="1"/>
    <x v="1"/>
    <m/>
  </r>
  <r>
    <s v="TXN_6854151"/>
    <x v="6"/>
    <n v="3"/>
    <n v="4"/>
    <n v="12"/>
    <x v="0"/>
    <x v="1"/>
    <d v="2023-02-07T00:00:00"/>
  </r>
  <r>
    <s v="TXN_6862075"/>
    <x v="5"/>
    <n v="3"/>
    <n v="3"/>
    <n v="9"/>
    <x v="0"/>
    <x v="1"/>
    <d v="2023-08-13T00:00:00"/>
  </r>
  <r>
    <s v="TXN_9202272"/>
    <x v="6"/>
    <n v="3"/>
    <n v="4"/>
    <n v="12"/>
    <x v="2"/>
    <x v="2"/>
    <d v="2023-11-29T00:00:00"/>
  </r>
  <r>
    <s v="TXN_8620934"/>
    <x v="2"/>
    <n v="5"/>
    <n v="1"/>
    <n v="5"/>
    <x v="2"/>
    <x v="1"/>
    <d v="2023-09-10T00:00:00"/>
  </r>
  <r>
    <s v="TXN_8133627"/>
    <x v="1"/>
    <n v="5"/>
    <n v="3"/>
    <n v="15"/>
    <x v="1"/>
    <x v="1"/>
    <d v="2023-08-15T00:00:00"/>
  </r>
  <r>
    <s v="TXN_5777224"/>
    <x v="8"/>
    <n v="3"/>
    <n v="1.5"/>
    <n v="4.5"/>
    <x v="2"/>
    <x v="2"/>
    <d v="2023-09-16T00:00:00"/>
  </r>
  <r>
    <s v="TXN_1895899"/>
    <x v="4"/>
    <n v="4"/>
    <n v="4"/>
    <n v="16"/>
    <x v="0"/>
    <x v="1"/>
    <d v="2023-07-17T00:00:00"/>
  </r>
  <r>
    <s v="TXN_3658211"/>
    <x v="1"/>
    <n v="4"/>
    <n v="3"/>
    <n v="12"/>
    <x v="1"/>
    <x v="0"/>
    <d v="2023-04-02T00:00:00"/>
  </r>
  <r>
    <s v="TXN_5117140"/>
    <x v="2"/>
    <n v="5"/>
    <n v="1"/>
    <n v="5"/>
    <x v="3"/>
    <x v="0"/>
    <d v="2023-08-17T00:00:00"/>
  </r>
  <r>
    <s v="TXN_2513950"/>
    <x v="4"/>
    <n v="4"/>
    <n v="4"/>
    <n v="16"/>
    <x v="2"/>
    <x v="1"/>
    <d v="2023-04-03T00:00:00"/>
  </r>
  <r>
    <s v="TXN_7890585"/>
    <x v="1"/>
    <n v="5"/>
    <n v="3"/>
    <n v="15"/>
    <x v="1"/>
    <x v="2"/>
    <d v="2023-08-11T00:00:00"/>
  </r>
  <r>
    <s v="TXN_5106045"/>
    <x v="0"/>
    <n v="3"/>
    <n v="2"/>
    <n v="6"/>
    <x v="0"/>
    <x v="2"/>
    <d v="2023-11-17T00:00:00"/>
  </r>
  <r>
    <s v="TXN_5177565"/>
    <x v="6"/>
    <n v="5"/>
    <n v="4"/>
    <n v="20"/>
    <x v="2"/>
    <x v="2"/>
    <d v="2023-10-24T00:00:00"/>
  </r>
  <r>
    <s v="TXN_2792107"/>
    <x v="1"/>
    <n v="1"/>
    <n v="3"/>
    <n v="3"/>
    <x v="2"/>
    <x v="2"/>
    <d v="2023-07-10T00:00:00"/>
  </r>
  <r>
    <s v="TXN_4036747"/>
    <x v="4"/>
    <n v="1"/>
    <n v="4"/>
    <n v="4"/>
    <x v="1"/>
    <x v="0"/>
    <d v="2023-05-27T00:00:00"/>
  </r>
  <r>
    <s v="TXN_2955691"/>
    <x v="1"/>
    <n v="1"/>
    <n v="3"/>
    <n v="3"/>
    <x v="2"/>
    <x v="0"/>
    <d v="2023-04-04T00:00:00"/>
  </r>
  <r>
    <s v="TXN_6324736"/>
    <x v="6"/>
    <n v="5"/>
    <n v="4"/>
    <n v="20"/>
    <x v="0"/>
    <x v="2"/>
    <m/>
  </r>
  <r>
    <s v="TXN_9641364"/>
    <x v="2"/>
    <n v="3"/>
    <n v="1"/>
    <n v="3"/>
    <x v="2"/>
    <x v="1"/>
    <d v="2023-03-04T00:00:00"/>
  </r>
  <r>
    <s v="TXN_3488590"/>
    <x v="2"/>
    <n v="2"/>
    <n v="1"/>
    <n v="2"/>
    <x v="0"/>
    <x v="0"/>
    <d v="2023-12-28T00:00:00"/>
  </r>
  <r>
    <s v="TXN_9720549"/>
    <x v="2"/>
    <n v="1"/>
    <n v="1"/>
    <n v="1"/>
    <x v="0"/>
    <x v="1"/>
    <d v="2023-07-30T00:00:00"/>
  </r>
  <r>
    <s v="TXN_2477550"/>
    <x v="5"/>
    <n v="2"/>
    <n v="4"/>
    <n v="8"/>
    <x v="1"/>
    <x v="0"/>
    <d v="2023-02-02T00:00:00"/>
  </r>
  <r>
    <s v="TXN_2172960"/>
    <x v="4"/>
    <n v="1"/>
    <n v="4"/>
    <n v="4"/>
    <x v="3"/>
    <x v="2"/>
    <d v="2023-07-04T00:00:00"/>
  </r>
  <r>
    <s v="TXN_5901182"/>
    <x v="6"/>
    <n v="5"/>
    <n v="4"/>
    <n v="20"/>
    <x v="3"/>
    <x v="1"/>
    <d v="2023-07-15T00:00:00"/>
  </r>
  <r>
    <s v="TXN_4695415"/>
    <x v="1"/>
    <n v="5"/>
    <n v="3"/>
    <n v="15"/>
    <x v="2"/>
    <x v="1"/>
    <m/>
  </r>
  <r>
    <s v="TXN_1923984"/>
    <x v="1"/>
    <n v="2"/>
    <n v="3"/>
    <n v="6"/>
    <x v="0"/>
    <x v="0"/>
    <d v="2023-08-31T00:00:00"/>
  </r>
  <r>
    <s v="TXN_4163149"/>
    <x v="3"/>
    <n v="1"/>
    <n v="5"/>
    <n v="5"/>
    <x v="1"/>
    <x v="2"/>
    <d v="2023-07-30T00:00:00"/>
  </r>
  <r>
    <s v="TXN_5996894"/>
    <x v="7"/>
    <n v="1"/>
    <n v="3"/>
    <n v="3"/>
    <x v="0"/>
    <x v="2"/>
    <d v="2023-06-12T00:00:00"/>
  </r>
  <r>
    <s v="TXN_2979899"/>
    <x v="1"/>
    <n v="5"/>
    <n v="3"/>
    <n v="15"/>
    <x v="3"/>
    <x v="2"/>
    <d v="2023-05-26T00:00:00"/>
  </r>
  <r>
    <s v="TXN_7762739"/>
    <x v="6"/>
    <n v="4"/>
    <n v="4"/>
    <n v="16"/>
    <x v="2"/>
    <x v="1"/>
    <d v="2023-11-05T00:00:00"/>
  </r>
  <r>
    <s v="TXN_6392156"/>
    <x v="2"/>
    <n v="5"/>
    <n v="1"/>
    <n v="5"/>
    <x v="0"/>
    <x v="0"/>
    <d v="2023-11-12T00:00:00"/>
  </r>
  <r>
    <s v="TXN_7278248"/>
    <x v="3"/>
    <n v="5"/>
    <n v="5"/>
    <n v="25"/>
    <x v="1"/>
    <x v="0"/>
    <d v="2023-10-23T00:00:00"/>
  </r>
  <r>
    <s v="TXN_1315847"/>
    <x v="1"/>
    <n v="1"/>
    <n v="3"/>
    <n v="3"/>
    <x v="3"/>
    <x v="1"/>
    <d v="2023-06-19T00:00:00"/>
  </r>
  <r>
    <s v="TXN_9367729"/>
    <x v="0"/>
    <n v="2"/>
    <n v="2"/>
    <n v="4"/>
    <x v="2"/>
    <x v="0"/>
    <d v="2023-10-10T00:00:00"/>
  </r>
  <r>
    <s v="TXN_1464150"/>
    <x v="0"/>
    <n v="5"/>
    <n v="2"/>
    <n v="10"/>
    <x v="1"/>
    <x v="0"/>
    <d v="2023-02-14T00:00:00"/>
  </r>
  <r>
    <s v="TXN_1746001"/>
    <x v="2"/>
    <n v="3"/>
    <n v="1"/>
    <n v="3"/>
    <x v="3"/>
    <x v="0"/>
    <d v="2023-03-15T00:00:00"/>
  </r>
  <r>
    <s v="TXN_4203560"/>
    <x v="7"/>
    <n v="1"/>
    <n v="3"/>
    <n v="3"/>
    <x v="2"/>
    <x v="2"/>
    <d v="2023-08-20T00:00:00"/>
  </r>
  <r>
    <s v="TXN_1493452"/>
    <x v="6"/>
    <n v="3"/>
    <n v="4"/>
    <n v="12"/>
    <x v="2"/>
    <x v="2"/>
    <d v="2023-11-08T00:00:00"/>
  </r>
  <r>
    <s v="TXN_4171998"/>
    <x v="6"/>
    <n v="2"/>
    <n v="4"/>
    <n v="8"/>
    <x v="2"/>
    <x v="0"/>
    <d v="2023-10-18T00:00:00"/>
  </r>
  <r>
    <s v="TXN_4528664"/>
    <x v="3"/>
    <n v="3"/>
    <n v="5"/>
    <n v="15"/>
    <x v="1"/>
    <x v="1"/>
    <d v="2023-12-31T00:00:00"/>
  </r>
  <r>
    <s v="TXN_1775278"/>
    <x v="7"/>
    <n v="4"/>
    <n v="3"/>
    <n v="12"/>
    <x v="0"/>
    <x v="0"/>
    <d v="2023-02-22T00:00:00"/>
  </r>
  <r>
    <s v="TXN_1459078"/>
    <x v="2"/>
    <n v="5"/>
    <n v="1"/>
    <n v="5"/>
    <x v="2"/>
    <x v="1"/>
    <d v="2023-11-10T00:00:00"/>
  </r>
  <r>
    <s v="TXN_6252589"/>
    <x v="4"/>
    <n v="2"/>
    <n v="4"/>
    <n v="8"/>
    <x v="3"/>
    <x v="1"/>
    <m/>
  </r>
  <r>
    <s v="TXN_1411473"/>
    <x v="0"/>
    <n v="3"/>
    <n v="2"/>
    <n v="6"/>
    <x v="0"/>
    <x v="1"/>
    <d v="2023-01-04T00:00:00"/>
  </r>
  <r>
    <s v="TXN_5132747"/>
    <x v="0"/>
    <n v="2"/>
    <n v="2"/>
    <n v="4"/>
    <x v="2"/>
    <x v="2"/>
    <d v="2023-10-28T00:00:00"/>
  </r>
  <r>
    <s v="TXN_9851026"/>
    <x v="3"/>
    <n v="2"/>
    <n v="5"/>
    <n v="10"/>
    <x v="2"/>
    <x v="0"/>
    <m/>
  </r>
  <r>
    <s v="TXN_7684072"/>
    <x v="8"/>
    <n v="2"/>
    <n v="1.5"/>
    <n v="3"/>
    <x v="0"/>
    <x v="2"/>
    <d v="2023-05-12T00:00:00"/>
  </r>
  <r>
    <s v="TXN_3660999"/>
    <x v="1"/>
    <n v="3"/>
    <n v="3"/>
    <n v="9"/>
    <x v="3"/>
    <x v="2"/>
    <d v="2023-02-02T00:00:00"/>
  </r>
  <r>
    <s v="TXN_7828462"/>
    <x v="5"/>
    <n v="3"/>
    <n v="1.5"/>
    <n v="4.5"/>
    <x v="1"/>
    <x v="0"/>
    <d v="2023-01-11T00:00:00"/>
  </r>
  <r>
    <s v="TXN_3976744"/>
    <x v="7"/>
    <n v="1"/>
    <n v="3"/>
    <n v="3"/>
    <x v="1"/>
    <x v="2"/>
    <d v="2023-12-25T00:00:00"/>
  </r>
  <r>
    <s v="TXN_3397978"/>
    <x v="4"/>
    <n v="5"/>
    <n v="4"/>
    <n v="20"/>
    <x v="3"/>
    <x v="1"/>
    <d v="2023-08-01T00:00:00"/>
  </r>
  <r>
    <s v="TXN_8568597"/>
    <x v="7"/>
    <n v="1"/>
    <n v="3"/>
    <n v="3"/>
    <x v="3"/>
    <x v="0"/>
    <d v="2023-04-03T00:00:00"/>
  </r>
  <r>
    <s v="TXN_4152709"/>
    <x v="6"/>
    <n v="4"/>
    <n v="4"/>
    <n v="16"/>
    <x v="2"/>
    <x v="2"/>
    <d v="2023-12-03T00:00:00"/>
  </r>
  <r>
    <s v="TXN_5222110"/>
    <x v="0"/>
    <n v="2"/>
    <n v="2"/>
    <n v="4"/>
    <x v="2"/>
    <x v="2"/>
    <d v="2023-01-30T00:00:00"/>
  </r>
  <r>
    <s v="TXN_1987716"/>
    <x v="0"/>
    <n v="1"/>
    <n v="2"/>
    <n v="2"/>
    <x v="0"/>
    <x v="2"/>
    <d v="2023-11-13T00:00:00"/>
  </r>
  <r>
    <s v="TXN_3643348"/>
    <x v="6"/>
    <n v="4"/>
    <n v="4"/>
    <n v="16"/>
    <x v="3"/>
    <x v="1"/>
    <d v="2023-09-06T00:00:00"/>
  </r>
  <r>
    <s v="TXN_6537449"/>
    <x v="3"/>
    <n v="2"/>
    <n v="5"/>
    <n v="10"/>
    <x v="2"/>
    <x v="1"/>
    <d v="2023-01-15T00:00:00"/>
  </r>
  <r>
    <s v="TXN_1244509"/>
    <x v="4"/>
    <n v="3"/>
    <n v="4"/>
    <n v="12"/>
    <x v="0"/>
    <x v="1"/>
    <d v="2023-02-21T00:00:00"/>
  </r>
  <r>
    <s v="TXN_3490516"/>
    <x v="0"/>
    <n v="5"/>
    <n v="2"/>
    <n v="10"/>
    <x v="2"/>
    <x v="2"/>
    <d v="2023-04-28T00:00:00"/>
  </r>
  <r>
    <s v="TXN_2726254"/>
    <x v="4"/>
    <n v="3"/>
    <n v="4"/>
    <n v="12"/>
    <x v="2"/>
    <x v="0"/>
    <d v="2023-06-08T00:00:00"/>
  </r>
  <r>
    <s v="TXN_9917989"/>
    <x v="4"/>
    <n v="4"/>
    <n v="4"/>
    <n v="16"/>
    <x v="3"/>
    <x v="0"/>
    <d v="2023-10-20T00:00:00"/>
  </r>
  <r>
    <s v="TXN_4933689"/>
    <x v="1"/>
    <n v="1"/>
    <n v="3"/>
    <n v="3"/>
    <x v="1"/>
    <x v="1"/>
    <m/>
  </r>
  <r>
    <s v="TXN_4168628"/>
    <x v="8"/>
    <n v="4"/>
    <n v="1.5"/>
    <n v="6"/>
    <x v="3"/>
    <x v="1"/>
    <d v="2023-04-27T00:00:00"/>
  </r>
  <r>
    <s v="TXN_2490026"/>
    <x v="1"/>
    <n v="5"/>
    <n v="3"/>
    <n v="15"/>
    <x v="2"/>
    <x v="2"/>
    <d v="2023-10-21T00:00:00"/>
  </r>
  <r>
    <s v="TXN_7327440"/>
    <x v="5"/>
    <n v="3"/>
    <n v="1"/>
    <n v="3"/>
    <x v="1"/>
    <x v="1"/>
    <d v="2023-05-02T00:00:00"/>
  </r>
  <r>
    <s v="TXN_3597656"/>
    <x v="0"/>
    <n v="4"/>
    <n v="2"/>
    <n v="8"/>
    <x v="3"/>
    <x v="2"/>
    <d v="2023-04-03T00:00:00"/>
  </r>
  <r>
    <s v="TXN_1765281"/>
    <x v="4"/>
    <n v="3"/>
    <n v="4"/>
    <n v="12"/>
    <x v="0"/>
    <x v="1"/>
    <d v="2023-01-28T00:00:00"/>
  </r>
  <r>
    <s v="TXN_4667663"/>
    <x v="1"/>
    <n v="5"/>
    <n v="3"/>
    <n v="15"/>
    <x v="0"/>
    <x v="2"/>
    <d v="2023-03-07T00:00:00"/>
  </r>
  <r>
    <s v="TXN_8571235"/>
    <x v="1"/>
    <n v="1"/>
    <n v="3"/>
    <n v="3"/>
    <x v="1"/>
    <x v="0"/>
    <d v="2023-03-01T00:00:00"/>
  </r>
  <r>
    <s v="TXN_2580487"/>
    <x v="1"/>
    <n v="1"/>
    <n v="3"/>
    <n v="3"/>
    <x v="2"/>
    <x v="0"/>
    <d v="2023-01-13T00:00:00"/>
  </r>
  <r>
    <s v="TXN_2611683"/>
    <x v="1"/>
    <n v="3"/>
    <n v="3"/>
    <n v="9"/>
    <x v="3"/>
    <x v="1"/>
    <d v="2023-04-11T00:00:00"/>
  </r>
  <r>
    <s v="TXN_4271744"/>
    <x v="7"/>
    <n v="3"/>
    <n v="3"/>
    <n v="9"/>
    <x v="3"/>
    <x v="0"/>
    <d v="2023-06-19T00:00:00"/>
  </r>
  <r>
    <s v="TXN_2917072"/>
    <x v="8"/>
    <n v="3"/>
    <n v="1.5"/>
    <n v="4.5"/>
    <x v="2"/>
    <x v="0"/>
    <d v="2023-01-25T00:00:00"/>
  </r>
  <r>
    <s v="TXN_4653861"/>
    <x v="6"/>
    <n v="4"/>
    <n v="4"/>
    <n v="16"/>
    <x v="1"/>
    <x v="0"/>
    <m/>
  </r>
  <r>
    <s v="TXN_5777903"/>
    <x v="0"/>
    <n v="2"/>
    <n v="2"/>
    <n v="4"/>
    <x v="2"/>
    <x v="0"/>
    <d v="2023-05-15T00:00:00"/>
  </r>
  <r>
    <s v="TXN_5153086"/>
    <x v="8"/>
    <n v="3"/>
    <n v="1.5"/>
    <n v="4.5"/>
    <x v="1"/>
    <x v="1"/>
    <d v="2023-06-27T00:00:00"/>
  </r>
  <r>
    <s v="TXN_6004967"/>
    <x v="3"/>
    <n v="4"/>
    <n v="5"/>
    <n v="20"/>
    <x v="0"/>
    <x v="2"/>
    <d v="2023-01-13T00:00:00"/>
  </r>
  <r>
    <s v="TXN_3435509"/>
    <x v="6"/>
    <n v="1"/>
    <n v="4"/>
    <n v="4"/>
    <x v="1"/>
    <x v="0"/>
    <d v="2023-08-19T00:00:00"/>
  </r>
  <r>
    <s v="TXN_2488232"/>
    <x v="8"/>
    <n v="2"/>
    <n v="1.5"/>
    <n v="3"/>
    <x v="2"/>
    <x v="2"/>
    <d v="2023-10-05T00:00:00"/>
  </r>
  <r>
    <s v="TXN_8771574"/>
    <x v="0"/>
    <n v="3"/>
    <n v="2"/>
    <n v="6"/>
    <x v="3"/>
    <x v="0"/>
    <d v="2023-05-03T00:00:00"/>
  </r>
  <r>
    <s v="TXN_1181626"/>
    <x v="2"/>
    <n v="4"/>
    <n v="1"/>
    <n v="4"/>
    <x v="2"/>
    <x v="0"/>
    <d v="2023-02-06T00:00:00"/>
  </r>
  <r>
    <s v="TXN_4081759"/>
    <x v="5"/>
    <n v="2"/>
    <n v="2"/>
    <n v="4"/>
    <x v="2"/>
    <x v="2"/>
    <d v="2023-09-30T00:00:00"/>
  </r>
  <r>
    <s v="TXN_6177161"/>
    <x v="8"/>
    <n v="5"/>
    <n v="1.5"/>
    <n v="7.5"/>
    <x v="0"/>
    <x v="1"/>
    <d v="2023-04-01T00:00:00"/>
  </r>
  <r>
    <s v="TXN_2500345"/>
    <x v="3"/>
    <n v="5"/>
    <n v="5"/>
    <n v="25"/>
    <x v="2"/>
    <x v="1"/>
    <d v="2023-04-16T00:00:00"/>
  </r>
  <r>
    <s v="TXN_1228652"/>
    <x v="3"/>
    <n v="1"/>
    <n v="5"/>
    <n v="5"/>
    <x v="1"/>
    <x v="1"/>
    <d v="2023-07-24T00:00:00"/>
  </r>
  <r>
    <s v="TXN_4476151"/>
    <x v="7"/>
    <n v="4"/>
    <n v="3"/>
    <n v="12"/>
    <x v="0"/>
    <x v="1"/>
    <d v="2023-02-15T00:00:00"/>
  </r>
  <r>
    <s v="TXN_7990902"/>
    <x v="0"/>
    <n v="5"/>
    <n v="2"/>
    <n v="10"/>
    <x v="2"/>
    <x v="1"/>
    <m/>
  </r>
  <r>
    <s v="TXN_6557174"/>
    <x v="3"/>
    <n v="4"/>
    <n v="5"/>
    <n v="20"/>
    <x v="0"/>
    <x v="1"/>
    <d v="2023-08-20T00:00:00"/>
  </r>
  <r>
    <s v="TXN_5089516"/>
    <x v="4"/>
    <n v="2"/>
    <n v="4"/>
    <n v="8"/>
    <x v="0"/>
    <x v="1"/>
    <d v="2023-11-04T00:00:00"/>
  </r>
  <r>
    <s v="TXN_5915706"/>
    <x v="8"/>
    <n v="1"/>
    <n v="1.5"/>
    <n v="1.5"/>
    <x v="1"/>
    <x v="1"/>
    <d v="2023-08-18T00:00:00"/>
  </r>
  <r>
    <s v="TXN_9341159"/>
    <x v="1"/>
    <n v="5"/>
    <n v="3"/>
    <n v="15"/>
    <x v="2"/>
    <x v="2"/>
    <d v="2023-09-29T00:00:00"/>
  </r>
  <r>
    <s v="TXN_1870303"/>
    <x v="0"/>
    <n v="4"/>
    <n v="2"/>
    <n v="8"/>
    <x v="3"/>
    <x v="1"/>
    <d v="2023-05-05T00:00:00"/>
  </r>
  <r>
    <s v="TXN_5680238"/>
    <x v="7"/>
    <n v="5"/>
    <n v="3"/>
    <n v="15"/>
    <x v="2"/>
    <x v="2"/>
    <d v="2023-12-17T00:00:00"/>
  </r>
  <r>
    <s v="TXN_7766134"/>
    <x v="8"/>
    <n v="1"/>
    <n v="1.5"/>
    <n v="1.5"/>
    <x v="0"/>
    <x v="0"/>
    <d v="2023-01-05T00:00:00"/>
  </r>
  <r>
    <s v="TXN_2617257"/>
    <x v="2"/>
    <n v="1"/>
    <n v="1"/>
    <n v="1"/>
    <x v="1"/>
    <x v="0"/>
    <d v="2023-08-20T00:00:00"/>
  </r>
  <r>
    <s v="TXN_8993132"/>
    <x v="1"/>
    <n v="3"/>
    <n v="3"/>
    <n v="9"/>
    <x v="2"/>
    <x v="1"/>
    <d v="2023-01-21T00:00:00"/>
  </r>
  <r>
    <s v="TXN_4268167"/>
    <x v="4"/>
    <n v="4"/>
    <n v="4"/>
    <n v="16"/>
    <x v="2"/>
    <x v="2"/>
    <d v="2023-07-06T00:00:00"/>
  </r>
  <r>
    <s v="TXN_9358399"/>
    <x v="8"/>
    <n v="5"/>
    <n v="1.5"/>
    <n v="7.5"/>
    <x v="0"/>
    <x v="2"/>
    <d v="2023-06-16T00:00:00"/>
  </r>
  <r>
    <s v="TXN_2793054"/>
    <x v="4"/>
    <n v="4"/>
    <n v="4"/>
    <n v="16"/>
    <x v="2"/>
    <x v="0"/>
    <d v="2023-04-29T00:00:00"/>
  </r>
  <r>
    <s v="TXN_6179169"/>
    <x v="6"/>
    <n v="2"/>
    <n v="4"/>
    <n v="8"/>
    <x v="1"/>
    <x v="1"/>
    <d v="2023-10-21T00:00:00"/>
  </r>
  <r>
    <s v="TXN_7932895"/>
    <x v="4"/>
    <n v="2"/>
    <n v="4"/>
    <n v="8"/>
    <x v="2"/>
    <x v="1"/>
    <d v="2023-04-04T00:00:00"/>
  </r>
  <r>
    <s v="TXN_3364751"/>
    <x v="0"/>
    <n v="2"/>
    <n v="2"/>
    <n v="4"/>
    <x v="3"/>
    <x v="0"/>
    <d v="2023-04-12T00:00:00"/>
  </r>
  <r>
    <s v="TXN_1097334"/>
    <x v="0"/>
    <n v="2"/>
    <n v="2"/>
    <n v="4"/>
    <x v="0"/>
    <x v="0"/>
    <d v="2023-03-21T00:00:00"/>
  </r>
  <r>
    <s v="TXN_9914084"/>
    <x v="5"/>
    <n v="1"/>
    <n v="2"/>
    <n v="2"/>
    <x v="2"/>
    <x v="0"/>
    <d v="2023-06-16T00:00:00"/>
  </r>
  <r>
    <s v="TXN_5982786"/>
    <x v="7"/>
    <n v="4"/>
    <n v="3"/>
    <n v="12"/>
    <x v="0"/>
    <x v="1"/>
    <d v="2023-12-26T00:00:00"/>
  </r>
  <r>
    <s v="TXN_3160090"/>
    <x v="3"/>
    <n v="1"/>
    <n v="5"/>
    <n v="5"/>
    <x v="2"/>
    <x v="0"/>
    <d v="2023-07-23T00:00:00"/>
  </r>
  <r>
    <s v="TXN_2300313"/>
    <x v="0"/>
    <n v="4"/>
    <n v="2"/>
    <n v="8"/>
    <x v="2"/>
    <x v="1"/>
    <d v="2023-06-02T00:00:00"/>
  </r>
  <r>
    <s v="TXN_9461396"/>
    <x v="4"/>
    <n v="5"/>
    <n v="4"/>
    <n v="20"/>
    <x v="2"/>
    <x v="2"/>
    <d v="2023-05-23T00:00:00"/>
  </r>
  <r>
    <s v="TXN_6887407"/>
    <x v="1"/>
    <n v="3"/>
    <n v="3"/>
    <n v="9"/>
    <x v="1"/>
    <x v="1"/>
    <d v="2023-09-15T00:00:00"/>
  </r>
  <r>
    <s v="TXN_6425991"/>
    <x v="3"/>
    <n v="1"/>
    <n v="5"/>
    <n v="5"/>
    <x v="0"/>
    <x v="0"/>
    <d v="2023-08-06T00:00:00"/>
  </r>
  <r>
    <s v="TXN_6040882"/>
    <x v="2"/>
    <n v="1"/>
    <n v="1"/>
    <n v="1"/>
    <x v="1"/>
    <x v="1"/>
    <d v="2023-06-06T00:00:00"/>
  </r>
  <r>
    <s v="TXN_4151440"/>
    <x v="1"/>
    <n v="5"/>
    <n v="3"/>
    <n v="15"/>
    <x v="2"/>
    <x v="1"/>
    <d v="2023-11-16T00:00:00"/>
  </r>
  <r>
    <s v="TXN_7921799"/>
    <x v="2"/>
    <n v="1"/>
    <n v="1"/>
    <n v="1"/>
    <x v="0"/>
    <x v="0"/>
    <d v="2023-09-14T00:00:00"/>
  </r>
  <r>
    <s v="TXN_1715317"/>
    <x v="5"/>
    <n v="5"/>
    <n v="3"/>
    <n v="15"/>
    <x v="3"/>
    <x v="1"/>
    <d v="2023-02-10T00:00:00"/>
  </r>
  <r>
    <s v="TXN_2482242"/>
    <x v="2"/>
    <n v="4"/>
    <n v="1"/>
    <n v="4"/>
    <x v="2"/>
    <x v="2"/>
    <d v="2023-02-07T00:00:00"/>
  </r>
  <r>
    <s v="TXN_5861636"/>
    <x v="0"/>
    <n v="4"/>
    <n v="2"/>
    <n v="8"/>
    <x v="0"/>
    <x v="2"/>
    <d v="2023-05-15T00:00:00"/>
  </r>
  <r>
    <s v="TXN_7272630"/>
    <x v="8"/>
    <n v="4"/>
    <n v="1.5"/>
    <n v="6"/>
    <x v="1"/>
    <x v="0"/>
    <d v="2023-03-24T00:00:00"/>
  </r>
  <r>
    <s v="TXN_7157169"/>
    <x v="6"/>
    <n v="3"/>
    <n v="4"/>
    <n v="12"/>
    <x v="2"/>
    <x v="2"/>
    <d v="2023-01-29T00:00:00"/>
  </r>
  <r>
    <s v="TXN_9325384"/>
    <x v="7"/>
    <n v="5"/>
    <n v="3"/>
    <n v="15"/>
    <x v="2"/>
    <x v="1"/>
    <d v="2023-04-24T00:00:00"/>
  </r>
  <r>
    <s v="TXN_2832778"/>
    <x v="7"/>
    <n v="2"/>
    <n v="3"/>
    <n v="6"/>
    <x v="0"/>
    <x v="2"/>
    <d v="2023-09-27T00:00:00"/>
  </r>
  <r>
    <s v="TXN_9894745"/>
    <x v="8"/>
    <n v="2"/>
    <n v="1.5"/>
    <n v="3"/>
    <x v="1"/>
    <x v="0"/>
    <d v="2023-08-28T00:00:00"/>
  </r>
  <r>
    <s v="TXN_1244299"/>
    <x v="6"/>
    <n v="2"/>
    <n v="4"/>
    <n v="8"/>
    <x v="1"/>
    <x v="0"/>
    <d v="2023-07-18T00:00:00"/>
  </r>
  <r>
    <s v="TXN_1694090"/>
    <x v="0"/>
    <n v="4"/>
    <n v="2"/>
    <n v="8"/>
    <x v="3"/>
    <x v="2"/>
    <d v="2023-11-30T00:00:00"/>
  </r>
  <r>
    <s v="TXN_5965095"/>
    <x v="3"/>
    <n v="4"/>
    <n v="5"/>
    <n v="20"/>
    <x v="3"/>
    <x v="1"/>
    <d v="2023-06-16T00:00:00"/>
  </r>
  <r>
    <s v="TXN_7911650"/>
    <x v="7"/>
    <n v="2"/>
    <n v="3"/>
    <n v="6"/>
    <x v="1"/>
    <x v="0"/>
    <d v="2023-03-13T00:00:00"/>
  </r>
  <r>
    <s v="TXN_9610933"/>
    <x v="8"/>
    <n v="3"/>
    <n v="1.5"/>
    <n v="4.5"/>
    <x v="1"/>
    <x v="2"/>
    <d v="2023-05-20T00:00:00"/>
  </r>
  <r>
    <s v="TXN_7440879"/>
    <x v="5"/>
    <n v="1"/>
    <n v="3"/>
    <n v="3"/>
    <x v="2"/>
    <x v="1"/>
    <d v="2023-12-30T00:00:00"/>
  </r>
  <r>
    <s v="TXN_4228312"/>
    <x v="0"/>
    <n v="4"/>
    <n v="2"/>
    <n v="8"/>
    <x v="3"/>
    <x v="2"/>
    <d v="2023-01-22T00:00:00"/>
  </r>
  <r>
    <s v="TXN_6431703"/>
    <x v="6"/>
    <n v="1"/>
    <n v="4"/>
    <n v="4"/>
    <x v="0"/>
    <x v="0"/>
    <d v="2023-08-25T00:00:00"/>
  </r>
  <r>
    <s v="TXN_1063524"/>
    <x v="4"/>
    <n v="5"/>
    <n v="4"/>
    <n v="20"/>
    <x v="0"/>
    <x v="2"/>
    <d v="2023-11-09T00:00:00"/>
  </r>
  <r>
    <s v="TXN_9031518"/>
    <x v="6"/>
    <n v="5"/>
    <n v="4"/>
    <n v="20"/>
    <x v="0"/>
    <x v="1"/>
    <d v="2023-01-13T00:00:00"/>
  </r>
  <r>
    <s v="TXN_5781767"/>
    <x v="6"/>
    <n v="5"/>
    <n v="4"/>
    <n v="20"/>
    <x v="0"/>
    <x v="1"/>
    <d v="2023-04-27T00:00:00"/>
  </r>
  <r>
    <s v="TXN_4465589"/>
    <x v="5"/>
    <n v="2"/>
    <n v="1.5"/>
    <n v="3"/>
    <x v="0"/>
    <x v="2"/>
    <d v="2023-03-26T00:00:00"/>
  </r>
  <r>
    <s v="TXN_2035838"/>
    <x v="5"/>
    <n v="5"/>
    <n v="3"/>
    <n v="15"/>
    <x v="3"/>
    <x v="0"/>
    <d v="2023-02-01T00:00:00"/>
  </r>
  <r>
    <s v="TXN_9817602"/>
    <x v="5"/>
    <n v="2"/>
    <n v="4"/>
    <n v="8"/>
    <x v="0"/>
    <x v="0"/>
    <d v="2023-12-26T00:00:00"/>
  </r>
  <r>
    <s v="TXN_9643180"/>
    <x v="0"/>
    <n v="2"/>
    <n v="2"/>
    <n v="4"/>
    <x v="1"/>
    <x v="2"/>
    <d v="2023-06-10T00:00:00"/>
  </r>
  <r>
    <s v="TXN_9070074"/>
    <x v="0"/>
    <n v="5"/>
    <n v="2"/>
    <n v="10"/>
    <x v="3"/>
    <x v="2"/>
    <d v="2023-02-03T00:00:00"/>
  </r>
  <r>
    <s v="TXN_5274961"/>
    <x v="5"/>
    <n v="1"/>
    <n v="3"/>
    <n v="3"/>
    <x v="0"/>
    <x v="1"/>
    <d v="2023-11-04T00:00:00"/>
  </r>
  <r>
    <s v="TXN_8715388"/>
    <x v="3"/>
    <n v="1"/>
    <n v="5"/>
    <n v="5"/>
    <x v="2"/>
    <x v="1"/>
    <d v="2023-11-04T00:00:00"/>
  </r>
  <r>
    <s v="TXN_1980303"/>
    <x v="8"/>
    <n v="3"/>
    <n v="1.5"/>
    <n v="4.5"/>
    <x v="3"/>
    <x v="2"/>
    <d v="2023-04-22T00:00:00"/>
  </r>
  <r>
    <s v="TXN_9291130"/>
    <x v="2"/>
    <n v="5"/>
    <n v="1"/>
    <n v="5"/>
    <x v="1"/>
    <x v="1"/>
    <d v="2023-05-11T00:00:00"/>
  </r>
  <r>
    <s v="TXN_6485220"/>
    <x v="1"/>
    <n v="3"/>
    <n v="3"/>
    <n v="9"/>
    <x v="1"/>
    <x v="2"/>
    <m/>
  </r>
  <r>
    <s v="TXN_2652800"/>
    <x v="1"/>
    <n v="4"/>
    <n v="3"/>
    <n v="12"/>
    <x v="1"/>
    <x v="2"/>
    <d v="2023-11-30T00:00:00"/>
  </r>
  <r>
    <s v="TXN_7068406"/>
    <x v="7"/>
    <n v="2"/>
    <n v="3"/>
    <n v="6"/>
    <x v="3"/>
    <x v="0"/>
    <d v="2023-01-26T00:00:00"/>
  </r>
  <r>
    <s v="TXN_5380220"/>
    <x v="0"/>
    <n v="4"/>
    <n v="2"/>
    <n v="8"/>
    <x v="0"/>
    <x v="1"/>
    <d v="2023-10-18T00:00:00"/>
  </r>
  <r>
    <s v="TXN_7842557"/>
    <x v="8"/>
    <n v="4"/>
    <n v="1.5"/>
    <n v="6"/>
    <x v="2"/>
    <x v="1"/>
    <d v="2023-02-09T00:00:00"/>
  </r>
  <r>
    <s v="TXN_7208533"/>
    <x v="8"/>
    <n v="1"/>
    <n v="1.5"/>
    <n v="1.5"/>
    <x v="1"/>
    <x v="1"/>
    <d v="2023-05-15T00:00:00"/>
  </r>
  <r>
    <s v="TXN_6916853"/>
    <x v="4"/>
    <n v="5"/>
    <n v="4"/>
    <n v="20"/>
    <x v="1"/>
    <x v="2"/>
    <d v="2023-12-22T00:00:00"/>
  </r>
  <r>
    <s v="TXN_9086710"/>
    <x v="3"/>
    <n v="2"/>
    <n v="5"/>
    <n v="10"/>
    <x v="2"/>
    <x v="1"/>
    <d v="2023-10-27T00:00:00"/>
  </r>
  <r>
    <s v="TXN_1830278"/>
    <x v="2"/>
    <n v="3"/>
    <n v="1"/>
    <n v="3"/>
    <x v="0"/>
    <x v="2"/>
    <d v="2023-05-15T00:00:00"/>
  </r>
  <r>
    <s v="TXN_8388122"/>
    <x v="8"/>
    <n v="4"/>
    <n v="1.5"/>
    <n v="6"/>
    <x v="2"/>
    <x v="1"/>
    <d v="2023-11-01T00:00:00"/>
  </r>
  <r>
    <s v="TXN_8612901"/>
    <x v="7"/>
    <n v="3"/>
    <n v="3"/>
    <n v="9"/>
    <x v="3"/>
    <x v="2"/>
    <d v="2023-03-18T00:00:00"/>
  </r>
  <r>
    <s v="TXN_7752958"/>
    <x v="7"/>
    <n v="2"/>
    <n v="3"/>
    <n v="6"/>
    <x v="2"/>
    <x v="2"/>
    <d v="2023-09-22T00:00:00"/>
  </r>
  <r>
    <s v="TXN_5311814"/>
    <x v="8"/>
    <n v="4"/>
    <n v="1.5"/>
    <n v="6"/>
    <x v="3"/>
    <x v="2"/>
    <d v="2023-07-06T00:00:00"/>
  </r>
  <r>
    <s v="TXN_2933739"/>
    <x v="2"/>
    <n v="1"/>
    <n v="1"/>
    <n v="1"/>
    <x v="3"/>
    <x v="2"/>
    <d v="2023-09-15T00:00:00"/>
  </r>
  <r>
    <s v="TXN_1239876"/>
    <x v="5"/>
    <n v="2"/>
    <n v="4"/>
    <n v="8"/>
    <x v="3"/>
    <x v="1"/>
    <d v="2023-04-04T00:00:00"/>
  </r>
  <r>
    <s v="TXN_6295047"/>
    <x v="8"/>
    <n v="4"/>
    <n v="1.5"/>
    <n v="6"/>
    <x v="3"/>
    <x v="2"/>
    <d v="2023-09-06T00:00:00"/>
  </r>
  <r>
    <s v="TXN_3858791"/>
    <x v="2"/>
    <n v="5"/>
    <n v="1"/>
    <n v="5"/>
    <x v="0"/>
    <x v="2"/>
    <d v="2023-06-25T00:00:00"/>
  </r>
  <r>
    <s v="TXN_1737731"/>
    <x v="4"/>
    <n v="5"/>
    <n v="4"/>
    <n v="20"/>
    <x v="3"/>
    <x v="2"/>
    <d v="2023-06-29T00:00:00"/>
  </r>
  <r>
    <s v="TXN_6131195"/>
    <x v="3"/>
    <n v="1"/>
    <n v="5"/>
    <n v="5"/>
    <x v="2"/>
    <x v="2"/>
    <d v="2023-10-24T00:00:00"/>
  </r>
  <r>
    <s v="TXN_3251829"/>
    <x v="8"/>
    <m/>
    <n v="1.5"/>
    <m/>
    <x v="3"/>
    <x v="1"/>
    <d v="2023-07-25T00:00:00"/>
  </r>
  <r>
    <s v="TXN_2727347"/>
    <x v="1"/>
    <n v="5"/>
    <n v="3"/>
    <n v="15"/>
    <x v="1"/>
    <x v="0"/>
    <d v="2023-01-20T00:00:00"/>
  </r>
  <r>
    <s v="TXN_7242713"/>
    <x v="6"/>
    <n v="1"/>
    <n v="4"/>
    <n v="4"/>
    <x v="2"/>
    <x v="1"/>
    <d v="2023-04-21T00:00:00"/>
  </r>
  <r>
    <s v="TXN_7797231"/>
    <x v="5"/>
    <n v="5"/>
    <n v="2"/>
    <n v="10"/>
    <x v="3"/>
    <x v="2"/>
    <d v="2023-05-05T00:00:00"/>
  </r>
  <r>
    <s v="TXN_3651337"/>
    <x v="4"/>
    <n v="4"/>
    <n v="4"/>
    <n v="16"/>
    <x v="1"/>
    <x v="1"/>
    <d v="2023-10-25T00:00:00"/>
  </r>
  <r>
    <s v="TXN_4740892"/>
    <x v="1"/>
    <n v="1"/>
    <n v="3"/>
    <n v="3"/>
    <x v="3"/>
    <x v="0"/>
    <d v="2023-11-19T00:00:00"/>
  </r>
  <r>
    <s v="TXN_7218719"/>
    <x v="1"/>
    <n v="1"/>
    <n v="3"/>
    <n v="3"/>
    <x v="1"/>
    <x v="2"/>
    <d v="2023-10-07T00:00:00"/>
  </r>
  <r>
    <s v="TXN_3455415"/>
    <x v="2"/>
    <n v="2"/>
    <n v="1"/>
    <n v="2"/>
    <x v="0"/>
    <x v="2"/>
    <d v="2023-03-31T00:00:00"/>
  </r>
  <r>
    <s v="TXN_2475259"/>
    <x v="4"/>
    <n v="2"/>
    <n v="4"/>
    <n v="8"/>
    <x v="1"/>
    <x v="2"/>
    <m/>
  </r>
  <r>
    <s v="TXN_3390882"/>
    <x v="6"/>
    <n v="3"/>
    <n v="4"/>
    <n v="12"/>
    <x v="0"/>
    <x v="1"/>
    <d v="2023-07-03T00:00:00"/>
  </r>
  <r>
    <s v="TXN_3848261"/>
    <x v="8"/>
    <n v="2"/>
    <n v="1.5"/>
    <n v="3"/>
    <x v="2"/>
    <x v="0"/>
    <d v="2023-08-03T00:00:00"/>
  </r>
  <r>
    <s v="TXN_2797925"/>
    <x v="1"/>
    <n v="2"/>
    <n v="3"/>
    <n v="6"/>
    <x v="1"/>
    <x v="2"/>
    <d v="2023-10-19T00:00:00"/>
  </r>
  <r>
    <s v="TXN_2599005"/>
    <x v="1"/>
    <n v="2"/>
    <n v="3"/>
    <n v="6"/>
    <x v="1"/>
    <x v="2"/>
    <d v="2023-06-10T00:00:00"/>
  </r>
  <r>
    <s v="TXN_1872692"/>
    <x v="3"/>
    <n v="5"/>
    <n v="5"/>
    <n v="25"/>
    <x v="1"/>
    <x v="1"/>
    <d v="2023-08-09T00:00:00"/>
  </r>
  <r>
    <s v="TXN_1372492"/>
    <x v="3"/>
    <n v="4"/>
    <n v="5"/>
    <n v="20"/>
    <x v="1"/>
    <x v="0"/>
    <d v="2023-03-28T00:00:00"/>
  </r>
  <r>
    <s v="TXN_6549132"/>
    <x v="3"/>
    <n v="5"/>
    <n v="5"/>
    <n v="25"/>
    <x v="2"/>
    <x v="2"/>
    <d v="2023-12-05T00:00:00"/>
  </r>
  <r>
    <s v="TXN_1003246"/>
    <x v="7"/>
    <n v="2"/>
    <n v="3"/>
    <n v="6"/>
    <x v="2"/>
    <x v="2"/>
    <d v="2023-02-15T00:00:00"/>
  </r>
  <r>
    <s v="TXN_5732615"/>
    <x v="0"/>
    <n v="2"/>
    <n v="2"/>
    <n v="4"/>
    <x v="1"/>
    <x v="0"/>
    <d v="2023-12-05T00:00:00"/>
  </r>
  <r>
    <s v="TXN_3197621"/>
    <x v="6"/>
    <n v="5"/>
    <n v="4"/>
    <n v="20"/>
    <x v="2"/>
    <x v="1"/>
    <d v="2023-02-10T00:00:00"/>
  </r>
  <r>
    <s v="TXN_9006674"/>
    <x v="8"/>
    <n v="1"/>
    <n v="1.5"/>
    <n v="1.5"/>
    <x v="2"/>
    <x v="0"/>
    <m/>
  </r>
  <r>
    <s v="TXN_6221348"/>
    <x v="6"/>
    <n v="1"/>
    <n v="4"/>
    <n v="4"/>
    <x v="2"/>
    <x v="2"/>
    <d v="2023-03-28T00:00:00"/>
  </r>
  <r>
    <s v="TXN_4986514"/>
    <x v="8"/>
    <n v="3"/>
    <n v="1.5"/>
    <n v="4.5"/>
    <x v="0"/>
    <x v="1"/>
    <d v="2023-06-06T00:00:00"/>
  </r>
  <r>
    <s v="TXN_1050083"/>
    <x v="1"/>
    <n v="5"/>
    <n v="3"/>
    <n v="15"/>
    <x v="0"/>
    <x v="0"/>
    <d v="2023-06-28T00:00:00"/>
  </r>
  <r>
    <s v="TXN_5880567"/>
    <x v="4"/>
    <n v="5"/>
    <n v="4"/>
    <n v="20"/>
    <x v="2"/>
    <x v="1"/>
    <d v="2023-02-13T00:00:00"/>
  </r>
  <r>
    <s v="TXN_1068317"/>
    <x v="7"/>
    <n v="3"/>
    <n v="3"/>
    <n v="9"/>
    <x v="3"/>
    <x v="0"/>
    <d v="2023-03-16T00:00:00"/>
  </r>
  <r>
    <s v="TXN_7389329"/>
    <x v="0"/>
    <n v="4"/>
    <n v="2"/>
    <n v="8"/>
    <x v="2"/>
    <x v="2"/>
    <d v="2023-01-18T00:00:00"/>
  </r>
  <r>
    <s v="TXN_3951460"/>
    <x v="5"/>
    <n v="4"/>
    <n v="4"/>
    <n v="16"/>
    <x v="2"/>
    <x v="0"/>
    <d v="2023-04-21T00:00:00"/>
  </r>
  <r>
    <s v="TXN_6584150"/>
    <x v="7"/>
    <n v="5"/>
    <n v="3"/>
    <n v="15"/>
    <x v="0"/>
    <x v="2"/>
    <d v="2023-10-27T00:00:00"/>
  </r>
  <r>
    <s v="TXN_7754428"/>
    <x v="2"/>
    <n v="2"/>
    <n v="1"/>
    <n v="2"/>
    <x v="2"/>
    <x v="1"/>
    <d v="2023-07-27T00:00:00"/>
  </r>
  <r>
    <s v="TXN_3918515"/>
    <x v="5"/>
    <n v="4"/>
    <n v="5"/>
    <n v="20"/>
    <x v="0"/>
    <x v="0"/>
    <d v="2023-03-29T00:00:00"/>
  </r>
  <r>
    <s v="TXN_6484387"/>
    <x v="2"/>
    <n v="5"/>
    <n v="1"/>
    <n v="5"/>
    <x v="1"/>
    <x v="2"/>
    <d v="2023-11-23T00:00:00"/>
  </r>
  <r>
    <s v="TXN_4156369"/>
    <x v="1"/>
    <n v="5"/>
    <n v="3"/>
    <n v="15"/>
    <x v="2"/>
    <x v="1"/>
    <d v="2023-08-07T00:00:00"/>
  </r>
  <r>
    <s v="TXN_4483226"/>
    <x v="7"/>
    <n v="1"/>
    <n v="3"/>
    <n v="3"/>
    <x v="0"/>
    <x v="2"/>
    <d v="2023-08-08T00:00:00"/>
  </r>
  <r>
    <s v="TXN_6457997"/>
    <x v="5"/>
    <n v="1"/>
    <n v="4"/>
    <n v="4"/>
    <x v="0"/>
    <x v="2"/>
    <d v="2023-12-12T00:00:00"/>
  </r>
  <r>
    <s v="TXN_2553269"/>
    <x v="5"/>
    <n v="5"/>
    <n v="1"/>
    <n v="5"/>
    <x v="3"/>
    <x v="2"/>
    <d v="2023-04-09T00:00:00"/>
  </r>
  <r>
    <s v="TXN_5297692"/>
    <x v="7"/>
    <n v="5"/>
    <n v="3"/>
    <n v="15"/>
    <x v="0"/>
    <x v="2"/>
    <d v="2023-03-21T00:00:00"/>
  </r>
  <r>
    <s v="TXN_8241724"/>
    <x v="4"/>
    <n v="1"/>
    <n v="4"/>
    <n v="4"/>
    <x v="0"/>
    <x v="0"/>
    <d v="2023-05-14T00:00:00"/>
  </r>
  <r>
    <s v="TXN_4916936"/>
    <x v="4"/>
    <n v="1"/>
    <n v="4"/>
    <n v="4"/>
    <x v="2"/>
    <x v="0"/>
    <d v="2023-06-04T00:00:00"/>
  </r>
  <r>
    <s v="TXN_1425215"/>
    <x v="7"/>
    <n v="1"/>
    <n v="3"/>
    <n v="3"/>
    <x v="1"/>
    <x v="0"/>
    <d v="2023-03-13T00:00:00"/>
  </r>
  <r>
    <s v="TXN_4222908"/>
    <x v="2"/>
    <n v="1"/>
    <n v="1"/>
    <n v="1"/>
    <x v="2"/>
    <x v="1"/>
    <d v="2023-12-14T00:00:00"/>
  </r>
  <r>
    <s v="TXN_3938018"/>
    <x v="0"/>
    <n v="4"/>
    <n v="2"/>
    <n v="8"/>
    <x v="2"/>
    <x v="0"/>
    <d v="2023-10-10T00:00:00"/>
  </r>
  <r>
    <s v="TXN_2363378"/>
    <x v="0"/>
    <n v="5"/>
    <n v="2"/>
    <n v="10"/>
    <x v="1"/>
    <x v="0"/>
    <d v="2023-04-23T00:00:00"/>
  </r>
  <r>
    <s v="TXN_8267616"/>
    <x v="8"/>
    <n v="4"/>
    <n v="1.5"/>
    <n v="6"/>
    <x v="1"/>
    <x v="2"/>
    <d v="2023-03-01T00:00:00"/>
  </r>
  <r>
    <s v="TXN_4786680"/>
    <x v="5"/>
    <n v="3"/>
    <n v="4"/>
    <n v="12"/>
    <x v="2"/>
    <x v="1"/>
    <d v="2023-02-05T00:00:00"/>
  </r>
  <r>
    <s v="TXN_6437181"/>
    <x v="5"/>
    <n v="4"/>
    <n v="3"/>
    <n v="12"/>
    <x v="0"/>
    <x v="2"/>
    <d v="2023-04-10T00:00:00"/>
  </r>
  <r>
    <s v="TXN_2335312"/>
    <x v="5"/>
    <n v="2"/>
    <n v="3"/>
    <n v="6"/>
    <x v="3"/>
    <x v="2"/>
    <d v="2023-06-23T00:00:00"/>
  </r>
  <r>
    <s v="TXN_8999576"/>
    <x v="1"/>
    <n v="5"/>
    <n v="3"/>
    <n v="15"/>
    <x v="3"/>
    <x v="0"/>
    <d v="2023-04-09T00:00:00"/>
  </r>
  <r>
    <s v="TXN_4844022"/>
    <x v="5"/>
    <n v="1"/>
    <n v="1"/>
    <n v="1"/>
    <x v="2"/>
    <x v="0"/>
    <d v="2023-02-26T00:00:00"/>
  </r>
  <r>
    <s v="TXN_5513984"/>
    <x v="8"/>
    <n v="1"/>
    <n v="1.5"/>
    <n v="1.5"/>
    <x v="0"/>
    <x v="1"/>
    <d v="2023-09-13T00:00:00"/>
  </r>
  <r>
    <s v="TXN_1662024"/>
    <x v="5"/>
    <n v="4"/>
    <n v="1"/>
    <n v="4"/>
    <x v="2"/>
    <x v="1"/>
    <d v="2023-01-16T00:00:00"/>
  </r>
  <r>
    <s v="TXN_5600914"/>
    <x v="4"/>
    <n v="4"/>
    <n v="4"/>
    <n v="16"/>
    <x v="0"/>
    <x v="2"/>
    <d v="2023-02-16T00:00:00"/>
  </r>
  <r>
    <s v="TXN_9923860"/>
    <x v="2"/>
    <n v="2"/>
    <n v="1"/>
    <n v="2"/>
    <x v="2"/>
    <x v="2"/>
    <d v="2023-11-16T00:00:00"/>
  </r>
  <r>
    <s v="TXN_5346493"/>
    <x v="2"/>
    <n v="5"/>
    <n v="1"/>
    <n v="5"/>
    <x v="3"/>
    <x v="1"/>
    <d v="2023-04-08T00:00:00"/>
  </r>
  <r>
    <s v="TXN_3528599"/>
    <x v="2"/>
    <n v="1"/>
    <n v="1"/>
    <n v="1"/>
    <x v="2"/>
    <x v="2"/>
    <d v="2023-12-09T00:00:00"/>
  </r>
  <r>
    <s v="TXN_5738521"/>
    <x v="0"/>
    <n v="5"/>
    <n v="2"/>
    <n v="10"/>
    <x v="3"/>
    <x v="2"/>
    <d v="2023-03-14T00:00:00"/>
  </r>
  <r>
    <s v="TXN_6219634"/>
    <x v="3"/>
    <n v="1"/>
    <n v="5"/>
    <n v="5"/>
    <x v="1"/>
    <x v="0"/>
    <d v="2023-09-11T00:00:00"/>
  </r>
  <r>
    <s v="TXN_3539062"/>
    <x v="3"/>
    <n v="2"/>
    <n v="5"/>
    <n v="10"/>
    <x v="3"/>
    <x v="1"/>
    <d v="2023-10-04T00:00:00"/>
  </r>
  <r>
    <s v="TXN_8782513"/>
    <x v="6"/>
    <n v="5"/>
    <n v="4"/>
    <n v="20"/>
    <x v="2"/>
    <x v="0"/>
    <d v="2023-10-15T00:00:00"/>
  </r>
  <r>
    <s v="TXN_2252218"/>
    <x v="5"/>
    <n v="4"/>
    <n v="5"/>
    <n v="20"/>
    <x v="1"/>
    <x v="2"/>
    <m/>
  </r>
  <r>
    <s v="TXN_2851804"/>
    <x v="0"/>
    <n v="3"/>
    <n v="2"/>
    <n v="6"/>
    <x v="2"/>
    <x v="2"/>
    <d v="2023-11-30T00:00:00"/>
  </r>
  <r>
    <s v="TXN_9175519"/>
    <x v="1"/>
    <n v="4"/>
    <n v="3"/>
    <n v="12"/>
    <x v="2"/>
    <x v="2"/>
    <d v="2023-10-05T00:00:00"/>
  </r>
  <r>
    <s v="TXN_6224451"/>
    <x v="6"/>
    <n v="1"/>
    <n v="4"/>
    <n v="4"/>
    <x v="0"/>
    <x v="2"/>
    <d v="2023-03-19T00:00:00"/>
  </r>
  <r>
    <s v="TXN_3174488"/>
    <x v="5"/>
    <n v="4"/>
    <n v="1"/>
    <n v="4"/>
    <x v="1"/>
    <x v="0"/>
    <d v="2023-06-28T00:00:00"/>
  </r>
  <r>
    <s v="TXN_7630912"/>
    <x v="7"/>
    <n v="2"/>
    <n v="3"/>
    <n v="6"/>
    <x v="0"/>
    <x v="2"/>
    <d v="2023-01-04T00:00:00"/>
  </r>
  <r>
    <s v="TXN_5650608"/>
    <x v="7"/>
    <n v="1"/>
    <n v="3"/>
    <n v="3"/>
    <x v="3"/>
    <x v="2"/>
    <d v="2023-06-25T00:00:00"/>
  </r>
  <r>
    <s v="TXN_2134911"/>
    <x v="8"/>
    <n v="5"/>
    <n v="1.5"/>
    <n v="7.5"/>
    <x v="3"/>
    <x v="1"/>
    <d v="2023-10-07T00:00:00"/>
  </r>
  <r>
    <s v="TXN_4013761"/>
    <x v="0"/>
    <n v="3"/>
    <n v="2"/>
    <n v="6"/>
    <x v="2"/>
    <x v="2"/>
    <d v="2023-09-07T00:00:00"/>
  </r>
  <r>
    <s v="TXN_9257475"/>
    <x v="5"/>
    <n v="4"/>
    <n v="3"/>
    <n v="12"/>
    <x v="3"/>
    <x v="2"/>
    <d v="2023-07-06T00:00:00"/>
  </r>
  <r>
    <s v="TXN_6616311"/>
    <x v="0"/>
    <n v="4"/>
    <n v="2"/>
    <n v="8"/>
    <x v="2"/>
    <x v="2"/>
    <d v="2023-09-01T00:00:00"/>
  </r>
  <r>
    <s v="TXN_9123562"/>
    <x v="7"/>
    <n v="5"/>
    <n v="3"/>
    <n v="15"/>
    <x v="0"/>
    <x v="0"/>
    <m/>
  </r>
  <r>
    <s v="TXN_6991430"/>
    <x v="2"/>
    <n v="5"/>
    <n v="1"/>
    <n v="5"/>
    <x v="1"/>
    <x v="1"/>
    <d v="2023-05-31T00:00:00"/>
  </r>
  <r>
    <s v="TXN_6778974"/>
    <x v="4"/>
    <n v="2"/>
    <n v="4"/>
    <n v="8"/>
    <x v="2"/>
    <x v="2"/>
    <d v="2023-09-07T00:00:00"/>
  </r>
  <r>
    <s v="TXN_1818438"/>
    <x v="0"/>
    <n v="5"/>
    <n v="2"/>
    <n v="10"/>
    <x v="1"/>
    <x v="2"/>
    <d v="2023-06-18T00:00:00"/>
  </r>
  <r>
    <s v="TXN_5486886"/>
    <x v="4"/>
    <n v="1"/>
    <n v="4"/>
    <n v="4"/>
    <x v="2"/>
    <x v="2"/>
    <d v="2023-12-23T00:00:00"/>
  </r>
  <r>
    <s v="TXN_5470598"/>
    <x v="1"/>
    <n v="3"/>
    <n v="3"/>
    <n v="9"/>
    <x v="3"/>
    <x v="1"/>
    <d v="2023-03-14T00:00:00"/>
  </r>
  <r>
    <s v="TXN_3186333"/>
    <x v="2"/>
    <n v="5"/>
    <n v="1"/>
    <n v="5"/>
    <x v="1"/>
    <x v="1"/>
    <d v="2023-08-19T00:00:00"/>
  </r>
  <r>
    <s v="TXN_8748633"/>
    <x v="6"/>
    <n v="5"/>
    <n v="4"/>
    <n v="20"/>
    <x v="1"/>
    <x v="0"/>
    <d v="2023-04-27T00:00:00"/>
  </r>
  <r>
    <s v="TXN_3228558"/>
    <x v="6"/>
    <n v="2"/>
    <n v="4"/>
    <n v="8"/>
    <x v="0"/>
    <x v="2"/>
    <d v="2023-12-13T00:00:00"/>
  </r>
  <r>
    <s v="TXN_6388107"/>
    <x v="5"/>
    <n v="3"/>
    <n v="3"/>
    <n v="9"/>
    <x v="3"/>
    <x v="1"/>
    <d v="2023-12-04T00:00:00"/>
  </r>
  <r>
    <s v="TXN_6506895"/>
    <x v="1"/>
    <n v="5"/>
    <n v="3"/>
    <n v="15"/>
    <x v="0"/>
    <x v="1"/>
    <d v="2023-08-10T00:00:00"/>
  </r>
  <r>
    <s v="TXN_2917211"/>
    <x v="4"/>
    <n v="5"/>
    <n v="4"/>
    <n v="20"/>
    <x v="3"/>
    <x v="0"/>
    <d v="2023-11-19T00:00:00"/>
  </r>
  <r>
    <s v="TXN_5882566"/>
    <x v="1"/>
    <n v="1"/>
    <n v="3"/>
    <n v="3"/>
    <x v="2"/>
    <x v="0"/>
    <d v="2023-07-09T00:00:00"/>
  </r>
  <r>
    <s v="TXN_2413548"/>
    <x v="8"/>
    <n v="2"/>
    <n v="1.5"/>
    <n v="3"/>
    <x v="0"/>
    <x v="2"/>
    <d v="2023-08-12T00:00:00"/>
  </r>
  <r>
    <s v="TXN_6633097"/>
    <x v="7"/>
    <n v="4"/>
    <n v="3"/>
    <n v="12"/>
    <x v="0"/>
    <x v="1"/>
    <m/>
  </r>
  <r>
    <s v="TXN_7116936"/>
    <x v="0"/>
    <n v="5"/>
    <n v="2"/>
    <n v="10"/>
    <x v="0"/>
    <x v="0"/>
    <d v="2023-05-19T00:00:00"/>
  </r>
  <r>
    <s v="TXN_7991322"/>
    <x v="0"/>
    <n v="5"/>
    <n v="2"/>
    <n v="10"/>
    <x v="3"/>
    <x v="2"/>
    <d v="2023-11-14T00:00:00"/>
  </r>
  <r>
    <s v="TXN_1914728"/>
    <x v="5"/>
    <n v="5"/>
    <n v="1"/>
    <n v="5"/>
    <x v="1"/>
    <x v="1"/>
    <d v="2023-06-16T00:00:00"/>
  </r>
  <r>
    <s v="TXN_4209748"/>
    <x v="2"/>
    <n v="2"/>
    <n v="1"/>
    <n v="2"/>
    <x v="3"/>
    <x v="0"/>
    <d v="2023-10-24T00:00:00"/>
  </r>
  <r>
    <s v="TXN_8941438"/>
    <x v="7"/>
    <n v="4"/>
    <n v="3"/>
    <n v="12"/>
    <x v="3"/>
    <x v="2"/>
    <d v="2023-07-23T00:00:00"/>
  </r>
  <r>
    <s v="TXN_7932127"/>
    <x v="0"/>
    <n v="3"/>
    <n v="2"/>
    <n v="6"/>
    <x v="2"/>
    <x v="2"/>
    <d v="2023-07-29T00:00:00"/>
  </r>
  <r>
    <s v="TXN_7097699"/>
    <x v="8"/>
    <n v="4"/>
    <n v="1.5"/>
    <n v="6"/>
    <x v="2"/>
    <x v="0"/>
    <d v="2023-12-16T00:00:00"/>
  </r>
  <r>
    <s v="TXN_7054849"/>
    <x v="1"/>
    <n v="4"/>
    <n v="3"/>
    <n v="12"/>
    <x v="1"/>
    <x v="0"/>
    <d v="2023-06-16T00:00:00"/>
  </r>
  <r>
    <s v="TXN_7185724"/>
    <x v="1"/>
    <n v="4"/>
    <n v="3"/>
    <n v="12"/>
    <x v="2"/>
    <x v="0"/>
    <d v="2023-05-06T00:00:00"/>
  </r>
  <r>
    <s v="TXN_5664982"/>
    <x v="8"/>
    <n v="5"/>
    <n v="1.5"/>
    <n v="7.5"/>
    <x v="3"/>
    <x v="1"/>
    <d v="2023-12-24T00:00:00"/>
  </r>
  <r>
    <s v="TXN_9378562"/>
    <x v="7"/>
    <n v="3"/>
    <n v="3"/>
    <n v="9"/>
    <x v="2"/>
    <x v="2"/>
    <d v="2023-09-06T00:00:00"/>
  </r>
  <r>
    <s v="TXN_2892693"/>
    <x v="2"/>
    <n v="4"/>
    <n v="1"/>
    <n v="4"/>
    <x v="0"/>
    <x v="1"/>
    <d v="2023-03-02T00:00:00"/>
  </r>
  <r>
    <s v="TXN_2265603"/>
    <x v="4"/>
    <n v="3"/>
    <n v="4"/>
    <n v="12"/>
    <x v="3"/>
    <x v="0"/>
    <m/>
  </r>
  <r>
    <s v="TXN_6552269"/>
    <x v="5"/>
    <n v="4"/>
    <n v="3"/>
    <n v="12"/>
    <x v="1"/>
    <x v="0"/>
    <d v="2023-04-29T00:00:00"/>
  </r>
  <r>
    <s v="TXN_4639918"/>
    <x v="6"/>
    <n v="1"/>
    <n v="4"/>
    <n v="4"/>
    <x v="3"/>
    <x v="2"/>
    <d v="2023-11-05T00:00:00"/>
  </r>
  <r>
    <s v="TXN_6037144"/>
    <x v="8"/>
    <n v="3"/>
    <n v="1.5"/>
    <n v="4.5"/>
    <x v="1"/>
    <x v="0"/>
    <d v="2023-09-02T00:00:00"/>
  </r>
  <r>
    <s v="TXN_3494014"/>
    <x v="1"/>
    <n v="1"/>
    <n v="3"/>
    <n v="3"/>
    <x v="0"/>
    <x v="1"/>
    <d v="2023-06-09T00:00:00"/>
  </r>
  <r>
    <s v="TXN_3656884"/>
    <x v="0"/>
    <n v="5"/>
    <n v="2"/>
    <n v="10"/>
    <x v="0"/>
    <x v="2"/>
    <d v="2023-10-08T00:00:00"/>
  </r>
  <r>
    <s v="TXN_2277013"/>
    <x v="4"/>
    <n v="3"/>
    <n v="4"/>
    <n v="12"/>
    <x v="2"/>
    <x v="2"/>
    <d v="2023-07-26T00:00:00"/>
  </r>
  <r>
    <s v="TXN_5423636"/>
    <x v="6"/>
    <n v="4"/>
    <n v="4"/>
    <n v="16"/>
    <x v="1"/>
    <x v="2"/>
    <d v="2023-10-18T00:00:00"/>
  </r>
  <r>
    <s v="TXN_8040251"/>
    <x v="0"/>
    <n v="1"/>
    <n v="2"/>
    <n v="2"/>
    <x v="3"/>
    <x v="2"/>
    <d v="2023-04-16T00:00:00"/>
  </r>
  <r>
    <s v="TXN_1635137"/>
    <x v="1"/>
    <n v="2"/>
    <n v="3"/>
    <n v="6"/>
    <x v="1"/>
    <x v="2"/>
    <d v="2023-12-28T00:00:00"/>
  </r>
  <r>
    <s v="TXN_8411549"/>
    <x v="8"/>
    <n v="4"/>
    <n v="1.5"/>
    <n v="6"/>
    <x v="0"/>
    <x v="1"/>
    <d v="2023-02-15T00:00:00"/>
  </r>
  <r>
    <s v="TXN_3747376"/>
    <x v="5"/>
    <n v="2"/>
    <n v="1"/>
    <n v="2"/>
    <x v="3"/>
    <x v="0"/>
    <d v="2023-11-03T00:00:00"/>
  </r>
  <r>
    <s v="TXN_1503903"/>
    <x v="8"/>
    <n v="1"/>
    <n v="1.5"/>
    <n v="1.5"/>
    <x v="1"/>
    <x v="0"/>
    <d v="2023-03-20T00:00:00"/>
  </r>
  <r>
    <s v="TXN_8606152"/>
    <x v="4"/>
    <n v="5"/>
    <n v="4"/>
    <n v="20"/>
    <x v="0"/>
    <x v="2"/>
    <d v="2023-08-05T00:00:00"/>
  </r>
  <r>
    <s v="TXN_1260517"/>
    <x v="4"/>
    <n v="5"/>
    <n v="4"/>
    <n v="20"/>
    <x v="3"/>
    <x v="0"/>
    <d v="2023-04-17T00:00:00"/>
  </r>
  <r>
    <s v="TXN_6898368"/>
    <x v="4"/>
    <n v="3"/>
    <n v="4"/>
    <n v="12"/>
    <x v="3"/>
    <x v="2"/>
    <d v="2023-05-01T00:00:00"/>
  </r>
  <r>
    <s v="TXN_2224251"/>
    <x v="7"/>
    <n v="4"/>
    <n v="3"/>
    <n v="12"/>
    <x v="3"/>
    <x v="0"/>
    <d v="2023-04-14T00:00:00"/>
  </r>
  <r>
    <s v="TXN_4567429"/>
    <x v="8"/>
    <n v="3"/>
    <n v="1.5"/>
    <n v="4.5"/>
    <x v="1"/>
    <x v="2"/>
    <d v="2023-10-11T00:00:00"/>
  </r>
  <r>
    <s v="TXN_8622404"/>
    <x v="2"/>
    <n v="3"/>
    <n v="1"/>
    <n v="3"/>
    <x v="2"/>
    <x v="2"/>
    <d v="2023-09-21T00:00:00"/>
  </r>
  <r>
    <s v="TXN_1152249"/>
    <x v="4"/>
    <n v="3"/>
    <n v="4"/>
    <n v="12"/>
    <x v="2"/>
    <x v="1"/>
    <d v="2023-05-09T00:00:00"/>
  </r>
  <r>
    <s v="TXN_2989533"/>
    <x v="3"/>
    <n v="5"/>
    <n v="5"/>
    <n v="25"/>
    <x v="2"/>
    <x v="0"/>
    <d v="2023-01-30T00:00:00"/>
  </r>
  <r>
    <s v="TXN_3734446"/>
    <x v="5"/>
    <n v="5"/>
    <n v="2"/>
    <n v="10"/>
    <x v="3"/>
    <x v="2"/>
    <d v="2023-04-16T00:00:00"/>
  </r>
  <r>
    <s v="TXN_9517380"/>
    <x v="8"/>
    <n v="4"/>
    <n v="1.5"/>
    <n v="6"/>
    <x v="1"/>
    <x v="2"/>
    <d v="2023-10-29T00:00:00"/>
  </r>
  <r>
    <s v="TXN_3599216"/>
    <x v="5"/>
    <n v="1"/>
    <n v="1.5"/>
    <n v="1.5"/>
    <x v="1"/>
    <x v="1"/>
    <d v="2023-09-21T00:00:00"/>
  </r>
  <r>
    <s v="TXN_1363508"/>
    <x v="3"/>
    <n v="4"/>
    <n v="5"/>
    <n v="20"/>
    <x v="1"/>
    <x v="2"/>
    <d v="2023-08-08T00:00:00"/>
  </r>
  <r>
    <s v="TXN_7969017"/>
    <x v="8"/>
    <n v="3"/>
    <n v="1.5"/>
    <n v="4.5"/>
    <x v="3"/>
    <x v="2"/>
    <d v="2023-02-17T00:00:00"/>
  </r>
  <r>
    <s v="TXN_6987705"/>
    <x v="2"/>
    <n v="5"/>
    <n v="1"/>
    <n v="5"/>
    <x v="1"/>
    <x v="2"/>
    <d v="2023-06-04T00:00:00"/>
  </r>
  <r>
    <s v="TXN_8490157"/>
    <x v="3"/>
    <n v="2"/>
    <n v="5"/>
    <n v="10"/>
    <x v="0"/>
    <x v="1"/>
    <d v="2023-09-06T00:00:00"/>
  </r>
  <r>
    <s v="TXN_7878395"/>
    <x v="3"/>
    <n v="3"/>
    <n v="5"/>
    <n v="15"/>
    <x v="0"/>
    <x v="1"/>
    <d v="2023-05-26T00:00:00"/>
  </r>
  <r>
    <s v="TXN_1672632"/>
    <x v="5"/>
    <n v="3"/>
    <n v="5"/>
    <n v="15"/>
    <x v="3"/>
    <x v="2"/>
    <d v="2023-07-04T00:00:00"/>
  </r>
  <r>
    <s v="TXN_9216314"/>
    <x v="1"/>
    <n v="1"/>
    <n v="3"/>
    <n v="3"/>
    <x v="0"/>
    <x v="2"/>
    <d v="2023-03-07T00:00:00"/>
  </r>
  <r>
    <s v="TXN_1647144"/>
    <x v="3"/>
    <n v="2"/>
    <n v="5"/>
    <n v="10"/>
    <x v="2"/>
    <x v="0"/>
    <d v="2023-08-29T00:00:00"/>
  </r>
  <r>
    <s v="TXN_4090464"/>
    <x v="6"/>
    <n v="5"/>
    <n v="4"/>
    <n v="20"/>
    <x v="1"/>
    <x v="0"/>
    <d v="2023-01-16T00:00:00"/>
  </r>
  <r>
    <s v="TXN_2172301"/>
    <x v="2"/>
    <n v="4"/>
    <n v="1"/>
    <n v="4"/>
    <x v="3"/>
    <x v="0"/>
    <d v="2023-04-06T00:00:00"/>
  </r>
  <r>
    <s v="TXN_3730077"/>
    <x v="2"/>
    <n v="2"/>
    <n v="1"/>
    <n v="2"/>
    <x v="0"/>
    <x v="2"/>
    <d v="2023-07-08T00:00:00"/>
  </r>
  <r>
    <s v="TXN_8253046"/>
    <x v="1"/>
    <n v="1"/>
    <n v="3"/>
    <n v="3"/>
    <x v="2"/>
    <x v="1"/>
    <d v="2023-12-20T00:00:00"/>
  </r>
  <r>
    <s v="TXN_2901304"/>
    <x v="2"/>
    <n v="3"/>
    <n v="1"/>
    <n v="3"/>
    <x v="2"/>
    <x v="2"/>
    <d v="2023-07-01T00:00:00"/>
  </r>
  <r>
    <s v="TXN_6198799"/>
    <x v="3"/>
    <n v="1"/>
    <n v="5"/>
    <n v="5"/>
    <x v="2"/>
    <x v="2"/>
    <d v="2023-05-27T00:00:00"/>
  </r>
  <r>
    <s v="TXN_9910573"/>
    <x v="3"/>
    <n v="2"/>
    <n v="5"/>
    <n v="10"/>
    <x v="2"/>
    <x v="0"/>
    <d v="2023-01-28T00:00:00"/>
  </r>
  <r>
    <s v="TXN_3680192"/>
    <x v="3"/>
    <n v="4"/>
    <n v="5"/>
    <n v="20"/>
    <x v="3"/>
    <x v="0"/>
    <d v="2023-05-20T00:00:00"/>
  </r>
  <r>
    <s v="TXN_9268974"/>
    <x v="6"/>
    <n v="2"/>
    <n v="4"/>
    <n v="8"/>
    <x v="3"/>
    <x v="0"/>
    <d v="2023-10-29T00:00:00"/>
  </r>
  <r>
    <s v="TXN_7435796"/>
    <x v="0"/>
    <n v="2"/>
    <n v="2"/>
    <n v="4"/>
    <x v="1"/>
    <x v="1"/>
    <d v="2023-11-03T00:00:00"/>
  </r>
  <r>
    <s v="TXN_1882390"/>
    <x v="2"/>
    <n v="1"/>
    <n v="1"/>
    <n v="1"/>
    <x v="2"/>
    <x v="0"/>
    <d v="2023-05-22T00:00:00"/>
  </r>
  <r>
    <s v="TXN_2465074"/>
    <x v="4"/>
    <n v="1"/>
    <n v="4"/>
    <n v="4"/>
    <x v="3"/>
    <x v="2"/>
    <d v="2023-09-29T00:00:00"/>
  </r>
  <r>
    <s v="TXN_8038871"/>
    <x v="7"/>
    <n v="5"/>
    <n v="3"/>
    <n v="15"/>
    <x v="3"/>
    <x v="2"/>
    <d v="2023-06-09T00:00:00"/>
  </r>
  <r>
    <s v="TXN_1269172"/>
    <x v="6"/>
    <n v="1"/>
    <n v="4"/>
    <n v="4"/>
    <x v="1"/>
    <x v="2"/>
    <d v="2023-08-22T00:00:00"/>
  </r>
  <r>
    <s v="TXN_4564556"/>
    <x v="0"/>
    <n v="3"/>
    <n v="2"/>
    <n v="6"/>
    <x v="0"/>
    <x v="2"/>
    <d v="2023-11-21T00:00:00"/>
  </r>
  <r>
    <s v="TXN_8139533"/>
    <x v="4"/>
    <n v="1"/>
    <n v="4"/>
    <n v="4"/>
    <x v="1"/>
    <x v="1"/>
    <d v="2023-09-21T00:00:00"/>
  </r>
  <r>
    <s v="TXN_1998401"/>
    <x v="5"/>
    <n v="1"/>
    <n v="4"/>
    <n v="4"/>
    <x v="1"/>
    <x v="2"/>
    <d v="2023-09-17T00:00:00"/>
  </r>
  <r>
    <s v="TXN_9327493"/>
    <x v="5"/>
    <n v="1"/>
    <n v="2"/>
    <n v="2"/>
    <x v="2"/>
    <x v="2"/>
    <d v="2023-03-27T00:00:00"/>
  </r>
  <r>
    <s v="TXN_7349319"/>
    <x v="2"/>
    <n v="3"/>
    <n v="1"/>
    <n v="3"/>
    <x v="3"/>
    <x v="2"/>
    <d v="2023-03-10T00:00:00"/>
  </r>
  <r>
    <s v="TXN_7294526"/>
    <x v="4"/>
    <n v="5"/>
    <n v="4"/>
    <n v="20"/>
    <x v="3"/>
    <x v="0"/>
    <d v="2023-12-02T00:00:00"/>
  </r>
  <r>
    <s v="TXN_5618976"/>
    <x v="0"/>
    <n v="2"/>
    <n v="2"/>
    <n v="4"/>
    <x v="1"/>
    <x v="0"/>
    <d v="2023-12-05T00:00:00"/>
  </r>
  <r>
    <s v="TXN_3964398"/>
    <x v="1"/>
    <n v="4"/>
    <n v="3"/>
    <n v="12"/>
    <x v="0"/>
    <x v="0"/>
    <d v="2023-10-20T00:00:00"/>
  </r>
  <r>
    <s v="TXN_4372163"/>
    <x v="6"/>
    <n v="1"/>
    <n v="4"/>
    <n v="4"/>
    <x v="2"/>
    <x v="2"/>
    <d v="2023-03-10T00:00:00"/>
  </r>
  <r>
    <s v="TXN_7242133"/>
    <x v="0"/>
    <n v="3"/>
    <n v="2"/>
    <n v="6"/>
    <x v="2"/>
    <x v="2"/>
    <d v="2023-05-20T00:00:00"/>
  </r>
  <r>
    <s v="TXN_7083168"/>
    <x v="2"/>
    <n v="4"/>
    <n v="1"/>
    <n v="4"/>
    <x v="2"/>
    <x v="0"/>
    <d v="2023-06-01T00:00:00"/>
  </r>
  <r>
    <s v="TXN_5107006"/>
    <x v="5"/>
    <n v="4"/>
    <n v="1"/>
    <n v="4"/>
    <x v="2"/>
    <x v="2"/>
    <d v="2023-04-18T00:00:00"/>
  </r>
  <r>
    <s v="TXN_1210183"/>
    <x v="8"/>
    <n v="3"/>
    <n v="1.5"/>
    <n v="4.5"/>
    <x v="2"/>
    <x v="1"/>
    <d v="2023-01-23T00:00:00"/>
  </r>
  <r>
    <s v="TXN_3419352"/>
    <x v="3"/>
    <n v="3"/>
    <n v="5"/>
    <n v="15"/>
    <x v="3"/>
    <x v="1"/>
    <d v="2023-10-22T00:00:00"/>
  </r>
  <r>
    <s v="TXN_1900036"/>
    <x v="2"/>
    <n v="1"/>
    <n v="1"/>
    <n v="1"/>
    <x v="2"/>
    <x v="2"/>
    <d v="2023-12-20T00:00:00"/>
  </r>
  <r>
    <s v="TXN_7497565"/>
    <x v="2"/>
    <n v="4"/>
    <n v="1"/>
    <n v="4"/>
    <x v="2"/>
    <x v="0"/>
    <d v="2023-10-07T00:00:00"/>
  </r>
  <r>
    <s v="TXN_6851735"/>
    <x v="5"/>
    <n v="1"/>
    <n v="1"/>
    <n v="1"/>
    <x v="3"/>
    <x v="2"/>
    <d v="2023-01-17T00:00:00"/>
  </r>
  <r>
    <s v="TXN_6716918"/>
    <x v="0"/>
    <n v="2"/>
    <n v="2"/>
    <n v="4"/>
    <x v="2"/>
    <x v="2"/>
    <d v="2023-04-10T00:00:00"/>
  </r>
  <r>
    <s v="TXN_6654975"/>
    <x v="3"/>
    <n v="3"/>
    <n v="5"/>
    <n v="15"/>
    <x v="2"/>
    <x v="1"/>
    <d v="2023-08-11T00:00:00"/>
  </r>
  <r>
    <s v="TXN_9184804"/>
    <x v="2"/>
    <n v="2"/>
    <n v="1"/>
    <n v="2"/>
    <x v="3"/>
    <x v="2"/>
    <d v="2023-11-08T00:00:00"/>
  </r>
  <r>
    <s v="TXN_9100063"/>
    <x v="6"/>
    <n v="2"/>
    <n v="4"/>
    <n v="8"/>
    <x v="2"/>
    <x v="1"/>
    <d v="2023-09-16T00:00:00"/>
  </r>
  <r>
    <s v="TXN_6202631"/>
    <x v="8"/>
    <n v="2"/>
    <n v="1.5"/>
    <n v="3"/>
    <x v="3"/>
    <x v="0"/>
    <d v="2023-07-29T00:00:00"/>
  </r>
  <r>
    <s v="TXN_1868447"/>
    <x v="8"/>
    <n v="3"/>
    <n v="1.5"/>
    <n v="4.5"/>
    <x v="1"/>
    <x v="2"/>
    <d v="2023-09-30T00:00:00"/>
  </r>
  <r>
    <s v="TXN_4726531"/>
    <x v="3"/>
    <n v="5"/>
    <n v="5"/>
    <n v="25"/>
    <x v="1"/>
    <x v="0"/>
    <d v="2023-09-09T00:00:00"/>
  </r>
  <r>
    <s v="TXN_8640655"/>
    <x v="0"/>
    <n v="3"/>
    <n v="2"/>
    <n v="6"/>
    <x v="2"/>
    <x v="2"/>
    <d v="2023-12-27T00:00:00"/>
  </r>
  <r>
    <s v="TXN_8377812"/>
    <x v="8"/>
    <n v="2"/>
    <n v="1.5"/>
    <n v="3"/>
    <x v="3"/>
    <x v="1"/>
    <d v="2023-03-27T00:00:00"/>
  </r>
  <r>
    <s v="TXN_2603561"/>
    <x v="0"/>
    <n v="3"/>
    <n v="2"/>
    <n v="6"/>
    <x v="3"/>
    <x v="2"/>
    <d v="2023-04-25T00:00:00"/>
  </r>
  <r>
    <s v="TXN_9822173"/>
    <x v="1"/>
    <n v="5"/>
    <n v="3"/>
    <n v="15"/>
    <x v="3"/>
    <x v="2"/>
    <d v="2023-05-22T00:00:00"/>
  </r>
  <r>
    <s v="TXN_2163150"/>
    <x v="3"/>
    <n v="1"/>
    <n v="5"/>
    <n v="5"/>
    <x v="1"/>
    <x v="1"/>
    <d v="2023-08-25T00:00:00"/>
  </r>
  <r>
    <s v="TXN_2371464"/>
    <x v="4"/>
    <n v="4"/>
    <n v="4"/>
    <n v="16"/>
    <x v="1"/>
    <x v="1"/>
    <d v="2023-09-20T00:00:00"/>
  </r>
  <r>
    <s v="TXN_3389521"/>
    <x v="3"/>
    <n v="5"/>
    <n v="5"/>
    <n v="25"/>
    <x v="3"/>
    <x v="2"/>
    <d v="2023-02-10T00:00:00"/>
  </r>
  <r>
    <s v="TXN_8916290"/>
    <x v="3"/>
    <n v="5"/>
    <n v="5"/>
    <n v="25"/>
    <x v="3"/>
    <x v="2"/>
    <d v="2023-07-08T00:00:00"/>
  </r>
  <r>
    <s v="TXN_6130281"/>
    <x v="5"/>
    <n v="2"/>
    <n v="4"/>
    <n v="8"/>
    <x v="1"/>
    <x v="2"/>
    <d v="2023-01-18T00:00:00"/>
  </r>
  <r>
    <s v="TXN_2505416"/>
    <x v="2"/>
    <n v="2"/>
    <n v="1"/>
    <n v="2"/>
    <x v="2"/>
    <x v="2"/>
    <d v="2023-05-18T00:00:00"/>
  </r>
  <r>
    <s v="TXN_8275626"/>
    <x v="0"/>
    <n v="2"/>
    <n v="2"/>
    <n v="4"/>
    <x v="2"/>
    <x v="0"/>
    <d v="2023-09-10T00:00:00"/>
  </r>
  <r>
    <s v="TXN_9803409"/>
    <x v="2"/>
    <n v="4"/>
    <n v="1"/>
    <n v="4"/>
    <x v="2"/>
    <x v="1"/>
    <d v="2023-01-24T00:00:00"/>
  </r>
  <r>
    <s v="TXN_3094597"/>
    <x v="6"/>
    <n v="4"/>
    <n v="4"/>
    <n v="16"/>
    <x v="2"/>
    <x v="2"/>
    <d v="2023-03-11T00:00:00"/>
  </r>
  <r>
    <s v="TXN_5276842"/>
    <x v="0"/>
    <n v="2"/>
    <n v="2"/>
    <n v="4"/>
    <x v="3"/>
    <x v="0"/>
    <d v="2023-06-26T00:00:00"/>
  </r>
  <r>
    <s v="TXN_1367003"/>
    <x v="3"/>
    <n v="5"/>
    <n v="5"/>
    <n v="25"/>
    <x v="1"/>
    <x v="1"/>
    <d v="2023-11-10T00:00:00"/>
  </r>
  <r>
    <s v="TXN_1752992"/>
    <x v="5"/>
    <n v="3"/>
    <n v="2"/>
    <n v="6"/>
    <x v="2"/>
    <x v="2"/>
    <d v="2023-12-12T00:00:00"/>
  </r>
  <r>
    <s v="TXN_5716276"/>
    <x v="5"/>
    <n v="4"/>
    <n v="1.5"/>
    <n v="6"/>
    <x v="3"/>
    <x v="2"/>
    <d v="2023-09-12T00:00:00"/>
  </r>
  <r>
    <s v="TXN_5696844"/>
    <x v="2"/>
    <n v="2"/>
    <n v="1"/>
    <n v="2"/>
    <x v="2"/>
    <x v="1"/>
    <d v="2023-01-29T00:00:00"/>
  </r>
  <r>
    <s v="TXN_5672156"/>
    <x v="2"/>
    <n v="2"/>
    <n v="1"/>
    <n v="2"/>
    <x v="0"/>
    <x v="1"/>
    <d v="2023-07-05T00:00:00"/>
  </r>
  <r>
    <s v="TXN_6480646"/>
    <x v="5"/>
    <n v="2"/>
    <n v="1.5"/>
    <n v="3"/>
    <x v="2"/>
    <x v="0"/>
    <d v="2023-10-28T00:00:00"/>
  </r>
  <r>
    <s v="TXN_1603051"/>
    <x v="5"/>
    <n v="4"/>
    <n v="1"/>
    <n v="4"/>
    <x v="0"/>
    <x v="0"/>
    <d v="2023-03-21T00:00:00"/>
  </r>
  <r>
    <s v="TXN_6293225"/>
    <x v="1"/>
    <n v="4"/>
    <n v="3"/>
    <n v="12"/>
    <x v="1"/>
    <x v="2"/>
    <d v="2023-07-02T00:00:00"/>
  </r>
  <r>
    <s v="TXN_6567880"/>
    <x v="6"/>
    <n v="5"/>
    <n v="4"/>
    <n v="20"/>
    <x v="0"/>
    <x v="2"/>
    <d v="2023-08-15T00:00:00"/>
  </r>
  <r>
    <s v="TXN_6355620"/>
    <x v="2"/>
    <n v="1"/>
    <n v="1"/>
    <n v="1"/>
    <x v="1"/>
    <x v="2"/>
    <d v="2023-06-18T00:00:00"/>
  </r>
  <r>
    <s v="TXN_3466686"/>
    <x v="4"/>
    <n v="3"/>
    <n v="4"/>
    <n v="12"/>
    <x v="3"/>
    <x v="0"/>
    <d v="2023-09-03T00:00:00"/>
  </r>
  <r>
    <s v="TXN_6064301"/>
    <x v="2"/>
    <n v="1"/>
    <n v="1"/>
    <n v="1"/>
    <x v="0"/>
    <x v="0"/>
    <d v="2023-07-12T00:00:00"/>
  </r>
  <r>
    <s v="TXN_5005674"/>
    <x v="3"/>
    <n v="4"/>
    <n v="5"/>
    <n v="20"/>
    <x v="0"/>
    <x v="1"/>
    <d v="2023-10-03T00:00:00"/>
  </r>
  <r>
    <s v="TXN_1714471"/>
    <x v="7"/>
    <n v="4"/>
    <n v="3"/>
    <n v="12"/>
    <x v="1"/>
    <x v="0"/>
    <d v="2023-08-17T00:00:00"/>
  </r>
  <r>
    <s v="TXN_5420062"/>
    <x v="5"/>
    <n v="4"/>
    <n v="5"/>
    <n v="20"/>
    <x v="1"/>
    <x v="1"/>
    <d v="2023-06-06T00:00:00"/>
  </r>
  <r>
    <s v="TXN_6377813"/>
    <x v="3"/>
    <n v="2"/>
    <n v="5"/>
    <n v="10"/>
    <x v="0"/>
    <x v="2"/>
    <d v="2023-08-07T00:00:00"/>
  </r>
  <r>
    <s v="TXN_3271393"/>
    <x v="4"/>
    <n v="4"/>
    <n v="4"/>
    <n v="16"/>
    <x v="1"/>
    <x v="1"/>
    <m/>
  </r>
  <r>
    <s v="TXN_2857444"/>
    <x v="4"/>
    <n v="1"/>
    <n v="4"/>
    <n v="4"/>
    <x v="1"/>
    <x v="0"/>
    <d v="2023-05-10T00:00:00"/>
  </r>
  <r>
    <s v="TXN_1064565"/>
    <x v="7"/>
    <n v="4"/>
    <n v="3"/>
    <n v="12"/>
    <x v="3"/>
    <x v="1"/>
    <d v="2023-03-14T00:00:00"/>
  </r>
  <r>
    <s v="TXN_1784150"/>
    <x v="5"/>
    <n v="3"/>
    <n v="1"/>
    <n v="3"/>
    <x v="2"/>
    <x v="2"/>
    <d v="2023-03-10T00:00:00"/>
  </r>
  <r>
    <s v="TXN_9104545"/>
    <x v="7"/>
    <n v="2"/>
    <n v="3"/>
    <n v="6"/>
    <x v="3"/>
    <x v="0"/>
    <d v="2023-03-19T00:00:00"/>
  </r>
  <r>
    <s v="TXN_2108125"/>
    <x v="0"/>
    <n v="1"/>
    <n v="2"/>
    <n v="2"/>
    <x v="0"/>
    <x v="1"/>
    <d v="2023-10-06T00:00:00"/>
  </r>
  <r>
    <s v="TXN_7795324"/>
    <x v="3"/>
    <n v="2"/>
    <n v="5"/>
    <n v="10"/>
    <x v="2"/>
    <x v="2"/>
    <d v="2023-06-28T00:00:00"/>
  </r>
  <r>
    <s v="TXN_1203191"/>
    <x v="0"/>
    <n v="5"/>
    <n v="2"/>
    <n v="10"/>
    <x v="2"/>
    <x v="1"/>
    <d v="2023-10-12T00:00:00"/>
  </r>
  <r>
    <s v="TXN_8743849"/>
    <x v="7"/>
    <n v="2"/>
    <n v="3"/>
    <n v="6"/>
    <x v="3"/>
    <x v="0"/>
    <d v="2023-05-04T00:00:00"/>
  </r>
  <r>
    <s v="TXN_8588231"/>
    <x v="1"/>
    <n v="4"/>
    <n v="3"/>
    <n v="12"/>
    <x v="2"/>
    <x v="0"/>
    <d v="2023-09-02T00:00:00"/>
  </r>
  <r>
    <s v="TXN_6324818"/>
    <x v="3"/>
    <n v="5"/>
    <n v="5"/>
    <n v="25"/>
    <x v="2"/>
    <x v="2"/>
    <d v="2023-06-26T00:00:00"/>
  </r>
  <r>
    <s v="TXN_4536827"/>
    <x v="2"/>
    <n v="3"/>
    <n v="1"/>
    <n v="3"/>
    <x v="3"/>
    <x v="0"/>
    <d v="2023-10-14T00:00:00"/>
  </r>
  <r>
    <s v="TXN_6226704"/>
    <x v="5"/>
    <n v="4"/>
    <n v="2"/>
    <n v="8"/>
    <x v="3"/>
    <x v="1"/>
    <d v="2023-09-07T00:00:00"/>
  </r>
  <r>
    <s v="TXN_2693108"/>
    <x v="2"/>
    <n v="3"/>
    <n v="1"/>
    <n v="3"/>
    <x v="1"/>
    <x v="1"/>
    <d v="2023-11-18T00:00:00"/>
  </r>
  <r>
    <s v="TXN_6234070"/>
    <x v="4"/>
    <n v="2"/>
    <n v="4"/>
    <n v="8"/>
    <x v="0"/>
    <x v="0"/>
    <d v="2023-01-31T00:00:00"/>
  </r>
  <r>
    <s v="TXN_9816901"/>
    <x v="0"/>
    <n v="2"/>
    <n v="2"/>
    <n v="4"/>
    <x v="1"/>
    <x v="2"/>
    <d v="2023-12-07T00:00:00"/>
  </r>
  <r>
    <s v="TXN_9489495"/>
    <x v="0"/>
    <n v="1"/>
    <n v="2"/>
    <n v="2"/>
    <x v="0"/>
    <x v="2"/>
    <d v="2023-05-20T00:00:00"/>
  </r>
  <r>
    <s v="TXN_7637178"/>
    <x v="0"/>
    <n v="3"/>
    <n v="2"/>
    <n v="6"/>
    <x v="3"/>
    <x v="0"/>
    <d v="2023-05-26T00:00:00"/>
  </r>
  <r>
    <s v="TXN_1281536"/>
    <x v="4"/>
    <n v="5"/>
    <n v="4"/>
    <n v="20"/>
    <x v="3"/>
    <x v="1"/>
    <d v="2023-03-19T00:00:00"/>
  </r>
  <r>
    <s v="TXN_2591969"/>
    <x v="3"/>
    <n v="4"/>
    <n v="5"/>
    <n v="20"/>
    <x v="0"/>
    <x v="1"/>
    <m/>
  </r>
  <r>
    <s v="TXN_8736069"/>
    <x v="8"/>
    <n v="5"/>
    <n v="1.5"/>
    <n v="7.5"/>
    <x v="1"/>
    <x v="0"/>
    <d v="2023-07-06T00:00:00"/>
  </r>
  <r>
    <s v="TXN_7975336"/>
    <x v="8"/>
    <n v="5"/>
    <n v="1.5"/>
    <n v="7.5"/>
    <x v="0"/>
    <x v="0"/>
    <d v="2023-12-03T00:00:00"/>
  </r>
  <r>
    <s v="TXN_9278090"/>
    <x v="1"/>
    <n v="5"/>
    <n v="3"/>
    <n v="15"/>
    <x v="0"/>
    <x v="2"/>
    <d v="2023-12-28T00:00:00"/>
  </r>
  <r>
    <s v="TXN_8939048"/>
    <x v="2"/>
    <n v="3"/>
    <n v="1"/>
    <n v="3"/>
    <x v="3"/>
    <x v="2"/>
    <m/>
  </r>
  <r>
    <s v="TXN_1193809"/>
    <x v="8"/>
    <n v="3"/>
    <n v="1.5"/>
    <n v="4.5"/>
    <x v="3"/>
    <x v="2"/>
    <d v="2023-01-21T00:00:00"/>
  </r>
  <r>
    <s v="TXN_9281710"/>
    <x v="7"/>
    <n v="3"/>
    <n v="3"/>
    <n v="9"/>
    <x v="0"/>
    <x v="1"/>
    <d v="2023-08-05T00:00:00"/>
  </r>
  <r>
    <s v="TXN_3784001"/>
    <x v="6"/>
    <n v="1"/>
    <n v="4"/>
    <n v="4"/>
    <x v="2"/>
    <x v="0"/>
    <m/>
  </r>
  <r>
    <s v="TXN_3291149"/>
    <x v="0"/>
    <n v="5"/>
    <n v="2"/>
    <n v="10"/>
    <x v="2"/>
    <x v="2"/>
    <d v="2023-12-09T00:00:00"/>
  </r>
  <r>
    <s v="TXN_3596270"/>
    <x v="0"/>
    <n v="4"/>
    <n v="2"/>
    <n v="8"/>
    <x v="0"/>
    <x v="0"/>
    <d v="2023-05-05T00:00:00"/>
  </r>
  <r>
    <s v="TXN_8172182"/>
    <x v="1"/>
    <n v="2"/>
    <n v="3"/>
    <n v="6"/>
    <x v="2"/>
    <x v="2"/>
    <d v="2023-06-22T00:00:00"/>
  </r>
  <r>
    <s v="TXN_3902135"/>
    <x v="8"/>
    <n v="4"/>
    <n v="1.5"/>
    <n v="6"/>
    <x v="0"/>
    <x v="2"/>
    <d v="2023-06-20T00:00:00"/>
  </r>
  <r>
    <s v="TXN_9007414"/>
    <x v="1"/>
    <n v="3"/>
    <n v="3"/>
    <n v="9"/>
    <x v="1"/>
    <x v="2"/>
    <d v="2023-12-08T00:00:00"/>
  </r>
  <r>
    <s v="TXN_9131337"/>
    <x v="6"/>
    <n v="4"/>
    <n v="4"/>
    <n v="16"/>
    <x v="0"/>
    <x v="0"/>
    <d v="2023-05-24T00:00:00"/>
  </r>
  <r>
    <s v="TXN_2278015"/>
    <x v="8"/>
    <n v="2"/>
    <n v="1.5"/>
    <n v="3"/>
    <x v="3"/>
    <x v="1"/>
    <d v="2023-04-10T00:00:00"/>
  </r>
  <r>
    <s v="TXN_1077060"/>
    <x v="0"/>
    <n v="3"/>
    <n v="2"/>
    <n v="6"/>
    <x v="2"/>
    <x v="0"/>
    <d v="2023-08-22T00:00:00"/>
  </r>
  <r>
    <s v="TXN_9362728"/>
    <x v="6"/>
    <n v="1"/>
    <n v="4"/>
    <n v="4"/>
    <x v="2"/>
    <x v="1"/>
    <d v="2023-12-26T00:00:00"/>
  </r>
  <r>
    <s v="TXN_6471185"/>
    <x v="7"/>
    <n v="5"/>
    <n v="3"/>
    <n v="15"/>
    <x v="2"/>
    <x v="1"/>
    <d v="2023-03-17T00:00:00"/>
  </r>
  <r>
    <s v="TXN_5677927"/>
    <x v="5"/>
    <n v="5"/>
    <n v="5"/>
    <n v="25"/>
    <x v="3"/>
    <x v="2"/>
    <d v="2023-12-20T00:00:00"/>
  </r>
  <r>
    <s v="TXN_6177081"/>
    <x v="2"/>
    <n v="1"/>
    <n v="1"/>
    <n v="1"/>
    <x v="1"/>
    <x v="2"/>
    <d v="2023-07-26T00:00:00"/>
  </r>
  <r>
    <s v="TXN_9281586"/>
    <x v="6"/>
    <n v="5"/>
    <n v="4"/>
    <n v="20"/>
    <x v="2"/>
    <x v="2"/>
    <d v="2023-05-20T00:00:00"/>
  </r>
  <r>
    <s v="TXN_8721484"/>
    <x v="5"/>
    <n v="4"/>
    <n v="2"/>
    <n v="8"/>
    <x v="2"/>
    <x v="2"/>
    <d v="2023-04-03T00:00:00"/>
  </r>
  <r>
    <s v="TXN_9350427"/>
    <x v="7"/>
    <n v="5"/>
    <n v="3"/>
    <n v="15"/>
    <x v="2"/>
    <x v="2"/>
    <d v="2023-01-24T00:00:00"/>
  </r>
  <r>
    <s v="TXN_7860054"/>
    <x v="8"/>
    <n v="5"/>
    <n v="1.5"/>
    <n v="7.5"/>
    <x v="0"/>
    <x v="1"/>
    <d v="2023-02-07T00:00:00"/>
  </r>
  <r>
    <s v="TXN_9233730"/>
    <x v="8"/>
    <n v="5"/>
    <n v="1.5"/>
    <n v="7.5"/>
    <x v="0"/>
    <x v="2"/>
    <d v="2023-05-28T00:00:00"/>
  </r>
  <r>
    <s v="TXN_8304399"/>
    <x v="8"/>
    <n v="2"/>
    <n v="1.5"/>
    <n v="3"/>
    <x v="1"/>
    <x v="1"/>
    <d v="2023-06-08T00:00:00"/>
  </r>
  <r>
    <s v="TXN_1538515"/>
    <x v="7"/>
    <n v="4"/>
    <n v="3"/>
    <n v="12"/>
    <x v="1"/>
    <x v="2"/>
    <d v="2023-06-11T00:00:00"/>
  </r>
  <r>
    <s v="TXN_9774251"/>
    <x v="5"/>
    <n v="2"/>
    <n v="3"/>
    <n v="6"/>
    <x v="3"/>
    <x v="0"/>
    <d v="2023-06-16T00:00:00"/>
  </r>
  <r>
    <s v="TXN_4565233"/>
    <x v="3"/>
    <n v="3"/>
    <n v="5"/>
    <n v="15"/>
    <x v="0"/>
    <x v="1"/>
    <d v="2023-11-16T00:00:00"/>
  </r>
  <r>
    <s v="TXN_6898341"/>
    <x v="8"/>
    <n v="2"/>
    <n v="1.5"/>
    <n v="3"/>
    <x v="0"/>
    <x v="1"/>
    <d v="2023-08-21T00:00:00"/>
  </r>
  <r>
    <s v="TXN_1016246"/>
    <x v="0"/>
    <n v="1"/>
    <n v="2"/>
    <n v="2"/>
    <x v="2"/>
    <x v="2"/>
    <d v="2023-01-19T00:00:00"/>
  </r>
  <r>
    <s v="TXN_9160109"/>
    <x v="1"/>
    <n v="1"/>
    <n v="3"/>
    <n v="3"/>
    <x v="0"/>
    <x v="2"/>
    <d v="2023-08-03T00:00:00"/>
  </r>
  <r>
    <s v="TXN_1082012"/>
    <x v="4"/>
    <n v="5"/>
    <n v="4"/>
    <n v="20"/>
    <x v="0"/>
    <x v="2"/>
    <d v="2023-01-04T00:00:00"/>
  </r>
  <r>
    <s v="TXN_8325464"/>
    <x v="5"/>
    <n v="5"/>
    <n v="4"/>
    <n v="20"/>
    <x v="0"/>
    <x v="0"/>
    <d v="2023-08-02T00:00:00"/>
  </r>
  <r>
    <s v="TXN_7322436"/>
    <x v="6"/>
    <n v="3"/>
    <n v="4"/>
    <n v="12"/>
    <x v="3"/>
    <x v="1"/>
    <d v="2023-06-29T00:00:00"/>
  </r>
  <r>
    <s v="TXN_1733916"/>
    <x v="6"/>
    <n v="4"/>
    <n v="4"/>
    <n v="16"/>
    <x v="3"/>
    <x v="1"/>
    <d v="2023-01-12T00:00:00"/>
  </r>
  <r>
    <s v="TXN_6068564"/>
    <x v="1"/>
    <n v="4"/>
    <n v="3"/>
    <n v="12"/>
    <x v="0"/>
    <x v="0"/>
    <d v="2023-09-28T00:00:00"/>
  </r>
  <r>
    <s v="TXN_7023753"/>
    <x v="0"/>
    <n v="5"/>
    <n v="2"/>
    <n v="10"/>
    <x v="0"/>
    <x v="0"/>
    <d v="2023-05-16T00:00:00"/>
  </r>
  <r>
    <s v="TXN_4507630"/>
    <x v="4"/>
    <n v="2"/>
    <n v="4"/>
    <n v="8"/>
    <x v="2"/>
    <x v="0"/>
    <d v="2023-05-11T00:00:00"/>
  </r>
  <r>
    <s v="TXN_5037728"/>
    <x v="4"/>
    <n v="3"/>
    <n v="4"/>
    <n v="12"/>
    <x v="0"/>
    <x v="2"/>
    <d v="2023-08-18T00:00:00"/>
  </r>
  <r>
    <s v="TXN_4577234"/>
    <x v="5"/>
    <n v="4"/>
    <n v="3"/>
    <n v="12"/>
    <x v="2"/>
    <x v="1"/>
    <d v="2023-06-09T00:00:00"/>
  </r>
  <r>
    <s v="TXN_6309570"/>
    <x v="4"/>
    <n v="1"/>
    <n v="4"/>
    <n v="4"/>
    <x v="3"/>
    <x v="1"/>
    <d v="2023-09-26T00:00:00"/>
  </r>
  <r>
    <s v="TXN_7587652"/>
    <x v="5"/>
    <n v="1"/>
    <n v="3"/>
    <n v="3"/>
    <x v="1"/>
    <x v="2"/>
    <d v="2023-08-23T00:00:00"/>
  </r>
  <r>
    <s v="TXN_1118799"/>
    <x v="5"/>
    <n v="4"/>
    <n v="4"/>
    <n v="16"/>
    <x v="0"/>
    <x v="0"/>
    <d v="2023-09-19T00:00:00"/>
  </r>
  <r>
    <s v="TXN_5738282"/>
    <x v="1"/>
    <n v="4"/>
    <n v="3"/>
    <n v="12"/>
    <x v="0"/>
    <x v="1"/>
    <m/>
  </r>
  <r>
    <s v="TXN_8192063"/>
    <x v="7"/>
    <n v="4"/>
    <n v="3"/>
    <n v="12"/>
    <x v="1"/>
    <x v="2"/>
    <d v="2023-02-06T00:00:00"/>
  </r>
  <r>
    <s v="TXN_2687593"/>
    <x v="5"/>
    <n v="5"/>
    <n v="3"/>
    <n v="15"/>
    <x v="2"/>
    <x v="0"/>
    <d v="2023-06-27T00:00:00"/>
  </r>
  <r>
    <s v="TXN_1603563"/>
    <x v="1"/>
    <n v="4"/>
    <n v="3"/>
    <n v="12"/>
    <x v="2"/>
    <x v="0"/>
    <d v="2023-04-13T00:00:00"/>
  </r>
  <r>
    <s v="TXN_6346483"/>
    <x v="0"/>
    <n v="1"/>
    <n v="2"/>
    <n v="2"/>
    <x v="0"/>
    <x v="2"/>
    <d v="2023-06-08T00:00:00"/>
  </r>
  <r>
    <s v="TXN_3499910"/>
    <x v="2"/>
    <n v="4"/>
    <n v="1"/>
    <n v="4"/>
    <x v="0"/>
    <x v="0"/>
    <d v="2023-09-29T00:00:00"/>
  </r>
  <r>
    <s v="TXN_8616276"/>
    <x v="5"/>
    <n v="2"/>
    <n v="1.5"/>
    <n v="3"/>
    <x v="3"/>
    <x v="0"/>
    <d v="2023-07-22T00:00:00"/>
  </r>
  <r>
    <s v="TXN_5941840"/>
    <x v="2"/>
    <n v="4"/>
    <n v="1"/>
    <n v="4"/>
    <x v="2"/>
    <x v="2"/>
    <d v="2023-04-01T00:00:00"/>
  </r>
  <r>
    <s v="TXN_6249023"/>
    <x v="7"/>
    <n v="1"/>
    <n v="3"/>
    <n v="3"/>
    <x v="0"/>
    <x v="2"/>
    <d v="2023-11-03T00:00:00"/>
  </r>
  <r>
    <s v="TXN_8620426"/>
    <x v="2"/>
    <n v="3"/>
    <n v="1"/>
    <n v="3"/>
    <x v="0"/>
    <x v="0"/>
    <d v="2023-11-28T00:00:00"/>
  </r>
  <r>
    <s v="TXN_2037742"/>
    <x v="1"/>
    <n v="4"/>
    <n v="3"/>
    <n v="12"/>
    <x v="3"/>
    <x v="1"/>
    <d v="2023-11-14T00:00:00"/>
  </r>
  <r>
    <s v="TXN_7013527"/>
    <x v="3"/>
    <n v="2"/>
    <n v="5"/>
    <n v="10"/>
    <x v="0"/>
    <x v="1"/>
    <d v="2023-05-18T00:00:00"/>
  </r>
  <r>
    <s v="TXN_2798420"/>
    <x v="8"/>
    <n v="5"/>
    <n v="1.5"/>
    <n v="7.5"/>
    <x v="3"/>
    <x v="0"/>
    <d v="2023-03-17T00:00:00"/>
  </r>
  <r>
    <s v="TXN_6500126"/>
    <x v="4"/>
    <n v="2"/>
    <n v="4"/>
    <n v="8"/>
    <x v="2"/>
    <x v="2"/>
    <m/>
  </r>
  <r>
    <s v="TXN_8106064"/>
    <x v="2"/>
    <n v="1"/>
    <n v="1"/>
    <n v="1"/>
    <x v="2"/>
    <x v="2"/>
    <d v="2023-06-17T00:00:00"/>
  </r>
  <r>
    <s v="TXN_5483442"/>
    <x v="8"/>
    <n v="5"/>
    <n v="1.5"/>
    <n v="7.5"/>
    <x v="1"/>
    <x v="2"/>
    <d v="2023-04-03T00:00:00"/>
  </r>
  <r>
    <s v="TXN_3926570"/>
    <x v="0"/>
    <n v="3"/>
    <n v="2"/>
    <n v="6"/>
    <x v="2"/>
    <x v="2"/>
    <d v="2023-09-04T00:00:00"/>
  </r>
  <r>
    <s v="TXN_9489442"/>
    <x v="5"/>
    <n v="3"/>
    <n v="2"/>
    <n v="6"/>
    <x v="0"/>
    <x v="0"/>
    <d v="2023-02-06T00:00:00"/>
  </r>
  <r>
    <s v="TXN_5506907"/>
    <x v="2"/>
    <n v="2"/>
    <n v="1"/>
    <n v="2"/>
    <x v="1"/>
    <x v="0"/>
    <d v="2023-12-08T00:00:00"/>
  </r>
  <r>
    <s v="TXN_8155325"/>
    <x v="5"/>
    <n v="5"/>
    <n v="2"/>
    <n v="10"/>
    <x v="3"/>
    <x v="1"/>
    <d v="2023-11-27T00:00:00"/>
  </r>
  <r>
    <s v="TXN_5353468"/>
    <x v="8"/>
    <n v="2"/>
    <n v="1.5"/>
    <n v="3"/>
    <x v="0"/>
    <x v="1"/>
    <d v="2023-11-30T00:00:00"/>
  </r>
  <r>
    <s v="TXN_2111293"/>
    <x v="4"/>
    <n v="3"/>
    <n v="4"/>
    <n v="12"/>
    <x v="2"/>
    <x v="0"/>
    <d v="2023-05-29T00:00:00"/>
  </r>
  <r>
    <s v="TXN_2101632"/>
    <x v="6"/>
    <n v="4"/>
    <n v="4"/>
    <n v="16"/>
    <x v="2"/>
    <x v="0"/>
    <d v="2023-06-12T00:00:00"/>
  </r>
  <r>
    <s v="TXN_3355537"/>
    <x v="8"/>
    <n v="3"/>
    <n v="1.5"/>
    <n v="4.5"/>
    <x v="3"/>
    <x v="2"/>
    <d v="2023-01-09T00:00:00"/>
  </r>
  <r>
    <s v="TXN_4594866"/>
    <x v="2"/>
    <n v="1"/>
    <n v="1"/>
    <n v="1"/>
    <x v="3"/>
    <x v="2"/>
    <d v="2023-03-24T00:00:00"/>
  </r>
  <r>
    <s v="TXN_7485712"/>
    <x v="6"/>
    <n v="4"/>
    <n v="4"/>
    <n v="16"/>
    <x v="1"/>
    <x v="1"/>
    <d v="2023-04-15T00:00:00"/>
  </r>
  <r>
    <s v="TXN_4848431"/>
    <x v="3"/>
    <n v="5"/>
    <n v="5"/>
    <n v="25"/>
    <x v="0"/>
    <x v="2"/>
    <d v="2023-01-09T00:00:00"/>
  </r>
  <r>
    <s v="TXN_7352058"/>
    <x v="0"/>
    <n v="2"/>
    <n v="2"/>
    <n v="4"/>
    <x v="2"/>
    <x v="0"/>
    <d v="2023-08-24T00:00:00"/>
  </r>
  <r>
    <s v="TXN_3442244"/>
    <x v="1"/>
    <n v="4"/>
    <n v="3"/>
    <n v="12"/>
    <x v="2"/>
    <x v="0"/>
    <d v="2023-05-13T00:00:00"/>
  </r>
  <r>
    <s v="TXN_9810868"/>
    <x v="2"/>
    <n v="1"/>
    <n v="1"/>
    <n v="1"/>
    <x v="0"/>
    <x v="0"/>
    <d v="2023-10-05T00:00:00"/>
  </r>
  <r>
    <s v="TXN_1430778"/>
    <x v="5"/>
    <n v="1"/>
    <n v="1.5"/>
    <n v="1.5"/>
    <x v="0"/>
    <x v="0"/>
    <d v="2023-05-26T00:00:00"/>
  </r>
  <r>
    <s v="TXN_4837909"/>
    <x v="1"/>
    <n v="5"/>
    <n v="3"/>
    <n v="15"/>
    <x v="2"/>
    <x v="0"/>
    <d v="2023-11-19T00:00:00"/>
  </r>
  <r>
    <s v="TXN_4722816"/>
    <x v="3"/>
    <n v="4"/>
    <n v="5"/>
    <n v="20"/>
    <x v="1"/>
    <x v="1"/>
    <d v="2023-10-19T00:00:00"/>
  </r>
  <r>
    <s v="TXN_1833012"/>
    <x v="3"/>
    <n v="3"/>
    <n v="5"/>
    <n v="15"/>
    <x v="3"/>
    <x v="2"/>
    <d v="2023-08-16T00:00:00"/>
  </r>
  <r>
    <s v="TXN_6933222"/>
    <x v="8"/>
    <n v="1"/>
    <n v="1.5"/>
    <n v="1.5"/>
    <x v="1"/>
    <x v="2"/>
    <d v="2023-01-22T00:00:00"/>
  </r>
  <r>
    <s v="TXN_7737862"/>
    <x v="2"/>
    <n v="2"/>
    <n v="1"/>
    <n v="2"/>
    <x v="0"/>
    <x v="2"/>
    <d v="2023-08-29T00:00:00"/>
  </r>
  <r>
    <s v="TXN_7814690"/>
    <x v="4"/>
    <n v="1"/>
    <n v="4"/>
    <n v="4"/>
    <x v="0"/>
    <x v="0"/>
    <d v="2023-05-10T00:00:00"/>
  </r>
  <r>
    <s v="TXN_8880299"/>
    <x v="5"/>
    <n v="1"/>
    <n v="1.5"/>
    <n v="1.5"/>
    <x v="2"/>
    <x v="2"/>
    <d v="2023-11-16T00:00:00"/>
  </r>
  <r>
    <s v="TXN_6083650"/>
    <x v="0"/>
    <n v="2"/>
    <n v="2"/>
    <n v="4"/>
    <x v="3"/>
    <x v="0"/>
    <d v="2023-07-01T00:00:00"/>
  </r>
  <r>
    <s v="TXN_8342990"/>
    <x v="8"/>
    <n v="1"/>
    <n v="1.5"/>
    <n v="1.5"/>
    <x v="3"/>
    <x v="0"/>
    <d v="2023-04-23T00:00:00"/>
  </r>
  <r>
    <s v="TXN_4407959"/>
    <x v="8"/>
    <n v="1"/>
    <n v="1.5"/>
    <n v="1.5"/>
    <x v="3"/>
    <x v="0"/>
    <d v="2023-01-28T00:00:00"/>
  </r>
  <r>
    <s v="TXN_4382970"/>
    <x v="8"/>
    <n v="1"/>
    <n v="1.5"/>
    <n v="1.5"/>
    <x v="2"/>
    <x v="1"/>
    <d v="2023-06-04T00:00:00"/>
  </r>
  <r>
    <s v="TXN_3422759"/>
    <x v="3"/>
    <n v="5"/>
    <n v="5"/>
    <n v="25"/>
    <x v="0"/>
    <x v="0"/>
    <d v="2023-02-19T00:00:00"/>
  </r>
  <r>
    <s v="TXN_1074435"/>
    <x v="0"/>
    <n v="1"/>
    <n v="2"/>
    <n v="2"/>
    <x v="2"/>
    <x v="1"/>
    <d v="2023-11-25T00:00:00"/>
  </r>
  <r>
    <s v="TXN_8164332"/>
    <x v="8"/>
    <n v="4"/>
    <n v="1.5"/>
    <n v="6"/>
    <x v="1"/>
    <x v="0"/>
    <d v="2023-04-22T00:00:00"/>
  </r>
  <r>
    <s v="TXN_1912525"/>
    <x v="5"/>
    <n v="4"/>
    <n v="4"/>
    <n v="16"/>
    <x v="1"/>
    <x v="0"/>
    <d v="2023-11-25T00:00:00"/>
  </r>
  <r>
    <s v="TXN_9715885"/>
    <x v="4"/>
    <n v="4"/>
    <n v="4"/>
    <n v="16"/>
    <x v="2"/>
    <x v="1"/>
    <d v="2023-06-16T00:00:00"/>
  </r>
  <r>
    <s v="TXN_1583983"/>
    <x v="8"/>
    <n v="3"/>
    <n v="1.5"/>
    <n v="4.5"/>
    <x v="0"/>
    <x v="2"/>
    <d v="2023-03-02T00:00:00"/>
  </r>
  <r>
    <s v="TXN_3634860"/>
    <x v="7"/>
    <n v="5"/>
    <n v="3"/>
    <n v="15"/>
    <x v="0"/>
    <x v="2"/>
    <d v="2023-05-28T00:00:00"/>
  </r>
  <r>
    <s v="TXN_5732357"/>
    <x v="8"/>
    <n v="5"/>
    <n v="1.5"/>
    <n v="7.5"/>
    <x v="0"/>
    <x v="2"/>
    <d v="2023-05-06T00:00:00"/>
  </r>
  <r>
    <s v="TXN_2379052"/>
    <x v="5"/>
    <n v="1"/>
    <n v="5"/>
    <n v="5"/>
    <x v="2"/>
    <x v="2"/>
    <d v="2023-02-16T00:00:00"/>
  </r>
  <r>
    <s v="TXN_7502273"/>
    <x v="5"/>
    <n v="5"/>
    <n v="2"/>
    <n v="10"/>
    <x v="2"/>
    <x v="1"/>
    <d v="2023-11-14T00:00:00"/>
  </r>
  <r>
    <s v="TXN_2567222"/>
    <x v="0"/>
    <n v="3"/>
    <n v="2"/>
    <n v="6"/>
    <x v="2"/>
    <x v="0"/>
    <d v="2023-09-09T00:00:00"/>
  </r>
  <r>
    <s v="TXN_3166181"/>
    <x v="2"/>
    <n v="3"/>
    <n v="1"/>
    <n v="3"/>
    <x v="0"/>
    <x v="1"/>
    <d v="2023-05-21T00:00:00"/>
  </r>
  <r>
    <s v="TXN_5644074"/>
    <x v="6"/>
    <n v="2"/>
    <n v="4"/>
    <n v="8"/>
    <x v="3"/>
    <x v="1"/>
    <d v="2023-11-08T00:00:00"/>
  </r>
  <r>
    <s v="TXN_5173881"/>
    <x v="2"/>
    <n v="3"/>
    <n v="1"/>
    <n v="3"/>
    <x v="1"/>
    <x v="0"/>
    <d v="2023-01-29T00:00:00"/>
  </r>
  <r>
    <s v="TXN_2396923"/>
    <x v="2"/>
    <n v="1"/>
    <n v="1"/>
    <n v="1"/>
    <x v="3"/>
    <x v="2"/>
    <d v="2023-11-02T00:00:00"/>
  </r>
  <r>
    <s v="TXN_7249235"/>
    <x v="5"/>
    <n v="3"/>
    <n v="4"/>
    <n v="12"/>
    <x v="1"/>
    <x v="2"/>
    <d v="2023-05-27T00:00:00"/>
  </r>
  <r>
    <s v="TXN_9612877"/>
    <x v="4"/>
    <n v="1"/>
    <n v="4"/>
    <n v="4"/>
    <x v="1"/>
    <x v="1"/>
    <d v="2023-03-07T00:00:00"/>
  </r>
  <r>
    <s v="TXN_4841285"/>
    <x v="8"/>
    <n v="2"/>
    <n v="1.5"/>
    <n v="3"/>
    <x v="0"/>
    <x v="2"/>
    <d v="2023-05-04T00:00:00"/>
  </r>
  <r>
    <s v="TXN_1263426"/>
    <x v="6"/>
    <n v="2"/>
    <n v="4"/>
    <n v="8"/>
    <x v="2"/>
    <x v="2"/>
    <d v="2023-10-20T00:00:00"/>
  </r>
  <r>
    <s v="TXN_5293518"/>
    <x v="6"/>
    <n v="3"/>
    <n v="4"/>
    <n v="12"/>
    <x v="2"/>
    <x v="1"/>
    <d v="2023-07-16T00:00:00"/>
  </r>
  <r>
    <s v="TXN_4296204"/>
    <x v="3"/>
    <n v="5"/>
    <n v="5"/>
    <n v="25"/>
    <x v="3"/>
    <x v="1"/>
    <d v="2023-11-28T00:00:00"/>
  </r>
  <r>
    <s v="TXN_7180164"/>
    <x v="6"/>
    <n v="5"/>
    <n v="4"/>
    <n v="20"/>
    <x v="1"/>
    <x v="0"/>
    <d v="2023-01-05T00:00:00"/>
  </r>
  <r>
    <s v="TXN_6478978"/>
    <x v="7"/>
    <n v="3"/>
    <n v="3"/>
    <n v="9"/>
    <x v="0"/>
    <x v="0"/>
    <d v="2023-10-27T00:00:00"/>
  </r>
  <r>
    <s v="TXN_2030107"/>
    <x v="7"/>
    <n v="4"/>
    <n v="3"/>
    <n v="12"/>
    <x v="2"/>
    <x v="0"/>
    <d v="2023-01-03T00:00:00"/>
  </r>
  <r>
    <s v="TXN_4897182"/>
    <x v="1"/>
    <n v="3"/>
    <n v="3"/>
    <n v="9"/>
    <x v="1"/>
    <x v="0"/>
    <d v="2023-11-26T00:00:00"/>
  </r>
  <r>
    <s v="TXN_4612269"/>
    <x v="3"/>
    <n v="5"/>
    <n v="5"/>
    <n v="25"/>
    <x v="2"/>
    <x v="2"/>
    <d v="2023-01-09T00:00:00"/>
  </r>
  <r>
    <s v="TXN_7630750"/>
    <x v="7"/>
    <n v="2"/>
    <n v="3"/>
    <n v="6"/>
    <x v="3"/>
    <x v="1"/>
    <d v="2023-03-16T00:00:00"/>
  </r>
  <r>
    <s v="TXN_6380978"/>
    <x v="8"/>
    <n v="1"/>
    <n v="1.5"/>
    <n v="1.5"/>
    <x v="1"/>
    <x v="2"/>
    <d v="2023-12-31T00:00:00"/>
  </r>
  <r>
    <s v="TXN_3744974"/>
    <x v="5"/>
    <n v="1"/>
    <n v="3"/>
    <n v="3"/>
    <x v="2"/>
    <x v="1"/>
    <d v="2023-01-09T00:00:00"/>
  </r>
  <r>
    <s v="TXN_7551023"/>
    <x v="3"/>
    <n v="5"/>
    <n v="5"/>
    <n v="25"/>
    <x v="1"/>
    <x v="2"/>
    <d v="2023-10-06T00:00:00"/>
  </r>
  <r>
    <s v="TXN_2629168"/>
    <x v="7"/>
    <n v="1"/>
    <n v="3"/>
    <n v="3"/>
    <x v="0"/>
    <x v="2"/>
    <m/>
  </r>
  <r>
    <s v="TXN_6416741"/>
    <x v="0"/>
    <n v="4"/>
    <n v="2"/>
    <n v="8"/>
    <x v="1"/>
    <x v="2"/>
    <d v="2023-12-03T00:00:00"/>
  </r>
  <r>
    <s v="TXN_1269252"/>
    <x v="1"/>
    <n v="1"/>
    <n v="3"/>
    <n v="3"/>
    <x v="3"/>
    <x v="0"/>
    <d v="2023-07-18T00:00:00"/>
  </r>
  <r>
    <s v="TXN_2377708"/>
    <x v="2"/>
    <n v="1"/>
    <n v="1"/>
    <n v="1"/>
    <x v="2"/>
    <x v="0"/>
    <d v="2023-01-03T00:00:00"/>
  </r>
  <r>
    <s v="TXN_3193212"/>
    <x v="1"/>
    <n v="1"/>
    <n v="3"/>
    <n v="3"/>
    <x v="1"/>
    <x v="1"/>
    <d v="2023-11-23T00:00:00"/>
  </r>
  <r>
    <s v="TXN_1427963"/>
    <x v="0"/>
    <n v="1"/>
    <n v="2"/>
    <n v="2"/>
    <x v="1"/>
    <x v="2"/>
    <d v="2023-10-14T00:00:00"/>
  </r>
  <r>
    <s v="TXN_3391446"/>
    <x v="8"/>
    <n v="1"/>
    <n v="1.5"/>
    <n v="1.5"/>
    <x v="2"/>
    <x v="0"/>
    <d v="2023-01-14T00:00:00"/>
  </r>
  <r>
    <s v="TXN_4849180"/>
    <x v="5"/>
    <n v="5"/>
    <n v="3"/>
    <n v="15"/>
    <x v="0"/>
    <x v="1"/>
    <d v="2023-10-14T00:00:00"/>
  </r>
  <r>
    <s v="TXN_2370338"/>
    <x v="1"/>
    <n v="4"/>
    <n v="3"/>
    <n v="12"/>
    <x v="0"/>
    <x v="0"/>
    <d v="2023-10-30T00:00:00"/>
  </r>
  <r>
    <s v="TXN_8628848"/>
    <x v="7"/>
    <n v="1"/>
    <n v="3"/>
    <n v="3"/>
    <x v="0"/>
    <x v="1"/>
    <d v="2023-01-29T00:00:00"/>
  </r>
  <r>
    <s v="TXN_4294955"/>
    <x v="3"/>
    <n v="5"/>
    <n v="5"/>
    <n v="25"/>
    <x v="2"/>
    <x v="2"/>
    <d v="2023-10-19T00:00:00"/>
  </r>
  <r>
    <s v="TXN_6894703"/>
    <x v="2"/>
    <n v="1"/>
    <n v="1"/>
    <n v="1"/>
    <x v="3"/>
    <x v="2"/>
    <d v="2023-06-06T00:00:00"/>
  </r>
  <r>
    <s v="TXN_9926931"/>
    <x v="2"/>
    <n v="5"/>
    <n v="1"/>
    <n v="5"/>
    <x v="2"/>
    <x v="0"/>
    <d v="2023-01-26T00:00:00"/>
  </r>
  <r>
    <s v="TXN_9681369"/>
    <x v="3"/>
    <n v="5"/>
    <n v="5"/>
    <n v="25"/>
    <x v="2"/>
    <x v="2"/>
    <d v="2023-10-23T00:00:00"/>
  </r>
  <r>
    <s v="TXN_9246948"/>
    <x v="1"/>
    <n v="5"/>
    <n v="3"/>
    <n v="15"/>
    <x v="0"/>
    <x v="2"/>
    <d v="2023-11-11T00:00:00"/>
  </r>
  <r>
    <s v="TXN_8519330"/>
    <x v="2"/>
    <n v="4"/>
    <n v="1"/>
    <n v="4"/>
    <x v="2"/>
    <x v="2"/>
    <d v="2023-03-18T00:00:00"/>
  </r>
  <r>
    <s v="TXN_1720329"/>
    <x v="2"/>
    <n v="2"/>
    <n v="1"/>
    <n v="2"/>
    <x v="1"/>
    <x v="2"/>
    <d v="2023-04-06T00:00:00"/>
  </r>
  <r>
    <s v="TXN_9859715"/>
    <x v="4"/>
    <n v="5"/>
    <n v="4"/>
    <n v="20"/>
    <x v="2"/>
    <x v="2"/>
    <d v="2023-07-11T00:00:00"/>
  </r>
  <r>
    <s v="TXN_2805332"/>
    <x v="1"/>
    <n v="4"/>
    <n v="3"/>
    <n v="12"/>
    <x v="1"/>
    <x v="2"/>
    <d v="2023-08-10T00:00:00"/>
  </r>
  <r>
    <s v="TXN_4807265"/>
    <x v="6"/>
    <n v="3"/>
    <n v="4"/>
    <n v="12"/>
    <x v="3"/>
    <x v="2"/>
    <d v="2023-11-19T00:00:00"/>
  </r>
  <r>
    <s v="TXN_5275315"/>
    <x v="4"/>
    <n v="2"/>
    <n v="4"/>
    <n v="8"/>
    <x v="3"/>
    <x v="1"/>
    <d v="2023-01-19T00:00:00"/>
  </r>
  <r>
    <s v="TXN_7423281"/>
    <x v="7"/>
    <n v="1"/>
    <n v="3"/>
    <n v="3"/>
    <x v="3"/>
    <x v="2"/>
    <d v="2023-06-01T00:00:00"/>
  </r>
  <r>
    <s v="TXN_9764251"/>
    <x v="2"/>
    <n v="4"/>
    <n v="1"/>
    <n v="4"/>
    <x v="2"/>
    <x v="0"/>
    <d v="2023-06-18T00:00:00"/>
  </r>
  <r>
    <s v="TXN_1034956"/>
    <x v="6"/>
    <n v="4"/>
    <n v="4"/>
    <n v="16"/>
    <x v="1"/>
    <x v="1"/>
    <m/>
  </r>
  <r>
    <s v="TXN_9272043"/>
    <x v="1"/>
    <n v="4"/>
    <n v="3"/>
    <n v="12"/>
    <x v="2"/>
    <x v="2"/>
    <d v="2023-04-20T00:00:00"/>
  </r>
  <r>
    <s v="TXN_5591048"/>
    <x v="5"/>
    <n v="3"/>
    <n v="2"/>
    <n v="6"/>
    <x v="2"/>
    <x v="1"/>
    <d v="2023-01-15T00:00:00"/>
  </r>
  <r>
    <s v="TXN_4455667"/>
    <x v="6"/>
    <n v="2"/>
    <n v="4"/>
    <n v="8"/>
    <x v="0"/>
    <x v="2"/>
    <d v="2023-08-13T00:00:00"/>
  </r>
  <r>
    <s v="TXN_9945729"/>
    <x v="5"/>
    <n v="2"/>
    <n v="5"/>
    <n v="10"/>
    <x v="3"/>
    <x v="2"/>
    <d v="2023-02-03T00:00:00"/>
  </r>
  <r>
    <s v="TXN_8124663"/>
    <x v="6"/>
    <n v="2"/>
    <n v="4"/>
    <n v="8"/>
    <x v="0"/>
    <x v="0"/>
    <d v="2023-10-15T00:00:00"/>
  </r>
  <r>
    <s v="TXN_1769466"/>
    <x v="5"/>
    <n v="5"/>
    <n v="2"/>
    <n v="10"/>
    <x v="3"/>
    <x v="0"/>
    <d v="2023-08-01T00:00:00"/>
  </r>
  <r>
    <s v="TXN_3209184"/>
    <x v="3"/>
    <n v="4"/>
    <n v="5"/>
    <n v="20"/>
    <x v="1"/>
    <x v="0"/>
    <d v="2023-03-19T00:00:00"/>
  </r>
  <r>
    <s v="TXN_6717074"/>
    <x v="8"/>
    <n v="3"/>
    <n v="1.5"/>
    <n v="4.5"/>
    <x v="3"/>
    <x v="0"/>
    <d v="2023-06-12T00:00:00"/>
  </r>
  <r>
    <s v="TXN_2833327"/>
    <x v="5"/>
    <n v="3"/>
    <n v="2"/>
    <n v="6"/>
    <x v="1"/>
    <x v="2"/>
    <d v="2023-07-05T00:00:00"/>
  </r>
  <r>
    <s v="TXN_3856021"/>
    <x v="3"/>
    <n v="1"/>
    <n v="5"/>
    <n v="5"/>
    <x v="0"/>
    <x v="2"/>
    <d v="2023-02-24T00:00:00"/>
  </r>
  <r>
    <s v="TXN_2902289"/>
    <x v="8"/>
    <n v="5"/>
    <n v="1.5"/>
    <n v="7.5"/>
    <x v="0"/>
    <x v="1"/>
    <d v="2023-12-16T00:00:00"/>
  </r>
  <r>
    <s v="TXN_9456575"/>
    <x v="8"/>
    <n v="5"/>
    <n v="1.5"/>
    <n v="7.5"/>
    <x v="1"/>
    <x v="2"/>
    <d v="2023-06-10T00:00:00"/>
  </r>
  <r>
    <s v="TXN_9231214"/>
    <x v="8"/>
    <n v="4"/>
    <n v="1.5"/>
    <n v="6"/>
    <x v="3"/>
    <x v="0"/>
    <d v="2023-05-24T00:00:00"/>
  </r>
  <r>
    <s v="TXN_6935106"/>
    <x v="8"/>
    <n v="5"/>
    <n v="1.5"/>
    <n v="7.5"/>
    <x v="2"/>
    <x v="1"/>
    <m/>
  </r>
  <r>
    <s v="TXN_2005789"/>
    <x v="7"/>
    <n v="3"/>
    <n v="3"/>
    <n v="9"/>
    <x v="0"/>
    <x v="0"/>
    <d v="2023-03-13T00:00:00"/>
  </r>
  <r>
    <s v="TXN_4814965"/>
    <x v="3"/>
    <n v="2"/>
    <n v="5"/>
    <n v="10"/>
    <x v="3"/>
    <x v="2"/>
    <d v="2023-07-23T00:00:00"/>
  </r>
  <r>
    <s v="TXN_5656252"/>
    <x v="6"/>
    <n v="4"/>
    <n v="4"/>
    <n v="16"/>
    <x v="2"/>
    <x v="0"/>
    <d v="2023-08-04T00:00:00"/>
  </r>
  <r>
    <s v="TXN_6739950"/>
    <x v="3"/>
    <n v="4"/>
    <n v="5"/>
    <n v="20"/>
    <x v="0"/>
    <x v="1"/>
    <d v="2023-03-04T00:00:00"/>
  </r>
  <r>
    <s v="TXN_1165762"/>
    <x v="5"/>
    <n v="3"/>
    <n v="2"/>
    <n v="6"/>
    <x v="0"/>
    <x v="2"/>
    <d v="2023-10-22T00:00:00"/>
  </r>
  <r>
    <s v="TXN_1122700"/>
    <x v="3"/>
    <n v="5"/>
    <n v="5"/>
    <n v="25"/>
    <x v="3"/>
    <x v="1"/>
    <d v="2023-11-09T00:00:00"/>
  </r>
  <r>
    <s v="TXN_6441337"/>
    <x v="0"/>
    <n v="5"/>
    <n v="2"/>
    <n v="10"/>
    <x v="2"/>
    <x v="0"/>
    <d v="2023-02-22T00:00:00"/>
  </r>
  <r>
    <s v="TXN_9134335"/>
    <x v="1"/>
    <n v="3"/>
    <n v="3"/>
    <n v="9"/>
    <x v="3"/>
    <x v="0"/>
    <d v="2023-01-30T00:00:00"/>
  </r>
  <r>
    <s v="TXN_7278970"/>
    <x v="3"/>
    <n v="2"/>
    <n v="5"/>
    <n v="10"/>
    <x v="2"/>
    <x v="1"/>
    <d v="2023-08-15T00:00:00"/>
  </r>
  <r>
    <s v="TXN_7376255"/>
    <x v="5"/>
    <m/>
    <m/>
    <n v="25"/>
    <x v="2"/>
    <x v="1"/>
    <d v="2023-05-27T00:00:00"/>
  </r>
  <r>
    <s v="TXN_1075969"/>
    <x v="2"/>
    <n v="2"/>
    <n v="1"/>
    <n v="2"/>
    <x v="3"/>
    <x v="2"/>
    <d v="2023-08-13T00:00:00"/>
  </r>
  <r>
    <s v="TXN_1972843"/>
    <x v="0"/>
    <n v="2"/>
    <n v="2"/>
    <n v="4"/>
    <x v="2"/>
    <x v="2"/>
    <d v="2023-02-20T00:00:00"/>
  </r>
  <r>
    <s v="TXN_9546951"/>
    <x v="6"/>
    <n v="4"/>
    <n v="4"/>
    <n v="16"/>
    <x v="2"/>
    <x v="2"/>
    <d v="2023-12-14T00:00:00"/>
  </r>
  <r>
    <s v="TXN_2336946"/>
    <x v="6"/>
    <n v="4"/>
    <n v="4"/>
    <n v="16"/>
    <x v="2"/>
    <x v="2"/>
    <d v="2023-05-29T00:00:00"/>
  </r>
  <r>
    <s v="TXN_4219548"/>
    <x v="0"/>
    <n v="5"/>
    <n v="2"/>
    <n v="10"/>
    <x v="2"/>
    <x v="0"/>
    <d v="2023-07-24T00:00:00"/>
  </r>
  <r>
    <s v="TXN_5799196"/>
    <x v="6"/>
    <n v="3"/>
    <n v="4"/>
    <n v="12"/>
    <x v="3"/>
    <x v="2"/>
    <d v="2023-12-03T00:00:00"/>
  </r>
  <r>
    <s v="TXN_3337203"/>
    <x v="4"/>
    <n v="3"/>
    <n v="4"/>
    <n v="12"/>
    <x v="2"/>
    <x v="0"/>
    <d v="2023-11-16T00:00:00"/>
  </r>
  <r>
    <s v="TXN_4561006"/>
    <x v="7"/>
    <n v="3"/>
    <n v="3"/>
    <n v="9"/>
    <x v="0"/>
    <x v="2"/>
    <d v="2023-11-23T00:00:00"/>
  </r>
  <r>
    <s v="TXN_6652858"/>
    <x v="3"/>
    <n v="5"/>
    <n v="5"/>
    <n v="25"/>
    <x v="0"/>
    <x v="1"/>
    <d v="2023-09-13T00:00:00"/>
  </r>
  <r>
    <s v="TXN_5932892"/>
    <x v="7"/>
    <n v="4"/>
    <n v="3"/>
    <n v="12"/>
    <x v="3"/>
    <x v="1"/>
    <d v="2023-11-19T00:00:00"/>
  </r>
  <r>
    <s v="TXN_7466586"/>
    <x v="3"/>
    <n v="4"/>
    <n v="5"/>
    <n v="20"/>
    <x v="3"/>
    <x v="0"/>
    <d v="2023-04-02T00:00:00"/>
  </r>
  <r>
    <s v="TXN_4207981"/>
    <x v="4"/>
    <n v="1"/>
    <n v="4"/>
    <n v="4"/>
    <x v="3"/>
    <x v="1"/>
    <d v="2023-03-17T00:00:00"/>
  </r>
  <r>
    <s v="TXN_2771482"/>
    <x v="3"/>
    <n v="4"/>
    <n v="5"/>
    <n v="20"/>
    <x v="0"/>
    <x v="2"/>
    <d v="2023-02-03T00:00:00"/>
  </r>
  <r>
    <s v="TXN_9450903"/>
    <x v="4"/>
    <n v="3"/>
    <n v="4"/>
    <n v="12"/>
    <x v="3"/>
    <x v="2"/>
    <d v="2023-04-07T00:00:00"/>
  </r>
  <r>
    <s v="TXN_1165779"/>
    <x v="2"/>
    <n v="4"/>
    <n v="1"/>
    <n v="4"/>
    <x v="3"/>
    <x v="0"/>
    <d v="2023-06-30T00:00:00"/>
  </r>
  <r>
    <s v="TXN_8205635"/>
    <x v="1"/>
    <n v="5"/>
    <n v="3"/>
    <n v="15"/>
    <x v="0"/>
    <x v="2"/>
    <m/>
  </r>
  <r>
    <s v="TXN_1984966"/>
    <x v="5"/>
    <n v="2"/>
    <n v="1.5"/>
    <n v="3"/>
    <x v="0"/>
    <x v="0"/>
    <d v="2023-03-31T00:00:00"/>
  </r>
  <r>
    <s v="TXN_4607933"/>
    <x v="4"/>
    <n v="2"/>
    <n v="4"/>
    <n v="8"/>
    <x v="0"/>
    <x v="1"/>
    <d v="2023-09-22T00:00:00"/>
  </r>
  <r>
    <s v="TXN_3486178"/>
    <x v="1"/>
    <n v="5"/>
    <n v="3"/>
    <n v="15"/>
    <x v="1"/>
    <x v="2"/>
    <d v="2023-06-09T00:00:00"/>
  </r>
  <r>
    <s v="TXN_2324227"/>
    <x v="2"/>
    <n v="1"/>
    <n v="1"/>
    <n v="1"/>
    <x v="3"/>
    <x v="1"/>
    <d v="2023-06-07T00:00:00"/>
  </r>
  <r>
    <s v="TXN_2452819"/>
    <x v="2"/>
    <n v="3"/>
    <n v="1"/>
    <n v="3"/>
    <x v="0"/>
    <x v="1"/>
    <d v="2023-07-31T00:00:00"/>
  </r>
  <r>
    <s v="TXN_2342256"/>
    <x v="8"/>
    <n v="3"/>
    <n v="1.5"/>
    <n v="4.5"/>
    <x v="2"/>
    <x v="2"/>
    <m/>
  </r>
  <r>
    <s v="TXN_4789193"/>
    <x v="7"/>
    <n v="3"/>
    <n v="3"/>
    <n v="9"/>
    <x v="2"/>
    <x v="2"/>
    <d v="2023-02-21T00:00:00"/>
  </r>
  <r>
    <s v="TXN_5743519"/>
    <x v="4"/>
    <n v="2"/>
    <n v="4"/>
    <n v="8"/>
    <x v="1"/>
    <x v="2"/>
    <d v="2023-05-23T00:00:00"/>
  </r>
  <r>
    <s v="TXN_1783857"/>
    <x v="0"/>
    <n v="2"/>
    <n v="2"/>
    <n v="4"/>
    <x v="3"/>
    <x v="1"/>
    <d v="2023-11-29T00:00:00"/>
  </r>
  <r>
    <s v="TXN_6269540"/>
    <x v="5"/>
    <n v="3"/>
    <n v="4"/>
    <n v="12"/>
    <x v="2"/>
    <x v="2"/>
    <d v="2023-12-06T00:00:00"/>
  </r>
  <r>
    <s v="TXN_8106538"/>
    <x v="0"/>
    <n v="3"/>
    <n v="2"/>
    <n v="6"/>
    <x v="3"/>
    <x v="2"/>
    <d v="2023-07-09T00:00:00"/>
  </r>
  <r>
    <s v="TXN_6732494"/>
    <x v="0"/>
    <n v="2"/>
    <n v="2"/>
    <n v="4"/>
    <x v="0"/>
    <x v="0"/>
    <d v="2023-03-18T00:00:00"/>
  </r>
  <r>
    <s v="TXN_3828620"/>
    <x v="5"/>
    <n v="1"/>
    <n v="5"/>
    <n v="5"/>
    <x v="2"/>
    <x v="1"/>
    <d v="2023-10-15T00:00:00"/>
  </r>
  <r>
    <s v="TXN_9958548"/>
    <x v="8"/>
    <n v="4"/>
    <n v="1.5"/>
    <n v="6"/>
    <x v="2"/>
    <x v="1"/>
    <m/>
  </r>
  <r>
    <s v="TXN_5458161"/>
    <x v="6"/>
    <n v="1"/>
    <n v="4"/>
    <n v="4"/>
    <x v="3"/>
    <x v="0"/>
    <d v="2023-07-19T00:00:00"/>
  </r>
  <r>
    <s v="TXN_1518379"/>
    <x v="7"/>
    <n v="4"/>
    <n v="3"/>
    <n v="12"/>
    <x v="2"/>
    <x v="1"/>
    <d v="2023-08-12T00:00:00"/>
  </r>
  <r>
    <s v="TXN_9097840"/>
    <x v="8"/>
    <n v="3"/>
    <n v="1.5"/>
    <n v="4.5"/>
    <x v="0"/>
    <x v="2"/>
    <d v="2023-02-06T00:00:00"/>
  </r>
  <r>
    <s v="TXN_5747094"/>
    <x v="7"/>
    <n v="2"/>
    <n v="3"/>
    <n v="6"/>
    <x v="3"/>
    <x v="0"/>
    <d v="2023-05-11T00:00:00"/>
  </r>
  <r>
    <s v="TXN_9782087"/>
    <x v="6"/>
    <n v="4"/>
    <n v="4"/>
    <n v="16"/>
    <x v="0"/>
    <x v="1"/>
    <d v="2023-07-27T00:00:00"/>
  </r>
  <r>
    <s v="TXN_5824950"/>
    <x v="0"/>
    <n v="1"/>
    <n v="2"/>
    <n v="2"/>
    <x v="0"/>
    <x v="1"/>
    <d v="2023-12-06T00:00:00"/>
  </r>
  <r>
    <s v="TXN_6682782"/>
    <x v="2"/>
    <n v="5"/>
    <n v="1"/>
    <n v="5"/>
    <x v="1"/>
    <x v="1"/>
    <d v="2023-12-15T00:00:00"/>
  </r>
  <r>
    <s v="TXN_2468359"/>
    <x v="5"/>
    <n v="2"/>
    <n v="5"/>
    <n v="10"/>
    <x v="2"/>
    <x v="2"/>
    <d v="2023-07-20T00:00:00"/>
  </r>
  <r>
    <s v="TXN_1902038"/>
    <x v="5"/>
    <n v="4"/>
    <n v="2"/>
    <n v="8"/>
    <x v="0"/>
    <x v="0"/>
    <d v="2023-04-07T00:00:00"/>
  </r>
  <r>
    <s v="TXN_9405019"/>
    <x v="1"/>
    <n v="5"/>
    <n v="3"/>
    <n v="15"/>
    <x v="2"/>
    <x v="2"/>
    <m/>
  </r>
  <r>
    <s v="TXN_7210366"/>
    <x v="1"/>
    <n v="2"/>
    <n v="3"/>
    <n v="6"/>
    <x v="3"/>
    <x v="2"/>
    <d v="2023-03-25T00:00:00"/>
  </r>
  <r>
    <s v="TXN_6327785"/>
    <x v="5"/>
    <n v="3"/>
    <n v="1.5"/>
    <n v="4.5"/>
    <x v="0"/>
    <x v="2"/>
    <d v="2023-11-20T00:00:00"/>
  </r>
  <r>
    <s v="TXN_3206293"/>
    <x v="2"/>
    <n v="5"/>
    <n v="1"/>
    <n v="5"/>
    <x v="3"/>
    <x v="0"/>
    <d v="2023-05-04T00:00:00"/>
  </r>
  <r>
    <s v="TXN_5827969"/>
    <x v="3"/>
    <n v="5"/>
    <n v="5"/>
    <n v="25"/>
    <x v="3"/>
    <x v="2"/>
    <d v="2023-07-03T00:00:00"/>
  </r>
  <r>
    <s v="TXN_6999471"/>
    <x v="5"/>
    <n v="1"/>
    <n v="3"/>
    <n v="3"/>
    <x v="2"/>
    <x v="2"/>
    <d v="2023-08-07T00:00:00"/>
  </r>
  <r>
    <s v="TXN_2859077"/>
    <x v="4"/>
    <n v="3"/>
    <n v="4"/>
    <n v="12"/>
    <x v="3"/>
    <x v="0"/>
    <d v="2023-01-31T00:00:00"/>
  </r>
  <r>
    <s v="TXN_3643361"/>
    <x v="8"/>
    <n v="1"/>
    <n v="1.5"/>
    <n v="1.5"/>
    <x v="1"/>
    <x v="2"/>
    <d v="2023-01-12T00:00:00"/>
  </r>
  <r>
    <s v="TXN_8066306"/>
    <x v="1"/>
    <n v="5"/>
    <n v="3"/>
    <n v="15"/>
    <x v="3"/>
    <x v="0"/>
    <d v="2023-01-07T00:00:00"/>
  </r>
  <r>
    <s v="TXN_2260351"/>
    <x v="0"/>
    <n v="3"/>
    <n v="2"/>
    <n v="6"/>
    <x v="1"/>
    <x v="2"/>
    <d v="2023-10-26T00:00:00"/>
  </r>
  <r>
    <s v="TXN_5224275"/>
    <x v="2"/>
    <n v="4"/>
    <n v="1"/>
    <n v="4"/>
    <x v="0"/>
    <x v="1"/>
    <d v="2023-12-17T00:00:00"/>
  </r>
  <r>
    <s v="TXN_3842567"/>
    <x v="3"/>
    <n v="1"/>
    <n v="5"/>
    <n v="5"/>
    <x v="0"/>
    <x v="1"/>
    <d v="2023-03-13T00:00:00"/>
  </r>
  <r>
    <s v="TXN_8515063"/>
    <x v="5"/>
    <n v="3"/>
    <n v="1"/>
    <n v="3"/>
    <x v="2"/>
    <x v="0"/>
    <d v="2023-12-06T00:00:00"/>
  </r>
  <r>
    <s v="TXN_2188137"/>
    <x v="5"/>
    <n v="1"/>
    <n v="1.5"/>
    <n v="1.5"/>
    <x v="0"/>
    <x v="2"/>
    <d v="2023-01-15T00:00:00"/>
  </r>
  <r>
    <s v="TXN_3104589"/>
    <x v="5"/>
    <n v="2"/>
    <n v="1"/>
    <n v="2"/>
    <x v="1"/>
    <x v="0"/>
    <d v="2023-03-01T00:00:00"/>
  </r>
  <r>
    <s v="TXN_9638367"/>
    <x v="0"/>
    <n v="1"/>
    <n v="2"/>
    <n v="2"/>
    <x v="2"/>
    <x v="2"/>
    <d v="2023-07-22T00:00:00"/>
  </r>
  <r>
    <s v="TXN_8742742"/>
    <x v="1"/>
    <n v="4"/>
    <n v="3"/>
    <n v="12"/>
    <x v="2"/>
    <x v="2"/>
    <d v="2023-03-07T00:00:00"/>
  </r>
  <r>
    <s v="TXN_5687012"/>
    <x v="3"/>
    <n v="2"/>
    <n v="5"/>
    <n v="10"/>
    <x v="1"/>
    <x v="2"/>
    <d v="2023-03-12T00:00:00"/>
  </r>
  <r>
    <s v="TXN_5784372"/>
    <x v="3"/>
    <n v="2"/>
    <n v="5"/>
    <n v="10"/>
    <x v="1"/>
    <x v="2"/>
    <d v="2023-05-23T00:00:00"/>
  </r>
  <r>
    <s v="TXN_2737300"/>
    <x v="1"/>
    <n v="1"/>
    <n v="3"/>
    <n v="3"/>
    <x v="2"/>
    <x v="1"/>
    <d v="2023-12-25T00:00:00"/>
  </r>
  <r>
    <s v="TXN_5905025"/>
    <x v="2"/>
    <n v="4"/>
    <n v="1"/>
    <n v="4"/>
    <x v="2"/>
    <x v="0"/>
    <d v="2023-03-08T00:00:00"/>
  </r>
  <r>
    <s v="TXN_6602557"/>
    <x v="1"/>
    <n v="4"/>
    <n v="3"/>
    <n v="12"/>
    <x v="1"/>
    <x v="0"/>
    <d v="2023-02-06T00:00:00"/>
  </r>
  <r>
    <s v="TXN_8065180"/>
    <x v="4"/>
    <n v="5"/>
    <n v="4"/>
    <n v="20"/>
    <x v="3"/>
    <x v="0"/>
    <d v="2023-06-07T00:00:00"/>
  </r>
  <r>
    <s v="TXN_4448424"/>
    <x v="3"/>
    <n v="4"/>
    <n v="5"/>
    <n v="20"/>
    <x v="3"/>
    <x v="2"/>
    <d v="2023-01-31T00:00:00"/>
  </r>
  <r>
    <s v="TXN_3396099"/>
    <x v="0"/>
    <n v="1"/>
    <n v="2"/>
    <n v="2"/>
    <x v="3"/>
    <x v="1"/>
    <d v="2023-04-06T00:00:00"/>
  </r>
  <r>
    <s v="TXN_2693431"/>
    <x v="3"/>
    <n v="2"/>
    <n v="5"/>
    <n v="10"/>
    <x v="3"/>
    <x v="2"/>
    <d v="2023-05-20T00:00:00"/>
  </r>
  <r>
    <s v="TXN_7767493"/>
    <x v="6"/>
    <n v="5"/>
    <n v="4"/>
    <n v="20"/>
    <x v="0"/>
    <x v="1"/>
    <d v="2023-02-20T00:00:00"/>
  </r>
  <r>
    <s v="TXN_2954575"/>
    <x v="8"/>
    <n v="2"/>
    <n v="1.5"/>
    <n v="3"/>
    <x v="3"/>
    <x v="0"/>
    <d v="2023-11-14T00:00:00"/>
  </r>
  <r>
    <s v="TXN_8983868"/>
    <x v="5"/>
    <n v="5"/>
    <n v="2"/>
    <n v="10"/>
    <x v="0"/>
    <x v="2"/>
    <d v="2023-03-10T00:00:00"/>
  </r>
  <r>
    <s v="TXN_3540841"/>
    <x v="5"/>
    <n v="3"/>
    <n v="1.5"/>
    <n v="4.5"/>
    <x v="0"/>
    <x v="1"/>
    <d v="2023-03-22T00:00:00"/>
  </r>
  <r>
    <s v="TXN_8933027"/>
    <x v="7"/>
    <n v="5"/>
    <n v="3"/>
    <n v="15"/>
    <x v="0"/>
    <x v="2"/>
    <d v="2023-07-14T00:00:00"/>
  </r>
  <r>
    <s v="TXN_5763287"/>
    <x v="1"/>
    <n v="2"/>
    <n v="3"/>
    <n v="6"/>
    <x v="0"/>
    <x v="2"/>
    <d v="2023-06-27T00:00:00"/>
  </r>
  <r>
    <s v="TXN_7272945"/>
    <x v="4"/>
    <n v="4"/>
    <n v="4"/>
    <n v="16"/>
    <x v="2"/>
    <x v="0"/>
    <d v="2023-04-13T00:00:00"/>
  </r>
  <r>
    <s v="TXN_8511110"/>
    <x v="8"/>
    <n v="3"/>
    <n v="1.5"/>
    <n v="4.5"/>
    <x v="2"/>
    <x v="2"/>
    <d v="2023-10-17T00:00:00"/>
  </r>
  <r>
    <s v="TXN_9307650"/>
    <x v="0"/>
    <n v="3"/>
    <n v="2"/>
    <n v="6"/>
    <x v="2"/>
    <x v="0"/>
    <d v="2023-02-22T00:00:00"/>
  </r>
  <r>
    <s v="TXN_1812185"/>
    <x v="7"/>
    <n v="2"/>
    <n v="3"/>
    <n v="6"/>
    <x v="3"/>
    <x v="2"/>
    <d v="2023-09-21T00:00:00"/>
  </r>
  <r>
    <s v="TXN_2134650"/>
    <x v="7"/>
    <n v="4"/>
    <n v="3"/>
    <n v="12"/>
    <x v="3"/>
    <x v="0"/>
    <d v="2023-02-11T00:00:00"/>
  </r>
  <r>
    <s v="TXN_7899761"/>
    <x v="7"/>
    <n v="2"/>
    <n v="3"/>
    <n v="6"/>
    <x v="2"/>
    <x v="1"/>
    <d v="2023-10-08T00:00:00"/>
  </r>
  <r>
    <s v="TXN_6785552"/>
    <x v="7"/>
    <n v="5"/>
    <n v="3"/>
    <n v="15"/>
    <x v="1"/>
    <x v="2"/>
    <d v="2023-01-19T00:00:00"/>
  </r>
  <r>
    <s v="TXN_8794205"/>
    <x v="1"/>
    <n v="4"/>
    <n v="3"/>
    <n v="12"/>
    <x v="0"/>
    <x v="0"/>
    <d v="2023-10-22T00:00:00"/>
  </r>
  <r>
    <s v="TXN_2464879"/>
    <x v="1"/>
    <n v="2"/>
    <n v="3"/>
    <n v="6"/>
    <x v="0"/>
    <x v="2"/>
    <d v="2023-10-11T00:00:00"/>
  </r>
  <r>
    <s v="TXN_8294790"/>
    <x v="2"/>
    <n v="1"/>
    <n v="1"/>
    <n v="1"/>
    <x v="3"/>
    <x v="0"/>
    <d v="2023-09-01T00:00:00"/>
  </r>
  <r>
    <s v="TXN_4207219"/>
    <x v="1"/>
    <n v="1"/>
    <n v="3"/>
    <n v="3"/>
    <x v="1"/>
    <x v="1"/>
    <d v="2023-09-16T00:00:00"/>
  </r>
  <r>
    <s v="TXN_1921415"/>
    <x v="1"/>
    <n v="1"/>
    <n v="3"/>
    <n v="3"/>
    <x v="1"/>
    <x v="0"/>
    <d v="2023-11-03T00:00:00"/>
  </r>
  <r>
    <s v="TXN_7122109"/>
    <x v="0"/>
    <n v="5"/>
    <n v="2"/>
    <n v="10"/>
    <x v="2"/>
    <x v="0"/>
    <d v="2023-05-19T00:00:00"/>
  </r>
  <r>
    <s v="TXN_3601338"/>
    <x v="1"/>
    <n v="3"/>
    <n v="3"/>
    <n v="9"/>
    <x v="0"/>
    <x v="2"/>
    <d v="2023-03-06T00:00:00"/>
  </r>
  <r>
    <s v="TXN_7403839"/>
    <x v="0"/>
    <n v="1"/>
    <n v="2"/>
    <n v="2"/>
    <x v="2"/>
    <x v="2"/>
    <d v="2023-12-23T00:00:00"/>
  </r>
  <r>
    <s v="TXN_3709876"/>
    <x v="0"/>
    <n v="1"/>
    <n v="2"/>
    <n v="2"/>
    <x v="0"/>
    <x v="0"/>
    <d v="2023-11-04T00:00:00"/>
  </r>
  <r>
    <s v="TXN_6063689"/>
    <x v="2"/>
    <n v="3"/>
    <n v="1"/>
    <n v="3"/>
    <x v="1"/>
    <x v="1"/>
    <d v="2023-02-01T00:00:00"/>
  </r>
  <r>
    <s v="TXN_8126762"/>
    <x v="0"/>
    <n v="5"/>
    <n v="2"/>
    <n v="10"/>
    <x v="3"/>
    <x v="0"/>
    <d v="2023-06-08T00:00:00"/>
  </r>
  <r>
    <s v="TXN_5940531"/>
    <x v="8"/>
    <n v="1"/>
    <n v="1.5"/>
    <n v="1.5"/>
    <x v="2"/>
    <x v="1"/>
    <d v="2023-01-11T00:00:00"/>
  </r>
  <r>
    <s v="TXN_9844453"/>
    <x v="8"/>
    <n v="2"/>
    <n v="1.5"/>
    <n v="3"/>
    <x v="2"/>
    <x v="2"/>
    <d v="2023-01-09T00:00:00"/>
  </r>
  <r>
    <s v="TXN_5774784"/>
    <x v="1"/>
    <n v="5"/>
    <n v="3"/>
    <n v="15"/>
    <x v="2"/>
    <x v="1"/>
    <d v="2023-10-04T00:00:00"/>
  </r>
  <r>
    <s v="TXN_6241682"/>
    <x v="6"/>
    <n v="3"/>
    <n v="4"/>
    <n v="12"/>
    <x v="2"/>
    <x v="1"/>
    <d v="2023-09-07T00:00:00"/>
  </r>
  <r>
    <s v="TXN_1235828"/>
    <x v="8"/>
    <n v="4"/>
    <n v="1.5"/>
    <n v="6"/>
    <x v="1"/>
    <x v="0"/>
    <d v="2023-02-19T00:00:00"/>
  </r>
  <r>
    <s v="TXN_9206403"/>
    <x v="2"/>
    <n v="1"/>
    <n v="1"/>
    <n v="1"/>
    <x v="2"/>
    <x v="1"/>
    <d v="2023-12-15T00:00:00"/>
  </r>
  <r>
    <s v="TXN_8377178"/>
    <x v="0"/>
    <n v="5"/>
    <n v="2"/>
    <n v="10"/>
    <x v="2"/>
    <x v="2"/>
    <d v="2023-02-03T00:00:00"/>
  </r>
  <r>
    <s v="TXN_8125141"/>
    <x v="8"/>
    <n v="3"/>
    <n v="1.5"/>
    <n v="4.5"/>
    <x v="2"/>
    <x v="0"/>
    <d v="2023-04-18T00:00:00"/>
  </r>
  <r>
    <s v="TXN_9673343"/>
    <x v="5"/>
    <n v="2"/>
    <n v="4"/>
    <n v="8"/>
    <x v="1"/>
    <x v="1"/>
    <d v="2023-06-22T00:00:00"/>
  </r>
  <r>
    <s v="TXN_8734331"/>
    <x v="5"/>
    <n v="3"/>
    <n v="1.5"/>
    <n v="4.5"/>
    <x v="2"/>
    <x v="2"/>
    <d v="2023-05-17T00:00:00"/>
  </r>
  <r>
    <s v="TXN_9565246"/>
    <x v="0"/>
    <n v="5"/>
    <n v="2"/>
    <n v="10"/>
    <x v="1"/>
    <x v="2"/>
    <d v="2023-12-28T00:00:00"/>
  </r>
  <r>
    <s v="TXN_9914747"/>
    <x v="0"/>
    <n v="5"/>
    <n v="2"/>
    <n v="10"/>
    <x v="2"/>
    <x v="2"/>
    <d v="2023-12-05T00:00:00"/>
  </r>
  <r>
    <s v="TXN_6148776"/>
    <x v="0"/>
    <n v="5"/>
    <n v="2"/>
    <n v="10"/>
    <x v="2"/>
    <x v="0"/>
    <d v="2023-03-02T00:00:00"/>
  </r>
  <r>
    <s v="TXN_4992510"/>
    <x v="2"/>
    <n v="4"/>
    <n v="1"/>
    <n v="4"/>
    <x v="1"/>
    <x v="1"/>
    <d v="2023-01-26T00:00:00"/>
  </r>
  <r>
    <s v="TXN_8384806"/>
    <x v="6"/>
    <n v="3"/>
    <n v="4"/>
    <n v="12"/>
    <x v="2"/>
    <x v="0"/>
    <d v="2023-07-07T00:00:00"/>
  </r>
  <r>
    <s v="TXN_6472826"/>
    <x v="7"/>
    <n v="4"/>
    <n v="3"/>
    <n v="12"/>
    <x v="1"/>
    <x v="1"/>
    <d v="2023-04-11T00:00:00"/>
  </r>
  <r>
    <s v="TXN_8131052"/>
    <x v="2"/>
    <n v="1"/>
    <n v="1"/>
    <n v="1"/>
    <x v="0"/>
    <x v="0"/>
    <d v="2023-09-16T00:00:00"/>
  </r>
  <r>
    <s v="TXN_8425819"/>
    <x v="6"/>
    <n v="1"/>
    <n v="4"/>
    <n v="4"/>
    <x v="2"/>
    <x v="2"/>
    <d v="2023-01-09T00:00:00"/>
  </r>
  <r>
    <s v="TXN_8116619"/>
    <x v="4"/>
    <n v="3"/>
    <n v="4"/>
    <n v="12"/>
    <x v="1"/>
    <x v="1"/>
    <m/>
  </r>
  <r>
    <s v="TXN_6636395"/>
    <x v="7"/>
    <n v="4"/>
    <n v="3"/>
    <n v="12"/>
    <x v="1"/>
    <x v="1"/>
    <d v="2023-01-30T00:00:00"/>
  </r>
  <r>
    <s v="TXN_2137354"/>
    <x v="0"/>
    <n v="2"/>
    <n v="2"/>
    <n v="4"/>
    <x v="2"/>
    <x v="2"/>
    <d v="2023-05-17T00:00:00"/>
  </r>
  <r>
    <s v="TXN_3353615"/>
    <x v="0"/>
    <n v="4"/>
    <n v="2"/>
    <n v="8"/>
    <x v="0"/>
    <x v="0"/>
    <d v="2023-07-24T00:00:00"/>
  </r>
  <r>
    <s v="TXN_2703095"/>
    <x v="3"/>
    <n v="1"/>
    <n v="5"/>
    <n v="5"/>
    <x v="2"/>
    <x v="2"/>
    <d v="2023-10-05T00:00:00"/>
  </r>
  <r>
    <s v="TXN_7282082"/>
    <x v="6"/>
    <n v="4"/>
    <n v="4"/>
    <n v="16"/>
    <x v="2"/>
    <x v="1"/>
    <d v="2023-02-02T00:00:00"/>
  </r>
  <r>
    <s v="TXN_6705109"/>
    <x v="1"/>
    <n v="3"/>
    <n v="3"/>
    <n v="9"/>
    <x v="1"/>
    <x v="1"/>
    <d v="2023-08-05T00:00:00"/>
  </r>
  <r>
    <s v="TXN_1857902"/>
    <x v="6"/>
    <n v="5"/>
    <n v="4"/>
    <n v="20"/>
    <x v="2"/>
    <x v="0"/>
    <d v="2023-04-26T00:00:00"/>
  </r>
  <r>
    <s v="TXN_5788053"/>
    <x v="6"/>
    <n v="5"/>
    <n v="4"/>
    <n v="20"/>
    <x v="3"/>
    <x v="2"/>
    <d v="2023-01-04T00:00:00"/>
  </r>
  <r>
    <s v="TXN_8650185"/>
    <x v="4"/>
    <n v="5"/>
    <n v="4"/>
    <n v="20"/>
    <x v="1"/>
    <x v="2"/>
    <d v="2023-06-13T00:00:00"/>
  </r>
  <r>
    <s v="TXN_1171281"/>
    <x v="0"/>
    <n v="2"/>
    <n v="2"/>
    <n v="4"/>
    <x v="3"/>
    <x v="2"/>
    <d v="2023-02-06T00:00:00"/>
  </r>
  <r>
    <s v="TXN_9875865"/>
    <x v="2"/>
    <n v="3"/>
    <n v="1"/>
    <n v="3"/>
    <x v="3"/>
    <x v="2"/>
    <d v="2023-10-23T00:00:00"/>
  </r>
  <r>
    <s v="TXN_6244602"/>
    <x v="1"/>
    <n v="5"/>
    <n v="3"/>
    <n v="15"/>
    <x v="3"/>
    <x v="2"/>
    <d v="2023-05-06T00:00:00"/>
  </r>
  <r>
    <s v="TXN_5093855"/>
    <x v="5"/>
    <n v="4"/>
    <n v="1.5"/>
    <n v="6"/>
    <x v="1"/>
    <x v="0"/>
    <d v="2023-11-23T00:00:00"/>
  </r>
  <r>
    <s v="TXN_5588102"/>
    <x v="5"/>
    <n v="4"/>
    <n v="1"/>
    <n v="4"/>
    <x v="0"/>
    <x v="1"/>
    <d v="2023-01-14T00:00:00"/>
  </r>
  <r>
    <s v="TXN_7762815"/>
    <x v="4"/>
    <n v="5"/>
    <n v="4"/>
    <n v="20"/>
    <x v="0"/>
    <x v="2"/>
    <d v="2023-07-26T00:00:00"/>
  </r>
  <r>
    <s v="TXN_8421481"/>
    <x v="0"/>
    <n v="4"/>
    <n v="2"/>
    <n v="8"/>
    <x v="3"/>
    <x v="0"/>
    <d v="2023-07-27T00:00:00"/>
  </r>
  <r>
    <s v="TXN_3717307"/>
    <x v="2"/>
    <n v="1"/>
    <n v="1"/>
    <n v="1"/>
    <x v="0"/>
    <x v="1"/>
    <d v="2023-07-02T00:00:00"/>
  </r>
  <r>
    <s v="TXN_6201227"/>
    <x v="3"/>
    <n v="2"/>
    <n v="5"/>
    <n v="10"/>
    <x v="1"/>
    <x v="0"/>
    <d v="2023-01-15T00:00:00"/>
  </r>
  <r>
    <s v="TXN_9052231"/>
    <x v="6"/>
    <n v="1"/>
    <n v="4"/>
    <n v="4"/>
    <x v="0"/>
    <x v="1"/>
    <d v="2023-08-20T00:00:00"/>
  </r>
  <r>
    <s v="TXN_8228865"/>
    <x v="7"/>
    <n v="3"/>
    <n v="3"/>
    <n v="9"/>
    <x v="3"/>
    <x v="1"/>
    <d v="2023-09-19T00:00:00"/>
  </r>
  <r>
    <s v="TXN_5875188"/>
    <x v="3"/>
    <n v="3"/>
    <n v="5"/>
    <n v="15"/>
    <x v="3"/>
    <x v="1"/>
    <d v="2023-07-09T00:00:00"/>
  </r>
  <r>
    <s v="TXN_7997704"/>
    <x v="6"/>
    <n v="2"/>
    <n v="4"/>
    <n v="8"/>
    <x v="3"/>
    <x v="2"/>
    <d v="2023-04-28T00:00:00"/>
  </r>
  <r>
    <s v="TXN_4409875"/>
    <x v="1"/>
    <n v="3"/>
    <n v="3"/>
    <n v="9"/>
    <x v="3"/>
    <x v="2"/>
    <d v="2023-09-08T00:00:00"/>
  </r>
  <r>
    <s v="TXN_4015427"/>
    <x v="2"/>
    <n v="5"/>
    <n v="1"/>
    <n v="5"/>
    <x v="0"/>
    <x v="2"/>
    <d v="2023-08-05T00:00:00"/>
  </r>
  <r>
    <s v="TXN_3358787"/>
    <x v="1"/>
    <n v="1"/>
    <n v="3"/>
    <n v="3"/>
    <x v="3"/>
    <x v="2"/>
    <d v="2023-06-10T00:00:00"/>
  </r>
  <r>
    <s v="TXN_8557847"/>
    <x v="5"/>
    <n v="4"/>
    <n v="4"/>
    <n v="16"/>
    <x v="2"/>
    <x v="0"/>
    <d v="2023-09-02T00:00:00"/>
  </r>
  <r>
    <s v="TXN_1307239"/>
    <x v="0"/>
    <n v="1"/>
    <n v="2"/>
    <n v="2"/>
    <x v="3"/>
    <x v="0"/>
    <d v="2023-10-26T00:00:00"/>
  </r>
  <r>
    <s v="TXN_5138519"/>
    <x v="1"/>
    <n v="5"/>
    <n v="3"/>
    <n v="15"/>
    <x v="1"/>
    <x v="1"/>
    <d v="2023-05-22T00:00:00"/>
  </r>
  <r>
    <s v="TXN_8763436"/>
    <x v="7"/>
    <n v="4"/>
    <n v="3"/>
    <n v="12"/>
    <x v="1"/>
    <x v="2"/>
    <d v="2023-04-11T00:00:00"/>
  </r>
  <r>
    <s v="TXN_3067609"/>
    <x v="5"/>
    <n v="4"/>
    <n v="5"/>
    <n v="20"/>
    <x v="1"/>
    <x v="2"/>
    <d v="2023-12-25T00:00:00"/>
  </r>
  <r>
    <s v="TXN_2450896"/>
    <x v="4"/>
    <n v="1"/>
    <n v="4"/>
    <n v="4"/>
    <x v="3"/>
    <x v="0"/>
    <m/>
  </r>
  <r>
    <s v="TXN_4052950"/>
    <x v="3"/>
    <n v="2"/>
    <n v="5"/>
    <n v="10"/>
    <x v="0"/>
    <x v="2"/>
    <d v="2023-03-13T00:00:00"/>
  </r>
  <r>
    <s v="TXN_2207332"/>
    <x v="0"/>
    <n v="1"/>
    <n v="2"/>
    <n v="2"/>
    <x v="0"/>
    <x v="2"/>
    <d v="2023-01-12T00:00:00"/>
  </r>
  <r>
    <s v="TXN_6633385"/>
    <x v="5"/>
    <n v="2"/>
    <n v="3"/>
    <n v="6"/>
    <x v="0"/>
    <x v="0"/>
    <d v="2023-02-12T00:00:00"/>
  </r>
  <r>
    <s v="TXN_8302551"/>
    <x v="1"/>
    <n v="4"/>
    <n v="3"/>
    <n v="12"/>
    <x v="2"/>
    <x v="2"/>
    <m/>
  </r>
  <r>
    <s v="TXN_6710660"/>
    <x v="3"/>
    <n v="2"/>
    <n v="5"/>
    <n v="10"/>
    <x v="1"/>
    <x v="1"/>
    <d v="2023-02-08T00:00:00"/>
  </r>
  <r>
    <s v="TXN_9523369"/>
    <x v="0"/>
    <n v="3"/>
    <n v="2"/>
    <n v="6"/>
    <x v="3"/>
    <x v="0"/>
    <d v="2023-08-25T00:00:00"/>
  </r>
  <r>
    <s v="TXN_3548756"/>
    <x v="7"/>
    <n v="3"/>
    <n v="3"/>
    <n v="9"/>
    <x v="3"/>
    <x v="2"/>
    <d v="2023-02-24T00:00:00"/>
  </r>
  <r>
    <s v="TXN_9332035"/>
    <x v="2"/>
    <n v="2"/>
    <n v="1"/>
    <n v="2"/>
    <x v="3"/>
    <x v="2"/>
    <d v="2023-11-02T00:00:00"/>
  </r>
  <r>
    <s v="TXN_7539774"/>
    <x v="3"/>
    <n v="1"/>
    <n v="5"/>
    <n v="5"/>
    <x v="2"/>
    <x v="1"/>
    <d v="2023-02-12T00:00:00"/>
  </r>
  <r>
    <s v="TXN_7846513"/>
    <x v="6"/>
    <n v="3"/>
    <n v="4"/>
    <n v="12"/>
    <x v="0"/>
    <x v="2"/>
    <d v="2023-10-19T00:00:00"/>
  </r>
  <r>
    <s v="TXN_6188931"/>
    <x v="1"/>
    <n v="5"/>
    <n v="3"/>
    <n v="15"/>
    <x v="3"/>
    <x v="1"/>
    <d v="2023-01-28T00:00:00"/>
  </r>
  <r>
    <s v="TXN_6707466"/>
    <x v="3"/>
    <n v="2"/>
    <n v="5"/>
    <n v="10"/>
    <x v="0"/>
    <x v="2"/>
    <d v="2023-04-02T00:00:00"/>
  </r>
  <r>
    <s v="TXN_4076392"/>
    <x v="0"/>
    <n v="3"/>
    <n v="2"/>
    <n v="6"/>
    <x v="2"/>
    <x v="1"/>
    <d v="2023-12-24T00:00:00"/>
  </r>
  <r>
    <s v="TXN_2365394"/>
    <x v="1"/>
    <n v="2"/>
    <n v="3"/>
    <n v="6"/>
    <x v="3"/>
    <x v="1"/>
    <d v="2023-04-06T00:00:00"/>
  </r>
  <r>
    <s v="TXN_7089466"/>
    <x v="2"/>
    <n v="4"/>
    <n v="1"/>
    <n v="4"/>
    <x v="2"/>
    <x v="2"/>
    <d v="2023-12-26T00:00:00"/>
  </r>
  <r>
    <s v="TXN_2898188"/>
    <x v="3"/>
    <n v="4"/>
    <n v="5"/>
    <n v="20"/>
    <x v="3"/>
    <x v="0"/>
    <d v="2023-04-26T00:00:00"/>
  </r>
  <r>
    <s v="TXN_1632205"/>
    <x v="2"/>
    <n v="4"/>
    <n v="1"/>
    <n v="4"/>
    <x v="2"/>
    <x v="1"/>
    <d v="2023-02-04T00:00:00"/>
  </r>
  <r>
    <s v="TXN_3741197"/>
    <x v="1"/>
    <n v="4"/>
    <n v="3"/>
    <n v="12"/>
    <x v="0"/>
    <x v="2"/>
    <d v="2023-10-13T00:00:00"/>
  </r>
  <r>
    <s v="TXN_5300938"/>
    <x v="8"/>
    <n v="5"/>
    <n v="1.5"/>
    <n v="7.5"/>
    <x v="1"/>
    <x v="0"/>
    <d v="2023-10-30T00:00:00"/>
  </r>
  <r>
    <s v="TXN_3547013"/>
    <x v="8"/>
    <n v="3"/>
    <n v="1.5"/>
    <n v="4.5"/>
    <x v="2"/>
    <x v="2"/>
    <d v="2023-04-26T00:00:00"/>
  </r>
  <r>
    <s v="TXN_7705748"/>
    <x v="7"/>
    <n v="3"/>
    <n v="3"/>
    <n v="9"/>
    <x v="3"/>
    <x v="2"/>
    <d v="2023-07-14T00:00:00"/>
  </r>
  <r>
    <s v="TXN_7469391"/>
    <x v="0"/>
    <n v="5"/>
    <n v="2"/>
    <n v="10"/>
    <x v="1"/>
    <x v="1"/>
    <m/>
  </r>
  <r>
    <s v="TXN_8073173"/>
    <x v="8"/>
    <n v="5"/>
    <n v="1.5"/>
    <n v="7.5"/>
    <x v="1"/>
    <x v="2"/>
    <d v="2023-07-05T00:00:00"/>
  </r>
  <r>
    <s v="TXN_1489746"/>
    <x v="2"/>
    <n v="3"/>
    <n v="1"/>
    <n v="3"/>
    <x v="3"/>
    <x v="1"/>
    <d v="2023-12-18T00:00:00"/>
  </r>
  <r>
    <s v="TXN_2864951"/>
    <x v="8"/>
    <n v="5"/>
    <n v="1.5"/>
    <n v="7.5"/>
    <x v="0"/>
    <x v="0"/>
    <d v="2023-10-09T00:00:00"/>
  </r>
  <r>
    <s v="TXN_6817889"/>
    <x v="8"/>
    <n v="1"/>
    <n v="1.5"/>
    <n v="1.5"/>
    <x v="2"/>
    <x v="2"/>
    <d v="2023-10-04T00:00:00"/>
  </r>
  <r>
    <s v="TXN_7809825"/>
    <x v="5"/>
    <n v="2"/>
    <n v="4"/>
    <n v="8"/>
    <x v="0"/>
    <x v="2"/>
    <d v="2023-08-26T00:00:00"/>
  </r>
  <r>
    <s v="TXN_7402573"/>
    <x v="6"/>
    <n v="4"/>
    <n v="4"/>
    <n v="16"/>
    <x v="2"/>
    <x v="0"/>
    <d v="2023-02-13T00:00:00"/>
  </r>
  <r>
    <s v="TXN_4762520"/>
    <x v="4"/>
    <n v="1"/>
    <n v="4"/>
    <n v="4"/>
    <x v="1"/>
    <x v="0"/>
    <d v="2023-07-17T00:00:00"/>
  </r>
  <r>
    <s v="TXN_6869880"/>
    <x v="7"/>
    <n v="4"/>
    <n v="3"/>
    <n v="12"/>
    <x v="3"/>
    <x v="0"/>
    <d v="2023-08-05T00:00:00"/>
  </r>
  <r>
    <s v="TXN_3054405"/>
    <x v="7"/>
    <n v="3"/>
    <n v="3"/>
    <n v="9"/>
    <x v="1"/>
    <x v="1"/>
    <d v="2023-11-19T00:00:00"/>
  </r>
  <r>
    <s v="TXN_2085992"/>
    <x v="1"/>
    <n v="1"/>
    <n v="3"/>
    <n v="3"/>
    <x v="2"/>
    <x v="0"/>
    <d v="2023-05-15T00:00:00"/>
  </r>
  <r>
    <s v="TXN_1443201"/>
    <x v="2"/>
    <n v="5"/>
    <n v="1"/>
    <n v="5"/>
    <x v="0"/>
    <x v="1"/>
    <d v="2023-10-03T00:00:00"/>
  </r>
  <r>
    <s v="TXN_9157460"/>
    <x v="1"/>
    <n v="4"/>
    <n v="3"/>
    <n v="12"/>
    <x v="3"/>
    <x v="0"/>
    <d v="2023-01-23T00:00:00"/>
  </r>
  <r>
    <s v="TXN_2299364"/>
    <x v="3"/>
    <n v="1"/>
    <n v="5"/>
    <n v="5"/>
    <x v="1"/>
    <x v="1"/>
    <d v="2023-10-26T00:00:00"/>
  </r>
  <r>
    <s v="TXN_9948645"/>
    <x v="3"/>
    <n v="1"/>
    <n v="5"/>
    <n v="5"/>
    <x v="0"/>
    <x v="2"/>
    <d v="2023-08-29T00:00:00"/>
  </r>
  <r>
    <s v="TXN_8244640"/>
    <x v="2"/>
    <n v="1"/>
    <n v="1"/>
    <n v="1"/>
    <x v="2"/>
    <x v="0"/>
    <d v="2023-09-24T00:00:00"/>
  </r>
  <r>
    <s v="TXN_9507568"/>
    <x v="4"/>
    <n v="4"/>
    <n v="4"/>
    <n v="16"/>
    <x v="0"/>
    <x v="2"/>
    <d v="2023-10-12T00:00:00"/>
  </r>
  <r>
    <s v="TXN_7952916"/>
    <x v="0"/>
    <n v="4"/>
    <n v="2"/>
    <n v="8"/>
    <x v="2"/>
    <x v="2"/>
    <d v="2023-12-10T00:00:00"/>
  </r>
  <r>
    <s v="TXN_1058927"/>
    <x v="6"/>
    <n v="4"/>
    <n v="4"/>
    <n v="16"/>
    <x v="1"/>
    <x v="2"/>
    <d v="2023-07-08T00:00:00"/>
  </r>
  <r>
    <s v="TXN_2165365"/>
    <x v="0"/>
    <n v="5"/>
    <n v="2"/>
    <n v="10"/>
    <x v="3"/>
    <x v="0"/>
    <d v="2023-06-08T00:00:00"/>
  </r>
  <r>
    <s v="TXN_4497327"/>
    <x v="2"/>
    <n v="2"/>
    <n v="1"/>
    <n v="2"/>
    <x v="0"/>
    <x v="2"/>
    <d v="2023-11-08T00:00:00"/>
  </r>
  <r>
    <s v="TXN_3677890"/>
    <x v="6"/>
    <n v="3"/>
    <n v="4"/>
    <n v="12"/>
    <x v="0"/>
    <x v="1"/>
    <d v="2023-02-28T00:00:00"/>
  </r>
  <r>
    <s v="TXN_6029333"/>
    <x v="1"/>
    <n v="1"/>
    <n v="3"/>
    <n v="3"/>
    <x v="2"/>
    <x v="2"/>
    <d v="2023-06-10T00:00:00"/>
  </r>
  <r>
    <s v="TXN_9300970"/>
    <x v="1"/>
    <n v="2"/>
    <n v="3"/>
    <n v="6"/>
    <x v="0"/>
    <x v="0"/>
    <d v="2023-03-06T00:00:00"/>
  </r>
  <r>
    <s v="TXN_3931747"/>
    <x v="5"/>
    <n v="4"/>
    <n v="1"/>
    <n v="4"/>
    <x v="2"/>
    <x v="0"/>
    <d v="2023-01-14T00:00:00"/>
  </r>
  <r>
    <s v="TXN_5747642"/>
    <x v="3"/>
    <n v="2"/>
    <n v="5"/>
    <n v="10"/>
    <x v="1"/>
    <x v="0"/>
    <d v="2023-07-26T00:00:00"/>
  </r>
  <r>
    <s v="TXN_1505875"/>
    <x v="4"/>
    <n v="4"/>
    <n v="4"/>
    <n v="16"/>
    <x v="1"/>
    <x v="0"/>
    <d v="2023-05-17T00:00:00"/>
  </r>
  <r>
    <s v="TXN_5417192"/>
    <x v="2"/>
    <n v="4"/>
    <n v="1"/>
    <n v="4"/>
    <x v="1"/>
    <x v="1"/>
    <d v="2023-06-23T00:00:00"/>
  </r>
  <r>
    <s v="TXN_1522140"/>
    <x v="2"/>
    <n v="4"/>
    <n v="1"/>
    <n v="4"/>
    <x v="1"/>
    <x v="2"/>
    <d v="2023-05-28T00:00:00"/>
  </r>
  <r>
    <s v="TXN_5357157"/>
    <x v="7"/>
    <n v="4"/>
    <n v="3"/>
    <n v="12"/>
    <x v="0"/>
    <x v="1"/>
    <d v="2023-05-21T00:00:00"/>
  </r>
  <r>
    <s v="TXN_2000400"/>
    <x v="8"/>
    <n v="5"/>
    <n v="1.5"/>
    <n v="7.5"/>
    <x v="3"/>
    <x v="0"/>
    <d v="2023-09-29T00:00:00"/>
  </r>
  <r>
    <s v="TXN_5612022"/>
    <x v="2"/>
    <n v="5"/>
    <n v="1"/>
    <n v="5"/>
    <x v="3"/>
    <x v="2"/>
    <d v="2023-09-27T00:00:00"/>
  </r>
  <r>
    <s v="TXN_3105489"/>
    <x v="1"/>
    <n v="3"/>
    <n v="3"/>
    <n v="9"/>
    <x v="3"/>
    <x v="1"/>
    <d v="2023-03-14T00:00:00"/>
  </r>
  <r>
    <s v="TXN_4509329"/>
    <x v="8"/>
    <n v="1"/>
    <n v="1.5"/>
    <n v="1.5"/>
    <x v="2"/>
    <x v="0"/>
    <d v="2023-10-22T00:00:00"/>
  </r>
  <r>
    <s v="TXN_1724815"/>
    <x v="5"/>
    <n v="3"/>
    <n v="4"/>
    <n v="12"/>
    <x v="2"/>
    <x v="1"/>
    <d v="2023-08-16T00:00:00"/>
  </r>
  <r>
    <s v="TXN_2096922"/>
    <x v="0"/>
    <n v="3"/>
    <n v="2"/>
    <n v="6"/>
    <x v="3"/>
    <x v="0"/>
    <d v="2023-12-11T00:00:00"/>
  </r>
  <r>
    <s v="TXN_2563679"/>
    <x v="3"/>
    <n v="3"/>
    <n v="5"/>
    <n v="15"/>
    <x v="3"/>
    <x v="2"/>
    <d v="2023-04-09T00:00:00"/>
  </r>
  <r>
    <s v="TXN_2930503"/>
    <x v="7"/>
    <n v="3"/>
    <n v="3"/>
    <n v="9"/>
    <x v="2"/>
    <x v="1"/>
    <d v="2023-06-18T00:00:00"/>
  </r>
  <r>
    <s v="TXN_9265178"/>
    <x v="6"/>
    <n v="4"/>
    <n v="4"/>
    <n v="16"/>
    <x v="1"/>
    <x v="0"/>
    <d v="2023-03-18T00:00:00"/>
  </r>
  <r>
    <s v="TXN_7126770"/>
    <x v="1"/>
    <n v="4"/>
    <n v="3"/>
    <n v="12"/>
    <x v="0"/>
    <x v="0"/>
    <d v="2023-11-09T00:00:00"/>
  </r>
  <r>
    <s v="TXN_6348409"/>
    <x v="3"/>
    <n v="3"/>
    <n v="5"/>
    <n v="15"/>
    <x v="0"/>
    <x v="0"/>
    <d v="2023-07-26T00:00:00"/>
  </r>
  <r>
    <s v="TXN_3776109"/>
    <x v="5"/>
    <n v="1"/>
    <n v="5"/>
    <n v="5"/>
    <x v="2"/>
    <x v="2"/>
    <d v="2023-05-20T00:00:00"/>
  </r>
  <r>
    <s v="TXN_2538739"/>
    <x v="3"/>
    <n v="2"/>
    <n v="5"/>
    <n v="10"/>
    <x v="2"/>
    <x v="1"/>
    <d v="2023-07-29T00:00:00"/>
  </r>
  <r>
    <s v="TXN_4159135"/>
    <x v="0"/>
    <n v="3"/>
    <n v="2"/>
    <n v="6"/>
    <x v="2"/>
    <x v="0"/>
    <d v="2023-02-09T00:00:00"/>
  </r>
  <r>
    <s v="TXN_1454866"/>
    <x v="6"/>
    <n v="1"/>
    <n v="4"/>
    <n v="4"/>
    <x v="3"/>
    <x v="0"/>
    <d v="2023-12-13T00:00:00"/>
  </r>
  <r>
    <s v="TXN_4654061"/>
    <x v="6"/>
    <n v="2"/>
    <n v="4"/>
    <n v="8"/>
    <x v="0"/>
    <x v="2"/>
    <d v="2023-05-04T00:00:00"/>
  </r>
  <r>
    <s v="TXN_8160791"/>
    <x v="1"/>
    <n v="5"/>
    <n v="3"/>
    <n v="15"/>
    <x v="3"/>
    <x v="1"/>
    <d v="2023-10-24T00:00:00"/>
  </r>
  <r>
    <s v="TXN_1647069"/>
    <x v="6"/>
    <n v="1"/>
    <n v="4"/>
    <n v="4"/>
    <x v="0"/>
    <x v="0"/>
    <d v="2023-04-06T00:00:00"/>
  </r>
  <r>
    <s v="TXN_8499005"/>
    <x v="5"/>
    <n v="5"/>
    <n v="2"/>
    <n v="10"/>
    <x v="2"/>
    <x v="2"/>
    <d v="2023-10-26T00:00:00"/>
  </r>
  <r>
    <s v="TXN_1512185"/>
    <x v="0"/>
    <n v="4"/>
    <n v="2"/>
    <n v="8"/>
    <x v="1"/>
    <x v="0"/>
    <d v="2023-06-16T00:00:00"/>
  </r>
  <r>
    <s v="TXN_8632653"/>
    <x v="7"/>
    <n v="2"/>
    <n v="3"/>
    <n v="6"/>
    <x v="2"/>
    <x v="1"/>
    <d v="2023-12-24T00:00:00"/>
  </r>
  <r>
    <s v="TXN_8744240"/>
    <x v="5"/>
    <n v="4"/>
    <n v="4"/>
    <n v="16"/>
    <x v="1"/>
    <x v="2"/>
    <d v="2023-06-19T00:00:00"/>
  </r>
  <r>
    <s v="TXN_4190750"/>
    <x v="7"/>
    <n v="5"/>
    <n v="3"/>
    <n v="15"/>
    <x v="2"/>
    <x v="0"/>
    <d v="2023-04-02T00:00:00"/>
  </r>
  <r>
    <s v="TXN_9470260"/>
    <x v="0"/>
    <n v="5"/>
    <n v="2"/>
    <n v="10"/>
    <x v="2"/>
    <x v="1"/>
    <d v="2023-10-07T00:00:00"/>
  </r>
  <r>
    <s v="TXN_6257213"/>
    <x v="7"/>
    <n v="5"/>
    <n v="3"/>
    <n v="15"/>
    <x v="1"/>
    <x v="2"/>
    <d v="2023-12-12T00:00:00"/>
  </r>
  <r>
    <s v="TXN_1004563"/>
    <x v="8"/>
    <n v="5"/>
    <n v="1.5"/>
    <n v="7.5"/>
    <x v="0"/>
    <x v="1"/>
    <d v="2023-10-28T00:00:00"/>
  </r>
  <r>
    <s v="TXN_5352739"/>
    <x v="6"/>
    <n v="4"/>
    <n v="4"/>
    <n v="16"/>
    <x v="2"/>
    <x v="2"/>
    <d v="2023-07-31T00:00:00"/>
  </r>
  <r>
    <s v="TXN_7387056"/>
    <x v="7"/>
    <n v="4"/>
    <n v="3"/>
    <n v="12"/>
    <x v="0"/>
    <x v="2"/>
    <d v="2023-10-24T00:00:00"/>
  </r>
  <r>
    <s v="TXN_1927431"/>
    <x v="2"/>
    <n v="1"/>
    <n v="1"/>
    <n v="1"/>
    <x v="0"/>
    <x v="1"/>
    <d v="2023-02-07T00:00:00"/>
  </r>
  <r>
    <s v="TXN_3432433"/>
    <x v="2"/>
    <n v="5"/>
    <n v="1"/>
    <n v="5"/>
    <x v="1"/>
    <x v="1"/>
    <d v="2023-02-19T00:00:00"/>
  </r>
  <r>
    <s v="TXN_1130142"/>
    <x v="2"/>
    <n v="1"/>
    <n v="1"/>
    <n v="1"/>
    <x v="0"/>
    <x v="1"/>
    <d v="2023-03-13T00:00:00"/>
  </r>
  <r>
    <s v="TXN_6682443"/>
    <x v="1"/>
    <n v="4"/>
    <n v="3"/>
    <n v="12"/>
    <x v="3"/>
    <x v="2"/>
    <d v="2023-09-03T00:00:00"/>
  </r>
  <r>
    <s v="TXN_3279039"/>
    <x v="1"/>
    <n v="4"/>
    <n v="3"/>
    <n v="12"/>
    <x v="0"/>
    <x v="1"/>
    <d v="2023-06-26T00:00:00"/>
  </r>
  <r>
    <s v="TXN_6119612"/>
    <x v="5"/>
    <n v="3"/>
    <n v="3"/>
    <n v="9"/>
    <x v="1"/>
    <x v="2"/>
    <d v="2023-12-25T00:00:00"/>
  </r>
  <r>
    <s v="TXN_1295824"/>
    <x v="8"/>
    <n v="1"/>
    <n v="1.5"/>
    <n v="1.5"/>
    <x v="0"/>
    <x v="2"/>
    <d v="2023-08-01T00:00:00"/>
  </r>
  <r>
    <s v="TXN_8305936"/>
    <x v="7"/>
    <n v="3"/>
    <n v="3"/>
    <n v="9"/>
    <x v="3"/>
    <x v="1"/>
    <d v="2023-08-02T00:00:00"/>
  </r>
  <r>
    <s v="TXN_9550664"/>
    <x v="3"/>
    <n v="2"/>
    <n v="5"/>
    <n v="10"/>
    <x v="2"/>
    <x v="2"/>
    <d v="2023-06-29T00:00:00"/>
  </r>
  <r>
    <s v="TXN_3808895"/>
    <x v="3"/>
    <n v="2"/>
    <n v="5"/>
    <n v="10"/>
    <x v="1"/>
    <x v="1"/>
    <d v="2023-07-13T00:00:00"/>
  </r>
  <r>
    <s v="TXN_9843811"/>
    <x v="7"/>
    <n v="2"/>
    <n v="3"/>
    <n v="6"/>
    <x v="0"/>
    <x v="2"/>
    <d v="2023-03-01T00:00:00"/>
  </r>
  <r>
    <s v="TXN_6405258"/>
    <x v="8"/>
    <n v="2"/>
    <n v="1.5"/>
    <n v="3"/>
    <x v="0"/>
    <x v="0"/>
    <d v="2023-08-10T00:00:00"/>
  </r>
  <r>
    <s v="TXN_1224087"/>
    <x v="0"/>
    <n v="5"/>
    <n v="2"/>
    <n v="10"/>
    <x v="3"/>
    <x v="0"/>
    <d v="2023-03-20T00:00:00"/>
  </r>
  <r>
    <s v="TXN_7727118"/>
    <x v="4"/>
    <n v="5"/>
    <n v="4"/>
    <n v="20"/>
    <x v="3"/>
    <x v="0"/>
    <d v="2023-11-04T00:00:00"/>
  </r>
  <r>
    <s v="TXN_8456072"/>
    <x v="4"/>
    <n v="1"/>
    <n v="4"/>
    <n v="4"/>
    <x v="2"/>
    <x v="1"/>
    <d v="2023-07-11T00:00:00"/>
  </r>
  <r>
    <s v="TXN_8173006"/>
    <x v="3"/>
    <n v="3"/>
    <n v="5"/>
    <n v="15"/>
    <x v="2"/>
    <x v="0"/>
    <d v="2023-12-21T00:00:00"/>
  </r>
  <r>
    <s v="TXN_2769769"/>
    <x v="5"/>
    <n v="5"/>
    <n v="5"/>
    <n v="25"/>
    <x v="0"/>
    <x v="1"/>
    <d v="2023-04-01T00:00:00"/>
  </r>
  <r>
    <s v="TXN_8413949"/>
    <x v="7"/>
    <n v="1"/>
    <n v="3"/>
    <n v="3"/>
    <x v="0"/>
    <x v="1"/>
    <d v="2023-10-14T00:00:00"/>
  </r>
  <r>
    <s v="TXN_7538763"/>
    <x v="4"/>
    <n v="1"/>
    <n v="4"/>
    <n v="4"/>
    <x v="2"/>
    <x v="0"/>
    <d v="2023-11-18T00:00:00"/>
  </r>
  <r>
    <s v="TXN_6541110"/>
    <x v="2"/>
    <n v="3"/>
    <n v="1"/>
    <n v="3"/>
    <x v="1"/>
    <x v="1"/>
    <d v="2023-12-30T00:00:00"/>
  </r>
  <r>
    <s v="TXN_6264390"/>
    <x v="5"/>
    <n v="2"/>
    <n v="4"/>
    <n v="8"/>
    <x v="1"/>
    <x v="2"/>
    <d v="2023-06-29T00:00:00"/>
  </r>
  <r>
    <s v="TXN_6814891"/>
    <x v="0"/>
    <n v="1"/>
    <n v="2"/>
    <n v="2"/>
    <x v="3"/>
    <x v="0"/>
    <d v="2023-06-26T00:00:00"/>
  </r>
  <r>
    <s v="TXN_9884180"/>
    <x v="3"/>
    <n v="1"/>
    <n v="5"/>
    <n v="5"/>
    <x v="1"/>
    <x v="0"/>
    <d v="2023-05-19T00:00:00"/>
  </r>
  <r>
    <s v="TXN_6424202"/>
    <x v="2"/>
    <n v="2"/>
    <n v="1"/>
    <n v="2"/>
    <x v="0"/>
    <x v="1"/>
    <d v="2023-11-20T00:00:00"/>
  </r>
  <r>
    <s v="TXN_6775024"/>
    <x v="0"/>
    <n v="2"/>
    <n v="2"/>
    <n v="4"/>
    <x v="1"/>
    <x v="1"/>
    <d v="2023-01-30T00:00:00"/>
  </r>
  <r>
    <s v="TXN_8540553"/>
    <x v="1"/>
    <n v="1"/>
    <n v="3"/>
    <n v="3"/>
    <x v="2"/>
    <x v="1"/>
    <d v="2023-07-13T00:00:00"/>
  </r>
  <r>
    <s v="TXN_6501361"/>
    <x v="3"/>
    <n v="5"/>
    <n v="5"/>
    <n v="25"/>
    <x v="1"/>
    <x v="1"/>
    <d v="2023-01-17T00:00:00"/>
  </r>
  <r>
    <s v="TXN_5671997"/>
    <x v="7"/>
    <n v="3"/>
    <n v="3"/>
    <n v="9"/>
    <x v="2"/>
    <x v="0"/>
    <d v="2023-09-03T00:00:00"/>
  </r>
  <r>
    <s v="TXN_4283360"/>
    <x v="0"/>
    <n v="2"/>
    <n v="2"/>
    <n v="4"/>
    <x v="0"/>
    <x v="1"/>
    <d v="2023-12-19T00:00:00"/>
  </r>
  <r>
    <s v="TXN_3956393"/>
    <x v="2"/>
    <n v="4"/>
    <n v="1"/>
    <n v="4"/>
    <x v="0"/>
    <x v="1"/>
    <d v="2023-01-14T00:00:00"/>
  </r>
  <r>
    <s v="TXN_1971103"/>
    <x v="7"/>
    <n v="4"/>
    <n v="3"/>
    <n v="12"/>
    <x v="2"/>
    <x v="2"/>
    <d v="2023-08-22T00:00:00"/>
  </r>
  <r>
    <s v="TXN_9576057"/>
    <x v="8"/>
    <n v="5"/>
    <n v="1.5"/>
    <n v="7.5"/>
    <x v="3"/>
    <x v="0"/>
    <d v="2023-03-03T00:00:00"/>
  </r>
  <r>
    <s v="TXN_1435035"/>
    <x v="4"/>
    <n v="1"/>
    <n v="4"/>
    <n v="4"/>
    <x v="2"/>
    <x v="1"/>
    <d v="2023-12-31T00:00:00"/>
  </r>
  <r>
    <s v="TXN_8111101"/>
    <x v="6"/>
    <n v="5"/>
    <n v="4"/>
    <n v="20"/>
    <x v="1"/>
    <x v="2"/>
    <d v="2023-01-12T00:00:00"/>
  </r>
  <r>
    <s v="TXN_8323012"/>
    <x v="8"/>
    <n v="3"/>
    <n v="1.5"/>
    <n v="4.5"/>
    <x v="0"/>
    <x v="2"/>
    <d v="2023-12-17T00:00:00"/>
  </r>
  <r>
    <s v="TXN_9415451"/>
    <x v="1"/>
    <n v="3"/>
    <n v="3"/>
    <n v="9"/>
    <x v="2"/>
    <x v="0"/>
    <d v="2023-01-04T00:00:00"/>
  </r>
  <r>
    <s v="TXN_7072883"/>
    <x v="4"/>
    <n v="1"/>
    <n v="4"/>
    <n v="4"/>
    <x v="0"/>
    <x v="2"/>
    <d v="2023-10-05T00:00:00"/>
  </r>
  <r>
    <s v="TXN_7455637"/>
    <x v="7"/>
    <n v="3"/>
    <n v="3"/>
    <n v="9"/>
    <x v="2"/>
    <x v="0"/>
    <d v="2023-04-23T00:00:00"/>
  </r>
  <r>
    <s v="TXN_3779292"/>
    <x v="3"/>
    <n v="2"/>
    <n v="5"/>
    <n v="10"/>
    <x v="0"/>
    <x v="1"/>
    <d v="2023-12-30T00:00:00"/>
  </r>
  <r>
    <s v="TXN_2629420"/>
    <x v="4"/>
    <n v="2"/>
    <n v="4"/>
    <n v="8"/>
    <x v="2"/>
    <x v="0"/>
    <d v="2023-01-16T00:00:00"/>
  </r>
  <r>
    <s v="TXN_5848025"/>
    <x v="8"/>
    <n v="5"/>
    <n v="1.5"/>
    <n v="7.5"/>
    <x v="0"/>
    <x v="1"/>
    <d v="2023-01-19T00:00:00"/>
  </r>
  <r>
    <s v="TXN_1452253"/>
    <x v="6"/>
    <n v="2"/>
    <n v="4"/>
    <n v="8"/>
    <x v="2"/>
    <x v="2"/>
    <d v="2023-05-12T00:00:00"/>
  </r>
  <r>
    <s v="TXN_4661976"/>
    <x v="4"/>
    <n v="3"/>
    <n v="4"/>
    <n v="12"/>
    <x v="3"/>
    <x v="2"/>
    <d v="2023-10-13T00:00:00"/>
  </r>
  <r>
    <s v="TXN_4818703"/>
    <x v="2"/>
    <n v="2"/>
    <n v="1"/>
    <n v="2"/>
    <x v="3"/>
    <x v="0"/>
    <d v="2023-04-20T00:00:00"/>
  </r>
  <r>
    <s v="TXN_9849760"/>
    <x v="1"/>
    <n v="2"/>
    <n v="3"/>
    <n v="6"/>
    <x v="2"/>
    <x v="0"/>
    <d v="2023-09-01T00:00:00"/>
  </r>
  <r>
    <s v="TXN_6387334"/>
    <x v="4"/>
    <n v="5"/>
    <n v="4"/>
    <n v="20"/>
    <x v="3"/>
    <x v="1"/>
    <d v="2023-02-19T00:00:00"/>
  </r>
  <r>
    <s v="TXN_6431384"/>
    <x v="7"/>
    <n v="4"/>
    <n v="3"/>
    <n v="12"/>
    <x v="3"/>
    <x v="1"/>
    <d v="2023-08-06T00:00:00"/>
  </r>
  <r>
    <s v="TXN_2445017"/>
    <x v="8"/>
    <n v="5"/>
    <n v="1.5"/>
    <n v="7.5"/>
    <x v="2"/>
    <x v="0"/>
    <d v="2023-07-23T00:00:00"/>
  </r>
  <r>
    <s v="TXN_9202190"/>
    <x v="6"/>
    <n v="5"/>
    <n v="4"/>
    <n v="20"/>
    <x v="2"/>
    <x v="1"/>
    <d v="2023-08-25T00:00:00"/>
  </r>
  <r>
    <s v="TXN_4695464"/>
    <x v="2"/>
    <n v="4"/>
    <n v="1"/>
    <n v="4"/>
    <x v="2"/>
    <x v="0"/>
    <m/>
  </r>
  <r>
    <s v="TXN_1486576"/>
    <x v="6"/>
    <n v="4"/>
    <n v="4"/>
    <n v="16"/>
    <x v="2"/>
    <x v="0"/>
    <d v="2023-09-10T00:00:00"/>
  </r>
  <r>
    <s v="TXN_5530717"/>
    <x v="7"/>
    <n v="1"/>
    <n v="3"/>
    <n v="3"/>
    <x v="0"/>
    <x v="1"/>
    <d v="2023-03-10T00:00:00"/>
  </r>
  <r>
    <s v="TXN_7490314"/>
    <x v="2"/>
    <n v="2"/>
    <n v="1"/>
    <n v="2"/>
    <x v="2"/>
    <x v="1"/>
    <d v="2023-05-14T00:00:00"/>
  </r>
  <r>
    <s v="TXN_1811734"/>
    <x v="0"/>
    <n v="4"/>
    <n v="2"/>
    <n v="8"/>
    <x v="2"/>
    <x v="2"/>
    <d v="2023-07-16T00:00:00"/>
  </r>
  <r>
    <s v="TXN_3100053"/>
    <x v="1"/>
    <n v="3"/>
    <n v="3"/>
    <n v="9"/>
    <x v="1"/>
    <x v="1"/>
    <d v="2023-12-19T00:00:00"/>
  </r>
  <r>
    <s v="TXN_5812394"/>
    <x v="3"/>
    <n v="5"/>
    <n v="5"/>
    <n v="25"/>
    <x v="1"/>
    <x v="2"/>
    <d v="2023-10-17T00:00:00"/>
  </r>
  <r>
    <s v="TXN_6315475"/>
    <x v="0"/>
    <n v="2"/>
    <n v="2"/>
    <n v="4"/>
    <x v="2"/>
    <x v="2"/>
    <d v="2023-09-23T00:00:00"/>
  </r>
  <r>
    <s v="TXN_5477578"/>
    <x v="4"/>
    <n v="1"/>
    <n v="4"/>
    <n v="4"/>
    <x v="3"/>
    <x v="0"/>
    <d v="2023-03-12T00:00:00"/>
  </r>
  <r>
    <s v="TXN_5373441"/>
    <x v="3"/>
    <n v="1"/>
    <n v="5"/>
    <n v="5"/>
    <x v="2"/>
    <x v="1"/>
    <d v="2023-06-02T00:00:00"/>
  </r>
  <r>
    <s v="TXN_1094145"/>
    <x v="2"/>
    <n v="3"/>
    <n v="1"/>
    <n v="3"/>
    <x v="0"/>
    <x v="2"/>
    <d v="2023-03-15T00:00:00"/>
  </r>
  <r>
    <s v="TXN_8680875"/>
    <x v="5"/>
    <n v="2"/>
    <n v="1.5"/>
    <n v="3"/>
    <x v="1"/>
    <x v="0"/>
    <d v="2023-07-21T00:00:00"/>
  </r>
  <r>
    <s v="TXN_6504180"/>
    <x v="4"/>
    <n v="1"/>
    <n v="4"/>
    <n v="4"/>
    <x v="3"/>
    <x v="1"/>
    <d v="2023-08-31T00:00:00"/>
  </r>
  <r>
    <s v="TXN_6378045"/>
    <x v="6"/>
    <n v="5"/>
    <n v="4"/>
    <n v="20"/>
    <x v="3"/>
    <x v="1"/>
    <d v="2023-05-07T00:00:00"/>
  </r>
  <r>
    <s v="TXN_4502704"/>
    <x v="8"/>
    <n v="4"/>
    <n v="1.5"/>
    <n v="6"/>
    <x v="2"/>
    <x v="1"/>
    <d v="2023-04-04T00:00:00"/>
  </r>
  <r>
    <s v="TXN_6992967"/>
    <x v="4"/>
    <n v="5"/>
    <n v="4"/>
    <n v="20"/>
    <x v="1"/>
    <x v="2"/>
    <d v="2023-08-29T00:00:00"/>
  </r>
  <r>
    <s v="TXN_6266147"/>
    <x v="7"/>
    <n v="3"/>
    <n v="3"/>
    <n v="9"/>
    <x v="0"/>
    <x v="1"/>
    <d v="2023-01-31T00:00:00"/>
  </r>
  <r>
    <s v="TXN_7499330"/>
    <x v="2"/>
    <n v="1"/>
    <n v="1"/>
    <n v="1"/>
    <x v="0"/>
    <x v="1"/>
    <d v="2023-10-28T00:00:00"/>
  </r>
  <r>
    <s v="TXN_8815623"/>
    <x v="0"/>
    <n v="2"/>
    <n v="2"/>
    <n v="4"/>
    <x v="3"/>
    <x v="1"/>
    <d v="2023-02-03T00:00:00"/>
  </r>
  <r>
    <s v="TXN_7632478"/>
    <x v="7"/>
    <n v="2"/>
    <n v="3"/>
    <n v="6"/>
    <x v="3"/>
    <x v="2"/>
    <d v="2023-04-11T00:00:00"/>
  </r>
  <r>
    <s v="TXN_5431854"/>
    <x v="2"/>
    <n v="3"/>
    <n v="1"/>
    <n v="3"/>
    <x v="2"/>
    <x v="1"/>
    <d v="2023-01-18T00:00:00"/>
  </r>
  <r>
    <s v="TXN_3518789"/>
    <x v="0"/>
    <n v="2"/>
    <n v="2"/>
    <n v="4"/>
    <x v="3"/>
    <x v="0"/>
    <d v="2023-12-01T00:00:00"/>
  </r>
  <r>
    <s v="TXN_6162668"/>
    <x v="5"/>
    <n v="4"/>
    <n v="5"/>
    <n v="20"/>
    <x v="3"/>
    <x v="2"/>
    <d v="2023-03-30T00:00:00"/>
  </r>
  <r>
    <s v="TXN_4767006"/>
    <x v="1"/>
    <n v="1"/>
    <n v="3"/>
    <n v="3"/>
    <x v="1"/>
    <x v="0"/>
    <d v="2023-08-23T00:00:00"/>
  </r>
  <r>
    <s v="TXN_2880409"/>
    <x v="8"/>
    <n v="4"/>
    <n v="1.5"/>
    <n v="6"/>
    <x v="1"/>
    <x v="2"/>
    <d v="2023-09-11T00:00:00"/>
  </r>
  <r>
    <s v="TXN_4277671"/>
    <x v="8"/>
    <n v="5"/>
    <n v="1.5"/>
    <n v="7.5"/>
    <x v="2"/>
    <x v="0"/>
    <d v="2023-08-21T00:00:00"/>
  </r>
  <r>
    <s v="TXN_8810601"/>
    <x v="7"/>
    <n v="2"/>
    <n v="3"/>
    <n v="6"/>
    <x v="3"/>
    <x v="2"/>
    <d v="2023-08-18T00:00:00"/>
  </r>
  <r>
    <s v="TXN_6572164"/>
    <x v="2"/>
    <n v="4"/>
    <n v="1"/>
    <n v="4"/>
    <x v="0"/>
    <x v="0"/>
    <d v="2023-01-15T00:00:00"/>
  </r>
  <r>
    <s v="TXN_6281959"/>
    <x v="5"/>
    <n v="4"/>
    <n v="1.5"/>
    <n v="6"/>
    <x v="2"/>
    <x v="1"/>
    <d v="2023-03-16T00:00:00"/>
  </r>
  <r>
    <s v="TXN_6714068"/>
    <x v="0"/>
    <n v="1"/>
    <n v="2"/>
    <n v="2"/>
    <x v="2"/>
    <x v="2"/>
    <d v="2023-02-17T00:00:00"/>
  </r>
  <r>
    <s v="TXN_2470532"/>
    <x v="5"/>
    <n v="1"/>
    <n v="2"/>
    <n v="2"/>
    <x v="3"/>
    <x v="1"/>
    <d v="2023-01-21T00:00:00"/>
  </r>
  <r>
    <s v="TXN_6920323"/>
    <x v="6"/>
    <n v="1"/>
    <n v="4"/>
    <n v="4"/>
    <x v="0"/>
    <x v="2"/>
    <d v="2023-06-10T00:00:00"/>
  </r>
  <r>
    <s v="TXN_6519486"/>
    <x v="1"/>
    <n v="5"/>
    <n v="3"/>
    <n v="15"/>
    <x v="2"/>
    <x v="2"/>
    <d v="2023-02-05T00:00:00"/>
  </r>
  <r>
    <s v="TXN_7524971"/>
    <x v="8"/>
    <n v="4"/>
    <n v="1.5"/>
    <n v="6"/>
    <x v="3"/>
    <x v="0"/>
    <d v="2023-09-05T00:00:00"/>
  </r>
  <r>
    <s v="TXN_4650447"/>
    <x v="8"/>
    <n v="1"/>
    <n v="1.5"/>
    <n v="1.5"/>
    <x v="1"/>
    <x v="2"/>
    <d v="2023-08-18T00:00:00"/>
  </r>
  <r>
    <s v="TXN_3928174"/>
    <x v="0"/>
    <n v="3"/>
    <n v="2"/>
    <n v="6"/>
    <x v="2"/>
    <x v="2"/>
    <d v="2023-09-11T00:00:00"/>
  </r>
  <r>
    <s v="TXN_1475403"/>
    <x v="2"/>
    <n v="1"/>
    <n v="1"/>
    <n v="1"/>
    <x v="1"/>
    <x v="1"/>
    <m/>
  </r>
  <r>
    <s v="TXN_1700027"/>
    <x v="4"/>
    <n v="4"/>
    <n v="4"/>
    <n v="16"/>
    <x v="3"/>
    <x v="1"/>
    <d v="2023-06-04T00:00:00"/>
  </r>
  <r>
    <s v="TXN_2026084"/>
    <x v="5"/>
    <n v="2"/>
    <n v="2"/>
    <n v="4"/>
    <x v="1"/>
    <x v="1"/>
    <d v="2023-10-20T00:00:00"/>
  </r>
  <r>
    <s v="TXN_5942938"/>
    <x v="5"/>
    <n v="3"/>
    <n v="3"/>
    <n v="9"/>
    <x v="0"/>
    <x v="2"/>
    <d v="2023-05-24T00:00:00"/>
  </r>
  <r>
    <s v="TXN_8813764"/>
    <x v="2"/>
    <n v="1"/>
    <n v="1"/>
    <n v="1"/>
    <x v="0"/>
    <x v="1"/>
    <d v="2023-05-08T00:00:00"/>
  </r>
  <r>
    <s v="TXN_5202349"/>
    <x v="2"/>
    <n v="4"/>
    <n v="1"/>
    <n v="4"/>
    <x v="2"/>
    <x v="1"/>
    <d v="2023-11-27T00:00:00"/>
  </r>
  <r>
    <s v="TXN_2409052"/>
    <x v="6"/>
    <n v="1"/>
    <n v="4"/>
    <n v="4"/>
    <x v="0"/>
    <x v="1"/>
    <d v="2023-07-08T00:00:00"/>
  </r>
  <r>
    <s v="TXN_8528546"/>
    <x v="1"/>
    <n v="3"/>
    <n v="3"/>
    <n v="9"/>
    <x v="1"/>
    <x v="2"/>
    <d v="2023-12-09T00:00:00"/>
  </r>
  <r>
    <s v="TXN_4849860"/>
    <x v="8"/>
    <n v="4"/>
    <n v="1.5"/>
    <n v="6"/>
    <x v="0"/>
    <x v="1"/>
    <d v="2023-12-01T00:00:00"/>
  </r>
  <r>
    <s v="TXN_1840897"/>
    <x v="5"/>
    <n v="1"/>
    <n v="5"/>
    <n v="5"/>
    <x v="2"/>
    <x v="2"/>
    <d v="2023-06-03T00:00:00"/>
  </r>
  <r>
    <s v="TXN_7689696"/>
    <x v="5"/>
    <n v="5"/>
    <n v="4"/>
    <n v="20"/>
    <x v="3"/>
    <x v="0"/>
    <d v="2023-07-03T00:00:00"/>
  </r>
  <r>
    <s v="TXN_6905794"/>
    <x v="3"/>
    <n v="1"/>
    <n v="5"/>
    <n v="5"/>
    <x v="1"/>
    <x v="0"/>
    <d v="2023-05-31T00:00:00"/>
  </r>
  <r>
    <s v="TXN_4469769"/>
    <x v="3"/>
    <n v="5"/>
    <n v="5"/>
    <n v="25"/>
    <x v="2"/>
    <x v="2"/>
    <d v="2023-08-15T00:00:00"/>
  </r>
  <r>
    <s v="TXN_9452261"/>
    <x v="1"/>
    <n v="5"/>
    <n v="3"/>
    <n v="15"/>
    <x v="2"/>
    <x v="2"/>
    <d v="2023-11-29T00:00:00"/>
  </r>
  <r>
    <s v="TXN_7347515"/>
    <x v="4"/>
    <n v="3"/>
    <n v="4"/>
    <n v="12"/>
    <x v="2"/>
    <x v="0"/>
    <d v="2023-04-25T00:00:00"/>
  </r>
  <r>
    <s v="TXN_1940330"/>
    <x v="8"/>
    <n v="4"/>
    <n v="1.5"/>
    <n v="6"/>
    <x v="2"/>
    <x v="1"/>
    <d v="2023-01-12T00:00:00"/>
  </r>
  <r>
    <s v="TXN_1576355"/>
    <x v="0"/>
    <n v="4"/>
    <n v="2"/>
    <n v="8"/>
    <x v="2"/>
    <x v="2"/>
    <d v="2023-10-20T00:00:00"/>
  </r>
  <r>
    <s v="TXN_8615635"/>
    <x v="5"/>
    <n v="4"/>
    <n v="1"/>
    <n v="4"/>
    <x v="2"/>
    <x v="1"/>
    <d v="2023-01-12T00:00:00"/>
  </r>
  <r>
    <s v="TXN_9511794"/>
    <x v="2"/>
    <n v="1"/>
    <n v="1"/>
    <n v="1"/>
    <x v="1"/>
    <x v="0"/>
    <d v="2023-06-10T00:00:00"/>
  </r>
  <r>
    <s v="TXN_9024781"/>
    <x v="4"/>
    <n v="4"/>
    <n v="4"/>
    <n v="16"/>
    <x v="1"/>
    <x v="1"/>
    <d v="2023-09-12T00:00:00"/>
  </r>
  <r>
    <s v="TXN_7771526"/>
    <x v="7"/>
    <n v="1"/>
    <n v="3"/>
    <n v="3"/>
    <x v="1"/>
    <x v="1"/>
    <d v="2023-04-28T00:00:00"/>
  </r>
  <r>
    <s v="TXN_7070302"/>
    <x v="3"/>
    <n v="3"/>
    <n v="5"/>
    <n v="15"/>
    <x v="2"/>
    <x v="1"/>
    <d v="2023-04-30T00:00:00"/>
  </r>
  <r>
    <s v="TXN_6511228"/>
    <x v="3"/>
    <n v="4"/>
    <n v="5"/>
    <n v="20"/>
    <x v="0"/>
    <x v="2"/>
    <d v="2023-11-01T00:00:00"/>
  </r>
  <r>
    <s v="TXN_5320512"/>
    <x v="8"/>
    <n v="5"/>
    <n v="1.5"/>
    <n v="7.5"/>
    <x v="2"/>
    <x v="1"/>
    <d v="2023-04-25T00:00:00"/>
  </r>
  <r>
    <s v="TXN_2972777"/>
    <x v="7"/>
    <n v="4"/>
    <n v="3"/>
    <n v="12"/>
    <x v="0"/>
    <x v="2"/>
    <d v="2023-04-08T00:00:00"/>
  </r>
  <r>
    <s v="TXN_8591813"/>
    <x v="0"/>
    <n v="3"/>
    <n v="2"/>
    <n v="6"/>
    <x v="1"/>
    <x v="0"/>
    <d v="2023-10-31T00:00:00"/>
  </r>
  <r>
    <s v="TXN_4095768"/>
    <x v="3"/>
    <n v="5"/>
    <n v="5"/>
    <n v="25"/>
    <x v="3"/>
    <x v="1"/>
    <d v="2023-06-18T00:00:00"/>
  </r>
  <r>
    <s v="TXN_9107508"/>
    <x v="0"/>
    <n v="1"/>
    <n v="2"/>
    <n v="2"/>
    <x v="2"/>
    <x v="2"/>
    <d v="2023-06-06T00:00:00"/>
  </r>
  <r>
    <s v="TXN_2791987"/>
    <x v="4"/>
    <n v="1"/>
    <n v="4"/>
    <n v="4"/>
    <x v="0"/>
    <x v="2"/>
    <d v="2023-06-23T00:00:00"/>
  </r>
  <r>
    <s v="TXN_6045577"/>
    <x v="5"/>
    <n v="3"/>
    <n v="2"/>
    <n v="6"/>
    <x v="0"/>
    <x v="2"/>
    <d v="2023-07-06T00:00:00"/>
  </r>
  <r>
    <s v="TXN_5534944"/>
    <x v="8"/>
    <n v="5"/>
    <n v="1.5"/>
    <n v="7.5"/>
    <x v="0"/>
    <x v="0"/>
    <d v="2023-01-26T00:00:00"/>
  </r>
  <r>
    <s v="TXN_7887682"/>
    <x v="5"/>
    <n v="2"/>
    <n v="2"/>
    <n v="4"/>
    <x v="0"/>
    <x v="0"/>
    <d v="2023-06-17T00:00:00"/>
  </r>
  <r>
    <s v="TXN_5037517"/>
    <x v="5"/>
    <n v="5"/>
    <n v="4"/>
    <n v="20"/>
    <x v="2"/>
    <x v="1"/>
    <d v="2023-06-01T00:00:00"/>
  </r>
  <r>
    <s v="TXN_6805091"/>
    <x v="5"/>
    <n v="2"/>
    <n v="4"/>
    <n v="8"/>
    <x v="1"/>
    <x v="2"/>
    <d v="2023-12-28T00:00:00"/>
  </r>
  <r>
    <s v="TXN_5839300"/>
    <x v="1"/>
    <n v="1"/>
    <n v="3"/>
    <n v="3"/>
    <x v="0"/>
    <x v="2"/>
    <d v="2023-07-01T00:00:00"/>
  </r>
  <r>
    <s v="TXN_7801115"/>
    <x v="8"/>
    <n v="1"/>
    <n v="1.5"/>
    <n v="1.5"/>
    <x v="1"/>
    <x v="2"/>
    <d v="2023-12-18T00:00:00"/>
  </r>
  <r>
    <s v="TXN_4753853"/>
    <x v="5"/>
    <n v="5"/>
    <n v="3"/>
    <n v="15"/>
    <x v="0"/>
    <x v="0"/>
    <d v="2023-05-07T00:00:00"/>
  </r>
  <r>
    <s v="TXN_7145259"/>
    <x v="7"/>
    <n v="2"/>
    <n v="3"/>
    <n v="6"/>
    <x v="3"/>
    <x v="1"/>
    <d v="2023-11-11T00:00:00"/>
  </r>
  <r>
    <s v="TXN_2817018"/>
    <x v="6"/>
    <n v="3"/>
    <n v="4"/>
    <n v="12"/>
    <x v="0"/>
    <x v="0"/>
    <d v="2023-04-25T00:00:00"/>
  </r>
  <r>
    <s v="TXN_6762490"/>
    <x v="7"/>
    <n v="5"/>
    <n v="3"/>
    <n v="15"/>
    <x v="1"/>
    <x v="2"/>
    <d v="2023-05-03T00:00:00"/>
  </r>
  <r>
    <s v="TXN_9705872"/>
    <x v="2"/>
    <n v="3"/>
    <n v="1"/>
    <n v="3"/>
    <x v="2"/>
    <x v="1"/>
    <m/>
  </r>
  <r>
    <s v="TXN_6012446"/>
    <x v="4"/>
    <n v="4"/>
    <n v="4"/>
    <n v="16"/>
    <x v="1"/>
    <x v="0"/>
    <d v="2023-07-20T00:00:00"/>
  </r>
  <r>
    <s v="TXN_8936086"/>
    <x v="6"/>
    <n v="4"/>
    <n v="4"/>
    <n v="16"/>
    <x v="2"/>
    <x v="1"/>
    <d v="2023-11-27T00:00:00"/>
  </r>
  <r>
    <s v="TXN_4135134"/>
    <x v="2"/>
    <n v="5"/>
    <n v="1"/>
    <n v="5"/>
    <x v="0"/>
    <x v="0"/>
    <d v="2023-08-11T00:00:00"/>
  </r>
  <r>
    <s v="TXN_7808032"/>
    <x v="2"/>
    <n v="4"/>
    <n v="1"/>
    <n v="4"/>
    <x v="2"/>
    <x v="0"/>
    <d v="2023-12-19T00:00:00"/>
  </r>
  <r>
    <s v="TXN_2212234"/>
    <x v="7"/>
    <n v="2"/>
    <n v="3"/>
    <n v="6"/>
    <x v="1"/>
    <x v="1"/>
    <d v="2023-12-22T00:00:00"/>
  </r>
  <r>
    <s v="TXN_8611918"/>
    <x v="5"/>
    <n v="3"/>
    <n v="5"/>
    <n v="15"/>
    <x v="1"/>
    <x v="0"/>
    <d v="2023-06-27T00:00:00"/>
  </r>
  <r>
    <s v="TXN_5115009"/>
    <x v="1"/>
    <n v="4"/>
    <n v="3"/>
    <n v="12"/>
    <x v="2"/>
    <x v="0"/>
    <d v="2023-02-21T00:00:00"/>
  </r>
  <r>
    <s v="TXN_9827492"/>
    <x v="8"/>
    <n v="3"/>
    <n v="1.5"/>
    <n v="4.5"/>
    <x v="2"/>
    <x v="2"/>
    <d v="2023-07-13T00:00:00"/>
  </r>
  <r>
    <s v="TXN_6344003"/>
    <x v="1"/>
    <n v="1"/>
    <n v="3"/>
    <n v="3"/>
    <x v="2"/>
    <x v="2"/>
    <d v="2023-12-22T00:00:00"/>
  </r>
  <r>
    <s v="TXN_1993155"/>
    <x v="7"/>
    <n v="1"/>
    <n v="3"/>
    <n v="3"/>
    <x v="2"/>
    <x v="2"/>
    <d v="2023-05-23T00:00:00"/>
  </r>
  <r>
    <s v="TXN_4566012"/>
    <x v="2"/>
    <n v="5"/>
    <n v="1"/>
    <n v="5"/>
    <x v="0"/>
    <x v="0"/>
    <d v="2023-05-10T00:00:00"/>
  </r>
  <r>
    <s v="TXN_1030539"/>
    <x v="1"/>
    <n v="3"/>
    <n v="3"/>
    <n v="9"/>
    <x v="2"/>
    <x v="0"/>
    <d v="2023-11-06T00:00:00"/>
  </r>
  <r>
    <s v="TXN_3830605"/>
    <x v="0"/>
    <n v="1"/>
    <n v="2"/>
    <n v="2"/>
    <x v="2"/>
    <x v="0"/>
    <d v="2023-12-07T00:00:00"/>
  </r>
  <r>
    <s v="TXN_5052515"/>
    <x v="8"/>
    <n v="1"/>
    <n v="1.5"/>
    <n v="1.5"/>
    <x v="1"/>
    <x v="1"/>
    <d v="2023-09-19T00:00:00"/>
  </r>
  <r>
    <s v="TXN_5125382"/>
    <x v="0"/>
    <n v="1"/>
    <n v="2"/>
    <n v="2"/>
    <x v="3"/>
    <x v="1"/>
    <d v="2023-12-26T00:00:00"/>
  </r>
  <r>
    <s v="TXN_5015183"/>
    <x v="1"/>
    <n v="2"/>
    <n v="3"/>
    <n v="6"/>
    <x v="2"/>
    <x v="1"/>
    <d v="2023-08-29T00:00:00"/>
  </r>
  <r>
    <s v="TXN_1661068"/>
    <x v="3"/>
    <n v="3"/>
    <n v="5"/>
    <n v="15"/>
    <x v="1"/>
    <x v="0"/>
    <d v="2023-04-09T00:00:00"/>
  </r>
  <r>
    <s v="TXN_9549381"/>
    <x v="7"/>
    <n v="1"/>
    <n v="3"/>
    <n v="3"/>
    <x v="3"/>
    <x v="1"/>
    <d v="2023-11-23T00:00:00"/>
  </r>
  <r>
    <s v="TXN_7812084"/>
    <x v="6"/>
    <n v="4"/>
    <n v="4"/>
    <n v="16"/>
    <x v="1"/>
    <x v="1"/>
    <d v="2023-01-17T00:00:00"/>
  </r>
  <r>
    <s v="TXN_1694364"/>
    <x v="6"/>
    <n v="3"/>
    <n v="4"/>
    <n v="12"/>
    <x v="2"/>
    <x v="0"/>
    <d v="2023-06-10T00:00:00"/>
  </r>
  <r>
    <s v="TXN_4191925"/>
    <x v="0"/>
    <n v="2"/>
    <n v="2"/>
    <n v="4"/>
    <x v="2"/>
    <x v="2"/>
    <d v="2023-10-21T00:00:00"/>
  </r>
  <r>
    <s v="TXN_2258091"/>
    <x v="7"/>
    <n v="2"/>
    <n v="3"/>
    <n v="6"/>
    <x v="2"/>
    <x v="1"/>
    <d v="2023-10-11T00:00:00"/>
  </r>
  <r>
    <s v="TXN_6482262"/>
    <x v="7"/>
    <n v="3"/>
    <n v="3"/>
    <n v="9"/>
    <x v="0"/>
    <x v="2"/>
    <d v="2023-05-13T00:00:00"/>
  </r>
  <r>
    <s v="TXN_1951166"/>
    <x v="8"/>
    <n v="2"/>
    <n v="1.5"/>
    <n v="3"/>
    <x v="0"/>
    <x v="2"/>
    <d v="2023-08-28T00:00:00"/>
  </r>
  <r>
    <s v="TXN_4552615"/>
    <x v="1"/>
    <n v="2"/>
    <n v="3"/>
    <n v="6"/>
    <x v="1"/>
    <x v="0"/>
    <d v="2023-04-09T00:00:00"/>
  </r>
  <r>
    <s v="TXN_6745856"/>
    <x v="1"/>
    <n v="4"/>
    <n v="3"/>
    <n v="12"/>
    <x v="1"/>
    <x v="1"/>
    <d v="2023-06-16T00:00:00"/>
  </r>
  <r>
    <s v="TXN_4898949"/>
    <x v="3"/>
    <n v="1"/>
    <n v="5"/>
    <n v="5"/>
    <x v="2"/>
    <x v="1"/>
    <d v="2023-09-18T00:00:00"/>
  </r>
  <r>
    <s v="TXN_7027560"/>
    <x v="5"/>
    <n v="5"/>
    <n v="1.5"/>
    <n v="7.5"/>
    <x v="2"/>
    <x v="1"/>
    <d v="2023-10-05T00:00:00"/>
  </r>
  <r>
    <s v="TXN_9646000"/>
    <x v="5"/>
    <n v="2"/>
    <m/>
    <m/>
    <x v="2"/>
    <x v="1"/>
    <d v="2023-12-14T00:00:00"/>
  </r>
  <r>
    <s v="TXN_2338426"/>
    <x v="0"/>
    <n v="2"/>
    <n v="2"/>
    <n v="4"/>
    <x v="2"/>
    <x v="2"/>
    <d v="2023-05-07T00:00:00"/>
  </r>
  <r>
    <s v="TXN_3369191"/>
    <x v="2"/>
    <n v="5"/>
    <n v="1"/>
    <n v="5"/>
    <x v="1"/>
    <x v="0"/>
    <d v="2023-02-07T00:00:00"/>
  </r>
  <r>
    <s v="TXN_5551020"/>
    <x v="6"/>
    <n v="2"/>
    <n v="4"/>
    <n v="8"/>
    <x v="0"/>
    <x v="2"/>
    <d v="2023-01-31T00:00:00"/>
  </r>
  <r>
    <s v="TXN_9269683"/>
    <x v="6"/>
    <n v="5"/>
    <n v="4"/>
    <n v="20"/>
    <x v="3"/>
    <x v="2"/>
    <d v="2023-09-26T00:00:00"/>
  </r>
  <r>
    <s v="TXN_9287350"/>
    <x v="4"/>
    <n v="2"/>
    <n v="4"/>
    <n v="8"/>
    <x v="2"/>
    <x v="1"/>
    <d v="2023-01-28T00:00:00"/>
  </r>
  <r>
    <s v="TXN_6541809"/>
    <x v="8"/>
    <n v="3"/>
    <n v="1.5"/>
    <n v="4.5"/>
    <x v="2"/>
    <x v="2"/>
    <d v="2023-05-01T00:00:00"/>
  </r>
  <r>
    <s v="TXN_4398750"/>
    <x v="6"/>
    <n v="2"/>
    <n v="4"/>
    <n v="8"/>
    <x v="1"/>
    <x v="1"/>
    <d v="2023-05-28T00:00:00"/>
  </r>
  <r>
    <s v="TXN_7493097"/>
    <x v="1"/>
    <n v="5"/>
    <n v="3"/>
    <n v="15"/>
    <x v="0"/>
    <x v="2"/>
    <d v="2023-11-04T00:00:00"/>
  </r>
  <r>
    <s v="TXN_9850541"/>
    <x v="2"/>
    <n v="4"/>
    <n v="1"/>
    <n v="4"/>
    <x v="1"/>
    <x v="0"/>
    <d v="2023-09-02T00:00:00"/>
  </r>
  <r>
    <s v="TXN_4262142"/>
    <x v="1"/>
    <n v="2"/>
    <n v="3"/>
    <n v="6"/>
    <x v="1"/>
    <x v="0"/>
    <d v="2023-01-02T00:00:00"/>
  </r>
  <r>
    <s v="TXN_7153313"/>
    <x v="8"/>
    <n v="1"/>
    <n v="1.5"/>
    <n v="1.5"/>
    <x v="1"/>
    <x v="2"/>
    <d v="2023-12-29T00:00:00"/>
  </r>
  <r>
    <s v="TXN_8581124"/>
    <x v="3"/>
    <n v="2"/>
    <n v="5"/>
    <n v="10"/>
    <x v="0"/>
    <x v="2"/>
    <d v="2023-05-08T00:00:00"/>
  </r>
  <r>
    <s v="TXN_3589218"/>
    <x v="3"/>
    <n v="2"/>
    <n v="5"/>
    <n v="10"/>
    <x v="0"/>
    <x v="1"/>
    <d v="2023-06-21T00:00:00"/>
  </r>
  <r>
    <s v="TXN_7303515"/>
    <x v="3"/>
    <n v="4"/>
    <n v="5"/>
    <n v="20"/>
    <x v="1"/>
    <x v="1"/>
    <d v="2023-05-29T00:00:00"/>
  </r>
  <r>
    <s v="TXN_2586183"/>
    <x v="2"/>
    <n v="2"/>
    <n v="1"/>
    <n v="2"/>
    <x v="1"/>
    <x v="2"/>
    <d v="2023-09-04T00:00:00"/>
  </r>
  <r>
    <s v="TXN_2436779"/>
    <x v="1"/>
    <n v="1"/>
    <n v="3"/>
    <n v="3"/>
    <x v="0"/>
    <x v="0"/>
    <d v="2023-05-24T00:00:00"/>
  </r>
  <r>
    <s v="TXN_4001763"/>
    <x v="7"/>
    <n v="3"/>
    <n v="3"/>
    <n v="9"/>
    <x v="2"/>
    <x v="0"/>
    <d v="2023-05-11T00:00:00"/>
  </r>
  <r>
    <s v="TXN_9317529"/>
    <x v="7"/>
    <n v="4"/>
    <n v="3"/>
    <n v="12"/>
    <x v="0"/>
    <x v="2"/>
    <d v="2023-07-10T00:00:00"/>
  </r>
  <r>
    <s v="TXN_6974587"/>
    <x v="3"/>
    <n v="3"/>
    <n v="5"/>
    <n v="15"/>
    <x v="1"/>
    <x v="2"/>
    <d v="2023-06-16T00:00:00"/>
  </r>
  <r>
    <s v="TXN_4379467"/>
    <x v="8"/>
    <n v="1"/>
    <n v="1.5"/>
    <n v="1.5"/>
    <x v="2"/>
    <x v="2"/>
    <d v="2023-06-16T00:00:00"/>
  </r>
  <r>
    <s v="TXN_2719734"/>
    <x v="1"/>
    <n v="5"/>
    <n v="3"/>
    <n v="15"/>
    <x v="3"/>
    <x v="1"/>
    <d v="2023-05-22T00:00:00"/>
  </r>
  <r>
    <s v="TXN_2887332"/>
    <x v="6"/>
    <n v="5"/>
    <n v="4"/>
    <n v="20"/>
    <x v="2"/>
    <x v="2"/>
    <d v="2023-11-16T00:00:00"/>
  </r>
  <r>
    <s v="TXN_8566668"/>
    <x v="6"/>
    <n v="5"/>
    <n v="4"/>
    <n v="20"/>
    <x v="3"/>
    <x v="1"/>
    <d v="2023-02-12T00:00:00"/>
  </r>
  <r>
    <s v="TXN_8284384"/>
    <x v="7"/>
    <n v="2"/>
    <n v="3"/>
    <n v="6"/>
    <x v="3"/>
    <x v="0"/>
    <d v="2023-06-05T00:00:00"/>
  </r>
  <r>
    <s v="TXN_2139240"/>
    <x v="6"/>
    <n v="4"/>
    <n v="4"/>
    <n v="16"/>
    <x v="3"/>
    <x v="2"/>
    <d v="2023-04-06T00:00:00"/>
  </r>
  <r>
    <s v="TXN_5454841"/>
    <x v="2"/>
    <n v="5"/>
    <n v="1"/>
    <n v="5"/>
    <x v="2"/>
    <x v="0"/>
    <d v="2023-06-04T00:00:00"/>
  </r>
  <r>
    <s v="TXN_8104431"/>
    <x v="8"/>
    <n v="5"/>
    <n v="1.5"/>
    <n v="7.5"/>
    <x v="2"/>
    <x v="1"/>
    <d v="2023-03-07T00:00:00"/>
  </r>
  <r>
    <s v="TXN_5141000"/>
    <x v="4"/>
    <n v="4"/>
    <n v="4"/>
    <n v="16"/>
    <x v="2"/>
    <x v="0"/>
    <d v="2023-06-16T00:00:00"/>
  </r>
  <r>
    <s v="TXN_2508499"/>
    <x v="8"/>
    <n v="3"/>
    <n v="1.5"/>
    <n v="4.5"/>
    <x v="0"/>
    <x v="1"/>
    <d v="2023-02-22T00:00:00"/>
  </r>
  <r>
    <s v="TXN_4571510"/>
    <x v="4"/>
    <n v="3"/>
    <n v="4"/>
    <n v="12"/>
    <x v="1"/>
    <x v="0"/>
    <d v="2023-11-19T00:00:00"/>
  </r>
  <r>
    <s v="TXN_4742476"/>
    <x v="0"/>
    <n v="2"/>
    <n v="2"/>
    <n v="4"/>
    <x v="1"/>
    <x v="1"/>
    <d v="2023-10-27T00:00:00"/>
  </r>
  <r>
    <s v="TXN_8510436"/>
    <x v="1"/>
    <n v="1"/>
    <n v="3"/>
    <n v="3"/>
    <x v="3"/>
    <x v="1"/>
    <d v="2023-07-19T00:00:00"/>
  </r>
  <r>
    <s v="TXN_7509630"/>
    <x v="2"/>
    <n v="3"/>
    <n v="1"/>
    <n v="3"/>
    <x v="1"/>
    <x v="1"/>
    <d v="2023-04-20T00:00:00"/>
  </r>
  <r>
    <s v="TXN_5276301"/>
    <x v="1"/>
    <n v="3"/>
    <n v="3"/>
    <n v="9"/>
    <x v="1"/>
    <x v="2"/>
    <d v="2023-03-13T00:00:00"/>
  </r>
  <r>
    <s v="TXN_4977130"/>
    <x v="6"/>
    <n v="1"/>
    <n v="4"/>
    <n v="4"/>
    <x v="3"/>
    <x v="1"/>
    <d v="2023-07-08T00:00:00"/>
  </r>
  <r>
    <s v="TXN_4293196"/>
    <x v="2"/>
    <n v="3"/>
    <n v="1"/>
    <n v="3"/>
    <x v="2"/>
    <x v="1"/>
    <d v="2023-06-17T00:00:00"/>
  </r>
  <r>
    <s v="TXN_9284099"/>
    <x v="1"/>
    <n v="2"/>
    <n v="3"/>
    <n v="6"/>
    <x v="3"/>
    <x v="1"/>
    <d v="2023-07-20T00:00:00"/>
  </r>
  <r>
    <s v="TXN_1900411"/>
    <x v="3"/>
    <n v="3"/>
    <n v="5"/>
    <n v="15"/>
    <x v="2"/>
    <x v="2"/>
    <d v="2023-09-24T00:00:00"/>
  </r>
  <r>
    <s v="TXN_7454416"/>
    <x v="8"/>
    <n v="1"/>
    <n v="1.5"/>
    <n v="1.5"/>
    <x v="0"/>
    <x v="0"/>
    <d v="2023-12-07T00:00:00"/>
  </r>
  <r>
    <s v="TXN_4178899"/>
    <x v="0"/>
    <n v="2"/>
    <n v="2"/>
    <n v="4"/>
    <x v="2"/>
    <x v="0"/>
    <d v="2023-04-05T00:00:00"/>
  </r>
  <r>
    <s v="TXN_9027002"/>
    <x v="4"/>
    <n v="4"/>
    <n v="4"/>
    <n v="16"/>
    <x v="0"/>
    <x v="0"/>
    <d v="2023-12-31T00:00:00"/>
  </r>
  <r>
    <s v="TXN_6587399"/>
    <x v="4"/>
    <n v="1"/>
    <n v="4"/>
    <n v="4"/>
    <x v="2"/>
    <x v="0"/>
    <d v="2023-08-08T00:00:00"/>
  </r>
  <r>
    <s v="TXN_7179013"/>
    <x v="7"/>
    <n v="5"/>
    <n v="3"/>
    <n v="15"/>
    <x v="0"/>
    <x v="1"/>
    <d v="2023-05-06T00:00:00"/>
  </r>
  <r>
    <s v="TXN_7694559"/>
    <x v="2"/>
    <n v="3"/>
    <n v="1"/>
    <n v="3"/>
    <x v="1"/>
    <x v="0"/>
    <d v="2023-05-05T00:00:00"/>
  </r>
  <r>
    <s v="TXN_4391496"/>
    <x v="6"/>
    <n v="1"/>
    <n v="4"/>
    <n v="4"/>
    <x v="1"/>
    <x v="2"/>
    <d v="2023-02-20T00:00:00"/>
  </r>
  <r>
    <s v="TXN_5668193"/>
    <x v="0"/>
    <n v="5"/>
    <n v="2"/>
    <n v="10"/>
    <x v="1"/>
    <x v="0"/>
    <d v="2023-08-14T00:00:00"/>
  </r>
  <r>
    <s v="TXN_1448501"/>
    <x v="1"/>
    <n v="4"/>
    <n v="3"/>
    <n v="12"/>
    <x v="0"/>
    <x v="0"/>
    <d v="2023-09-10T00:00:00"/>
  </r>
  <r>
    <s v="TXN_7139869"/>
    <x v="8"/>
    <n v="1"/>
    <n v="1.5"/>
    <n v="1.5"/>
    <x v="1"/>
    <x v="1"/>
    <d v="2023-06-22T00:00:00"/>
  </r>
  <r>
    <s v="TXN_6419668"/>
    <x v="6"/>
    <n v="3"/>
    <n v="4"/>
    <n v="12"/>
    <x v="0"/>
    <x v="1"/>
    <d v="2023-04-29T00:00:00"/>
  </r>
  <r>
    <s v="TXN_8810001"/>
    <x v="4"/>
    <n v="5"/>
    <n v="4"/>
    <n v="20"/>
    <x v="3"/>
    <x v="0"/>
    <d v="2023-12-23T00:00:00"/>
  </r>
  <r>
    <s v="TXN_5647773"/>
    <x v="3"/>
    <n v="2"/>
    <n v="5"/>
    <n v="10"/>
    <x v="2"/>
    <x v="1"/>
    <d v="2023-07-20T00:00:00"/>
  </r>
  <r>
    <s v="TXN_4439120"/>
    <x v="2"/>
    <n v="2"/>
    <n v="1"/>
    <n v="2"/>
    <x v="0"/>
    <x v="1"/>
    <d v="2023-03-31T00:00:00"/>
  </r>
  <r>
    <s v="TXN_4613510"/>
    <x v="1"/>
    <n v="5"/>
    <n v="3"/>
    <n v="15"/>
    <x v="0"/>
    <x v="0"/>
    <d v="2023-02-16T00:00:00"/>
  </r>
  <r>
    <s v="TXN_7937275"/>
    <x v="1"/>
    <n v="4"/>
    <n v="3"/>
    <n v="12"/>
    <x v="0"/>
    <x v="2"/>
    <d v="2023-09-18T00:00:00"/>
  </r>
  <r>
    <s v="TXN_7565052"/>
    <x v="4"/>
    <n v="5"/>
    <n v="4"/>
    <n v="20"/>
    <x v="2"/>
    <x v="1"/>
    <d v="2023-06-18T00:00:00"/>
  </r>
  <r>
    <s v="TXN_2044375"/>
    <x v="3"/>
    <n v="1"/>
    <n v="5"/>
    <n v="5"/>
    <x v="1"/>
    <x v="0"/>
    <d v="2023-01-05T00:00:00"/>
  </r>
  <r>
    <s v="TXN_1772692"/>
    <x v="4"/>
    <n v="3"/>
    <n v="4"/>
    <n v="12"/>
    <x v="1"/>
    <x v="2"/>
    <d v="2023-09-05T00:00:00"/>
  </r>
  <r>
    <s v="TXN_6399545"/>
    <x v="6"/>
    <n v="4"/>
    <n v="4"/>
    <n v="16"/>
    <x v="0"/>
    <x v="0"/>
    <d v="2023-03-22T00:00:00"/>
  </r>
  <r>
    <s v="TXN_2980279"/>
    <x v="5"/>
    <n v="1"/>
    <n v="3"/>
    <n v="3"/>
    <x v="3"/>
    <x v="0"/>
    <d v="2023-04-23T00:00:00"/>
  </r>
  <r>
    <s v="TXN_6286062"/>
    <x v="0"/>
    <n v="1"/>
    <n v="2"/>
    <n v="2"/>
    <x v="0"/>
    <x v="2"/>
    <m/>
  </r>
  <r>
    <s v="TXN_4049031"/>
    <x v="0"/>
    <n v="5"/>
    <n v="2"/>
    <n v="10"/>
    <x v="3"/>
    <x v="2"/>
    <d v="2023-08-22T00:00:00"/>
  </r>
  <r>
    <s v="TXN_1328968"/>
    <x v="8"/>
    <n v="1"/>
    <n v="1.5"/>
    <n v="1.5"/>
    <x v="2"/>
    <x v="1"/>
    <d v="2023-06-28T00:00:00"/>
  </r>
  <r>
    <s v="TXN_8549381"/>
    <x v="5"/>
    <n v="5"/>
    <n v="4"/>
    <n v="20"/>
    <x v="3"/>
    <x v="2"/>
    <d v="2023-02-06T00:00:00"/>
  </r>
  <r>
    <s v="TXN_2080228"/>
    <x v="7"/>
    <n v="1"/>
    <n v="3"/>
    <n v="3"/>
    <x v="2"/>
    <x v="1"/>
    <d v="2023-06-21T00:00:00"/>
  </r>
  <r>
    <s v="TXN_7416880"/>
    <x v="1"/>
    <n v="1"/>
    <n v="3"/>
    <n v="3"/>
    <x v="0"/>
    <x v="1"/>
    <d v="2023-07-20T00:00:00"/>
  </r>
  <r>
    <s v="TXN_1360379"/>
    <x v="8"/>
    <n v="1"/>
    <n v="1.5"/>
    <n v="1.5"/>
    <x v="0"/>
    <x v="2"/>
    <d v="2023-08-23T00:00:00"/>
  </r>
  <r>
    <s v="TXN_9617454"/>
    <x v="4"/>
    <n v="1"/>
    <n v="4"/>
    <n v="4"/>
    <x v="3"/>
    <x v="0"/>
    <d v="2023-08-22T00:00:00"/>
  </r>
  <r>
    <s v="TXN_6421446"/>
    <x v="1"/>
    <n v="2"/>
    <n v="3"/>
    <n v="6"/>
    <x v="1"/>
    <x v="0"/>
    <d v="2023-09-17T00:00:00"/>
  </r>
  <r>
    <s v="TXN_6272674"/>
    <x v="0"/>
    <n v="3"/>
    <n v="2"/>
    <n v="6"/>
    <x v="1"/>
    <x v="2"/>
    <d v="2023-09-12T00:00:00"/>
  </r>
  <r>
    <s v="TXN_6805882"/>
    <x v="2"/>
    <n v="4"/>
    <n v="1"/>
    <n v="4"/>
    <x v="1"/>
    <x v="1"/>
    <d v="2023-09-04T00:00:00"/>
  </r>
  <r>
    <s v="TXN_1475459"/>
    <x v="8"/>
    <n v="4"/>
    <n v="1.5"/>
    <n v="6"/>
    <x v="2"/>
    <x v="0"/>
    <d v="2023-11-09T00:00:00"/>
  </r>
  <r>
    <s v="TXN_2825812"/>
    <x v="1"/>
    <n v="3"/>
    <n v="3"/>
    <n v="9"/>
    <x v="1"/>
    <x v="0"/>
    <d v="2023-06-26T00:00:00"/>
  </r>
  <r>
    <s v="TXN_5380198"/>
    <x v="1"/>
    <n v="3"/>
    <n v="3"/>
    <n v="9"/>
    <x v="2"/>
    <x v="2"/>
    <m/>
  </r>
  <r>
    <s v="TXN_5398922"/>
    <x v="3"/>
    <n v="1"/>
    <n v="5"/>
    <n v="5"/>
    <x v="1"/>
    <x v="1"/>
    <d v="2023-01-10T00:00:00"/>
  </r>
  <r>
    <s v="TXN_3458602"/>
    <x v="1"/>
    <n v="2"/>
    <n v="3"/>
    <n v="6"/>
    <x v="1"/>
    <x v="1"/>
    <d v="2023-11-18T00:00:00"/>
  </r>
  <r>
    <s v="TXN_6571440"/>
    <x v="4"/>
    <n v="2"/>
    <n v="4"/>
    <n v="8"/>
    <x v="2"/>
    <x v="0"/>
    <d v="2023-01-18T00:00:00"/>
  </r>
  <r>
    <s v="TXN_1368769"/>
    <x v="2"/>
    <n v="3"/>
    <n v="1"/>
    <n v="3"/>
    <x v="0"/>
    <x v="0"/>
    <d v="2023-06-02T00:00:00"/>
  </r>
  <r>
    <s v="TXN_4343848"/>
    <x v="2"/>
    <n v="5"/>
    <n v="1"/>
    <n v="5"/>
    <x v="0"/>
    <x v="0"/>
    <d v="2023-07-16T00:00:00"/>
  </r>
  <r>
    <s v="TXN_7656355"/>
    <x v="6"/>
    <n v="3"/>
    <n v="4"/>
    <n v="12"/>
    <x v="0"/>
    <x v="0"/>
    <d v="2023-09-11T00:00:00"/>
  </r>
  <r>
    <s v="TXN_4434005"/>
    <x v="2"/>
    <n v="1"/>
    <n v="1"/>
    <n v="1"/>
    <x v="3"/>
    <x v="1"/>
    <d v="2023-03-20T00:00:00"/>
  </r>
  <r>
    <s v="TXN_7975760"/>
    <x v="5"/>
    <n v="3"/>
    <n v="3"/>
    <n v="9"/>
    <x v="3"/>
    <x v="1"/>
    <d v="2023-12-02T00:00:00"/>
  </r>
  <r>
    <s v="TXN_9177867"/>
    <x v="8"/>
    <n v="3"/>
    <n v="1.5"/>
    <n v="4.5"/>
    <x v="3"/>
    <x v="2"/>
    <d v="2023-09-14T00:00:00"/>
  </r>
  <r>
    <s v="TXN_8158986"/>
    <x v="2"/>
    <n v="5"/>
    <n v="1"/>
    <n v="5"/>
    <x v="2"/>
    <x v="1"/>
    <d v="2023-12-10T00:00:00"/>
  </r>
  <r>
    <s v="TXN_9882625"/>
    <x v="6"/>
    <n v="1"/>
    <n v="4"/>
    <n v="4"/>
    <x v="1"/>
    <x v="1"/>
    <d v="2023-03-26T00:00:00"/>
  </r>
  <r>
    <s v="TXN_8937461"/>
    <x v="2"/>
    <n v="5"/>
    <n v="1"/>
    <n v="5"/>
    <x v="3"/>
    <x v="2"/>
    <d v="2023-12-22T00:00:00"/>
  </r>
  <r>
    <s v="TXN_2485272"/>
    <x v="8"/>
    <n v="4"/>
    <n v="1.5"/>
    <n v="6"/>
    <x v="3"/>
    <x v="0"/>
    <d v="2023-06-30T00:00:00"/>
  </r>
  <r>
    <s v="TXN_4085337"/>
    <x v="4"/>
    <n v="3"/>
    <n v="4"/>
    <n v="12"/>
    <x v="2"/>
    <x v="1"/>
    <d v="2023-10-25T00:00:00"/>
  </r>
  <r>
    <s v="TXN_6838802"/>
    <x v="0"/>
    <n v="1"/>
    <n v="2"/>
    <n v="2"/>
    <x v="2"/>
    <x v="0"/>
    <d v="2023-08-29T00:00:00"/>
  </r>
  <r>
    <s v="TXN_2114182"/>
    <x v="2"/>
    <n v="3"/>
    <n v="1"/>
    <n v="3"/>
    <x v="3"/>
    <x v="2"/>
    <d v="2023-07-28T00:00:00"/>
  </r>
  <r>
    <s v="TXN_8417552"/>
    <x v="0"/>
    <n v="1"/>
    <n v="2"/>
    <n v="2"/>
    <x v="2"/>
    <x v="0"/>
    <d v="2023-12-09T00:00:00"/>
  </r>
  <r>
    <s v="TXN_4126189"/>
    <x v="8"/>
    <n v="1"/>
    <n v="1.5"/>
    <n v="1.5"/>
    <x v="0"/>
    <x v="2"/>
    <d v="2023-09-30T00:00:00"/>
  </r>
  <r>
    <s v="TXN_1892454"/>
    <x v="7"/>
    <n v="1"/>
    <n v="3"/>
    <n v="3"/>
    <x v="2"/>
    <x v="2"/>
    <d v="2023-07-19T00:00:00"/>
  </r>
  <r>
    <s v="TXN_9592941"/>
    <x v="8"/>
    <n v="5"/>
    <n v="1.5"/>
    <n v="7.5"/>
    <x v="3"/>
    <x v="1"/>
    <d v="2023-04-08T00:00:00"/>
  </r>
  <r>
    <s v="TXN_1063342"/>
    <x v="6"/>
    <n v="5"/>
    <n v="4"/>
    <n v="20"/>
    <x v="2"/>
    <x v="1"/>
    <d v="2023-01-13T00:00:00"/>
  </r>
  <r>
    <s v="TXN_4407203"/>
    <x v="5"/>
    <n v="4"/>
    <n v="1"/>
    <n v="4"/>
    <x v="1"/>
    <x v="0"/>
    <d v="2023-08-21T00:00:00"/>
  </r>
  <r>
    <s v="TXN_7153885"/>
    <x v="3"/>
    <n v="1"/>
    <n v="5"/>
    <n v="5"/>
    <x v="0"/>
    <x v="2"/>
    <d v="2023-05-22T00:00:00"/>
  </r>
  <r>
    <s v="TXN_1917388"/>
    <x v="5"/>
    <n v="2"/>
    <n v="3"/>
    <n v="6"/>
    <x v="3"/>
    <x v="2"/>
    <d v="2023-04-15T00:00:00"/>
  </r>
  <r>
    <s v="TXN_5279972"/>
    <x v="4"/>
    <n v="4"/>
    <n v="4"/>
    <n v="16"/>
    <x v="0"/>
    <x v="0"/>
    <d v="2023-01-07T00:00:00"/>
  </r>
  <r>
    <s v="TXN_6953244"/>
    <x v="4"/>
    <n v="5"/>
    <n v="4"/>
    <n v="20"/>
    <x v="1"/>
    <x v="2"/>
    <d v="2023-09-13T00:00:00"/>
  </r>
  <r>
    <s v="TXN_5347792"/>
    <x v="3"/>
    <n v="3"/>
    <n v="5"/>
    <n v="15"/>
    <x v="3"/>
    <x v="2"/>
    <d v="2023-02-10T00:00:00"/>
  </r>
  <r>
    <s v="TXN_4876195"/>
    <x v="8"/>
    <n v="2"/>
    <n v="1.5"/>
    <n v="3"/>
    <x v="2"/>
    <x v="1"/>
    <m/>
  </r>
  <r>
    <s v="TXN_1574190"/>
    <x v="4"/>
    <n v="3"/>
    <n v="4"/>
    <n v="12"/>
    <x v="2"/>
    <x v="2"/>
    <d v="2023-12-17T00:00:00"/>
  </r>
  <r>
    <s v="TXN_4829492"/>
    <x v="5"/>
    <n v="2"/>
    <n v="3"/>
    <n v="6"/>
    <x v="0"/>
    <x v="0"/>
    <d v="2023-01-09T00:00:00"/>
  </r>
  <r>
    <s v="TXN_9550629"/>
    <x v="4"/>
    <n v="1"/>
    <n v="4"/>
    <n v="4"/>
    <x v="2"/>
    <x v="1"/>
    <d v="2023-02-06T00:00:00"/>
  </r>
  <r>
    <s v="TXN_6470865"/>
    <x v="0"/>
    <m/>
    <n v="2"/>
    <m/>
    <x v="3"/>
    <x v="0"/>
    <d v="2023-09-18T00:00:00"/>
  </r>
  <r>
    <s v="TXN_3986639"/>
    <x v="3"/>
    <n v="1"/>
    <n v="5"/>
    <n v="5"/>
    <x v="0"/>
    <x v="1"/>
    <d v="2023-10-09T00:00:00"/>
  </r>
  <r>
    <s v="TXN_3227673"/>
    <x v="2"/>
    <n v="1"/>
    <n v="1"/>
    <n v="1"/>
    <x v="1"/>
    <x v="2"/>
    <d v="2023-10-13T00:00:00"/>
  </r>
  <r>
    <s v="TXN_2915287"/>
    <x v="3"/>
    <n v="1"/>
    <n v="5"/>
    <n v="5"/>
    <x v="3"/>
    <x v="0"/>
    <d v="2023-01-16T00:00:00"/>
  </r>
  <r>
    <s v="TXN_2513558"/>
    <x v="7"/>
    <n v="4"/>
    <n v="3"/>
    <n v="12"/>
    <x v="2"/>
    <x v="2"/>
    <d v="2023-10-11T00:00:00"/>
  </r>
  <r>
    <s v="TXN_7460497"/>
    <x v="1"/>
    <n v="5"/>
    <n v="3"/>
    <n v="15"/>
    <x v="1"/>
    <x v="2"/>
    <d v="2023-11-13T00:00:00"/>
  </r>
  <r>
    <s v="TXN_1607471"/>
    <x v="6"/>
    <n v="2"/>
    <n v="4"/>
    <n v="8"/>
    <x v="0"/>
    <x v="0"/>
    <d v="2023-01-03T00:00:00"/>
  </r>
  <r>
    <s v="TXN_1244739"/>
    <x v="3"/>
    <n v="2"/>
    <n v="5"/>
    <n v="10"/>
    <x v="0"/>
    <x v="0"/>
    <d v="2023-09-13T00:00:00"/>
  </r>
  <r>
    <s v="TXN_7878672"/>
    <x v="0"/>
    <n v="1"/>
    <n v="2"/>
    <n v="2"/>
    <x v="1"/>
    <x v="1"/>
    <d v="2023-10-25T00:00:00"/>
  </r>
  <r>
    <s v="TXN_6807913"/>
    <x v="7"/>
    <n v="3"/>
    <n v="3"/>
    <n v="9"/>
    <x v="0"/>
    <x v="0"/>
    <d v="2023-01-22T00:00:00"/>
  </r>
  <r>
    <s v="TXN_6438869"/>
    <x v="7"/>
    <n v="5"/>
    <n v="3"/>
    <n v="15"/>
    <x v="0"/>
    <x v="0"/>
    <d v="2023-10-30T00:00:00"/>
  </r>
  <r>
    <s v="TXN_1047204"/>
    <x v="2"/>
    <n v="3"/>
    <n v="1"/>
    <n v="3"/>
    <x v="3"/>
    <x v="2"/>
    <d v="2023-04-13T00:00:00"/>
  </r>
  <r>
    <s v="TXN_6017458"/>
    <x v="5"/>
    <n v="5"/>
    <n v="5"/>
    <n v="25"/>
    <x v="0"/>
    <x v="2"/>
    <d v="2023-04-23T00:00:00"/>
  </r>
  <r>
    <s v="TXN_4311086"/>
    <x v="1"/>
    <n v="4"/>
    <n v="3"/>
    <n v="12"/>
    <x v="2"/>
    <x v="1"/>
    <d v="2023-10-10T00:00:00"/>
  </r>
  <r>
    <s v="TXN_1075446"/>
    <x v="2"/>
    <n v="4"/>
    <n v="1"/>
    <n v="4"/>
    <x v="0"/>
    <x v="2"/>
    <d v="2023-07-17T00:00:00"/>
  </r>
  <r>
    <s v="TXN_8958723"/>
    <x v="6"/>
    <n v="4"/>
    <n v="4"/>
    <n v="16"/>
    <x v="3"/>
    <x v="2"/>
    <d v="2023-11-12T00:00:00"/>
  </r>
  <r>
    <s v="TXN_2206740"/>
    <x v="0"/>
    <n v="3"/>
    <n v="2"/>
    <n v="6"/>
    <x v="2"/>
    <x v="0"/>
    <d v="2023-06-07T00:00:00"/>
  </r>
  <r>
    <s v="TXN_2337113"/>
    <x v="0"/>
    <n v="1"/>
    <n v="2"/>
    <n v="2"/>
    <x v="3"/>
    <x v="0"/>
    <d v="2023-11-19T00:00:00"/>
  </r>
  <r>
    <s v="TXN_2417721"/>
    <x v="0"/>
    <n v="4"/>
    <n v="2"/>
    <n v="8"/>
    <x v="0"/>
    <x v="0"/>
    <d v="2023-10-20T00:00:00"/>
  </r>
  <r>
    <s v="TXN_5808539"/>
    <x v="6"/>
    <n v="1"/>
    <n v="4"/>
    <n v="4"/>
    <x v="2"/>
    <x v="0"/>
    <d v="2023-06-30T00:00:00"/>
  </r>
  <r>
    <s v="TXN_6574910"/>
    <x v="2"/>
    <n v="1"/>
    <n v="1"/>
    <n v="1"/>
    <x v="3"/>
    <x v="2"/>
    <d v="2023-09-13T00:00:00"/>
  </r>
  <r>
    <s v="TXN_5342900"/>
    <x v="1"/>
    <n v="5"/>
    <n v="3"/>
    <n v="15"/>
    <x v="1"/>
    <x v="2"/>
    <d v="2023-07-12T00:00:00"/>
  </r>
  <r>
    <s v="TXN_8949453"/>
    <x v="5"/>
    <n v="5"/>
    <n v="4"/>
    <n v="20"/>
    <x v="2"/>
    <x v="0"/>
    <d v="2023-11-13T00:00:00"/>
  </r>
  <r>
    <s v="TXN_2853459"/>
    <x v="8"/>
    <n v="4"/>
    <n v="1.5"/>
    <n v="6"/>
    <x v="1"/>
    <x v="2"/>
    <d v="2023-08-14T00:00:00"/>
  </r>
  <r>
    <s v="TXN_3379182"/>
    <x v="7"/>
    <n v="4"/>
    <n v="3"/>
    <n v="12"/>
    <x v="1"/>
    <x v="2"/>
    <d v="2023-06-03T00:00:00"/>
  </r>
  <r>
    <s v="TXN_9629448"/>
    <x v="8"/>
    <n v="2"/>
    <n v="1.5"/>
    <n v="3"/>
    <x v="2"/>
    <x v="1"/>
    <d v="2023-02-22T00:00:00"/>
  </r>
  <r>
    <s v="TXN_8233101"/>
    <x v="3"/>
    <n v="2"/>
    <n v="5"/>
    <n v="10"/>
    <x v="1"/>
    <x v="1"/>
    <d v="2023-02-12T00:00:00"/>
  </r>
  <r>
    <s v="TXN_1247244"/>
    <x v="6"/>
    <n v="1"/>
    <n v="4"/>
    <n v="4"/>
    <x v="3"/>
    <x v="1"/>
    <d v="2023-12-27T00:00:00"/>
  </r>
  <r>
    <s v="TXN_4292280"/>
    <x v="1"/>
    <n v="4"/>
    <n v="3"/>
    <n v="12"/>
    <x v="1"/>
    <x v="0"/>
    <d v="2023-01-01T00:00:00"/>
  </r>
  <r>
    <s v="TXN_3670476"/>
    <x v="8"/>
    <n v="3"/>
    <n v="1.5"/>
    <n v="4.5"/>
    <x v="1"/>
    <x v="0"/>
    <d v="2023-03-25T00:00:00"/>
  </r>
  <r>
    <s v="TXN_4506936"/>
    <x v="2"/>
    <n v="1"/>
    <n v="1"/>
    <n v="1"/>
    <x v="0"/>
    <x v="0"/>
    <d v="2023-03-20T00:00:00"/>
  </r>
  <r>
    <s v="TXN_4009914"/>
    <x v="6"/>
    <n v="2"/>
    <n v="4"/>
    <n v="8"/>
    <x v="2"/>
    <x v="1"/>
    <m/>
  </r>
  <r>
    <s v="TXN_2827994"/>
    <x v="1"/>
    <n v="5"/>
    <n v="3"/>
    <n v="15"/>
    <x v="3"/>
    <x v="1"/>
    <d v="2023-12-04T00:00:00"/>
  </r>
  <r>
    <s v="TXN_5342051"/>
    <x v="6"/>
    <n v="3"/>
    <n v="4"/>
    <n v="12"/>
    <x v="1"/>
    <x v="2"/>
    <d v="2023-04-21T00:00:00"/>
  </r>
  <r>
    <s v="TXN_7924635"/>
    <x v="4"/>
    <n v="5"/>
    <n v="4"/>
    <n v="20"/>
    <x v="3"/>
    <x v="0"/>
    <d v="2023-02-21T00:00:00"/>
  </r>
  <r>
    <s v="TXN_5958999"/>
    <x v="8"/>
    <n v="2"/>
    <n v="1.5"/>
    <n v="3"/>
    <x v="2"/>
    <x v="2"/>
    <d v="2023-04-13T00:00:00"/>
  </r>
  <r>
    <s v="TXN_9098841"/>
    <x v="1"/>
    <n v="1"/>
    <n v="3"/>
    <n v="3"/>
    <x v="0"/>
    <x v="2"/>
    <d v="2023-08-07T00:00:00"/>
  </r>
  <r>
    <s v="TXN_9723314"/>
    <x v="0"/>
    <n v="4"/>
    <n v="2"/>
    <n v="8"/>
    <x v="1"/>
    <x v="1"/>
    <d v="2023-10-10T00:00:00"/>
  </r>
  <r>
    <s v="TXN_2311186"/>
    <x v="4"/>
    <n v="3"/>
    <n v="4"/>
    <n v="12"/>
    <x v="3"/>
    <x v="2"/>
    <d v="2023-07-16T00:00:00"/>
  </r>
  <r>
    <s v="TXN_8061460"/>
    <x v="6"/>
    <n v="3"/>
    <n v="4"/>
    <n v="12"/>
    <x v="0"/>
    <x v="0"/>
    <m/>
  </r>
  <r>
    <s v="TXN_4659573"/>
    <x v="1"/>
    <n v="5"/>
    <n v="3"/>
    <n v="15"/>
    <x v="2"/>
    <x v="2"/>
    <d v="2023-05-15T00:00:00"/>
  </r>
  <r>
    <s v="TXN_3920436"/>
    <x v="7"/>
    <n v="2"/>
    <n v="3"/>
    <n v="6"/>
    <x v="3"/>
    <x v="1"/>
    <d v="2023-11-19T00:00:00"/>
  </r>
  <r>
    <s v="TXN_5514988"/>
    <x v="2"/>
    <n v="5"/>
    <n v="1"/>
    <n v="5"/>
    <x v="0"/>
    <x v="2"/>
    <m/>
  </r>
  <r>
    <s v="TXN_7825638"/>
    <x v="5"/>
    <n v="4"/>
    <n v="3"/>
    <n v="12"/>
    <x v="2"/>
    <x v="2"/>
    <d v="2023-12-09T00:00:00"/>
  </r>
  <r>
    <s v="TXN_8710758"/>
    <x v="6"/>
    <n v="3"/>
    <n v="4"/>
    <n v="12"/>
    <x v="0"/>
    <x v="1"/>
    <d v="2023-01-12T00:00:00"/>
  </r>
  <r>
    <s v="TXN_4873180"/>
    <x v="8"/>
    <n v="5"/>
    <n v="1.5"/>
    <n v="7.5"/>
    <x v="3"/>
    <x v="1"/>
    <d v="2023-01-17T00:00:00"/>
  </r>
  <r>
    <s v="TXN_9643918"/>
    <x v="5"/>
    <n v="3"/>
    <n v="1"/>
    <n v="3"/>
    <x v="0"/>
    <x v="1"/>
    <d v="2023-07-21T00:00:00"/>
  </r>
  <r>
    <s v="TXN_9997620"/>
    <x v="2"/>
    <n v="2"/>
    <n v="1"/>
    <n v="2"/>
    <x v="1"/>
    <x v="2"/>
    <d v="2023-12-11T00:00:00"/>
  </r>
  <r>
    <s v="TXN_2830671"/>
    <x v="6"/>
    <n v="1"/>
    <n v="4"/>
    <n v="4"/>
    <x v="1"/>
    <x v="0"/>
    <d v="2023-11-08T00:00:00"/>
  </r>
  <r>
    <s v="TXN_7876619"/>
    <x v="5"/>
    <n v="2"/>
    <n v="3"/>
    <n v="6"/>
    <x v="1"/>
    <x v="1"/>
    <d v="2023-09-27T00:00:00"/>
  </r>
  <r>
    <s v="TXN_5898238"/>
    <x v="5"/>
    <n v="5"/>
    <n v="2"/>
    <n v="10"/>
    <x v="0"/>
    <x v="2"/>
    <d v="2023-06-29T00:00:00"/>
  </r>
  <r>
    <s v="TXN_5337074"/>
    <x v="2"/>
    <n v="3"/>
    <n v="1"/>
    <n v="3"/>
    <x v="0"/>
    <x v="1"/>
    <d v="2023-01-12T00:00:00"/>
  </r>
  <r>
    <s v="TXN_9774186"/>
    <x v="8"/>
    <n v="3"/>
    <n v="1.5"/>
    <n v="4.5"/>
    <x v="2"/>
    <x v="2"/>
    <d v="2023-07-03T00:00:00"/>
  </r>
  <r>
    <s v="TXN_8619494"/>
    <x v="0"/>
    <n v="2"/>
    <n v="2"/>
    <n v="4"/>
    <x v="3"/>
    <x v="1"/>
    <m/>
  </r>
  <r>
    <s v="TXN_7268802"/>
    <x v="3"/>
    <n v="2"/>
    <n v="5"/>
    <n v="10"/>
    <x v="3"/>
    <x v="0"/>
    <d v="2023-04-10T00:00:00"/>
  </r>
  <r>
    <s v="TXN_3894735"/>
    <x v="7"/>
    <n v="5"/>
    <n v="3"/>
    <n v="15"/>
    <x v="2"/>
    <x v="2"/>
    <d v="2023-03-10T00:00:00"/>
  </r>
  <r>
    <s v="TXN_1842981"/>
    <x v="8"/>
    <n v="5"/>
    <n v="1.5"/>
    <n v="7.5"/>
    <x v="0"/>
    <x v="2"/>
    <d v="2023-04-12T00:00:00"/>
  </r>
  <r>
    <s v="TXN_1720238"/>
    <x v="3"/>
    <n v="5"/>
    <n v="5"/>
    <n v="25"/>
    <x v="2"/>
    <x v="0"/>
    <d v="2023-05-08T00:00:00"/>
  </r>
  <r>
    <s v="TXN_8520687"/>
    <x v="3"/>
    <n v="5"/>
    <n v="5"/>
    <n v="25"/>
    <x v="2"/>
    <x v="0"/>
    <d v="2023-04-21T00:00:00"/>
  </r>
  <r>
    <s v="TXN_5793417"/>
    <x v="6"/>
    <n v="2"/>
    <n v="4"/>
    <n v="8"/>
    <x v="3"/>
    <x v="1"/>
    <d v="2023-12-29T00:00:00"/>
  </r>
  <r>
    <s v="TXN_2927909"/>
    <x v="1"/>
    <n v="4"/>
    <n v="3"/>
    <n v="12"/>
    <x v="0"/>
    <x v="2"/>
    <d v="2023-10-04T00:00:00"/>
  </r>
  <r>
    <s v="TXN_3412484"/>
    <x v="1"/>
    <n v="4"/>
    <n v="3"/>
    <n v="12"/>
    <x v="2"/>
    <x v="0"/>
    <d v="2023-09-06T00:00:00"/>
  </r>
  <r>
    <s v="TXN_3754190"/>
    <x v="5"/>
    <n v="3"/>
    <n v="3"/>
    <n v="9"/>
    <x v="3"/>
    <x v="1"/>
    <m/>
  </r>
  <r>
    <s v="TXN_4048203"/>
    <x v="4"/>
    <n v="2"/>
    <n v="4"/>
    <n v="8"/>
    <x v="2"/>
    <x v="0"/>
    <d v="2023-12-13T00:00:00"/>
  </r>
  <r>
    <s v="TXN_9181224"/>
    <x v="6"/>
    <n v="5"/>
    <n v="4"/>
    <n v="20"/>
    <x v="1"/>
    <x v="2"/>
    <m/>
  </r>
  <r>
    <s v="TXN_6841304"/>
    <x v="1"/>
    <n v="1"/>
    <n v="3"/>
    <n v="3"/>
    <x v="2"/>
    <x v="2"/>
    <d v="2023-03-13T00:00:00"/>
  </r>
  <r>
    <s v="TXN_2156454"/>
    <x v="2"/>
    <n v="5"/>
    <n v="1"/>
    <n v="5"/>
    <x v="2"/>
    <x v="1"/>
    <d v="2023-08-17T00:00:00"/>
  </r>
  <r>
    <s v="TXN_2001807"/>
    <x v="5"/>
    <n v="5"/>
    <n v="4"/>
    <n v="20"/>
    <x v="2"/>
    <x v="1"/>
    <d v="2023-08-10T00:00:00"/>
  </r>
  <r>
    <s v="TXN_4781960"/>
    <x v="7"/>
    <n v="1"/>
    <n v="3"/>
    <n v="3"/>
    <x v="3"/>
    <x v="2"/>
    <d v="2023-03-28T00:00:00"/>
  </r>
  <r>
    <s v="TXN_4381404"/>
    <x v="3"/>
    <n v="5"/>
    <n v="5"/>
    <n v="25"/>
    <x v="2"/>
    <x v="2"/>
    <d v="2023-08-15T00:00:00"/>
  </r>
  <r>
    <s v="TXN_8406851"/>
    <x v="5"/>
    <n v="2"/>
    <n v="3"/>
    <n v="6"/>
    <x v="2"/>
    <x v="1"/>
    <d v="2023-09-09T00:00:00"/>
  </r>
  <r>
    <s v="TXN_3982257"/>
    <x v="0"/>
    <n v="2"/>
    <n v="2"/>
    <n v="4"/>
    <x v="3"/>
    <x v="2"/>
    <d v="2023-07-23T00:00:00"/>
  </r>
  <r>
    <s v="TXN_1463795"/>
    <x v="0"/>
    <n v="5"/>
    <n v="2"/>
    <n v="10"/>
    <x v="0"/>
    <x v="2"/>
    <d v="2023-08-04T00:00:00"/>
  </r>
  <r>
    <s v="TXN_7454894"/>
    <x v="8"/>
    <n v="1"/>
    <n v="1.5"/>
    <n v="1.5"/>
    <x v="1"/>
    <x v="0"/>
    <d v="2023-07-25T00:00:00"/>
  </r>
  <r>
    <s v="TXN_5930304"/>
    <x v="6"/>
    <n v="2"/>
    <n v="4"/>
    <n v="8"/>
    <x v="3"/>
    <x v="2"/>
    <d v="2023-11-02T00:00:00"/>
  </r>
  <r>
    <s v="TXN_4249989"/>
    <x v="0"/>
    <n v="4"/>
    <n v="2"/>
    <n v="8"/>
    <x v="3"/>
    <x v="2"/>
    <d v="2023-01-22T00:00:00"/>
  </r>
  <r>
    <s v="TXN_2957017"/>
    <x v="6"/>
    <n v="5"/>
    <n v="4"/>
    <n v="20"/>
    <x v="1"/>
    <x v="1"/>
    <d v="2023-06-13T00:00:00"/>
  </r>
  <r>
    <s v="TXN_2733833"/>
    <x v="1"/>
    <n v="4"/>
    <n v="3"/>
    <n v="12"/>
    <x v="2"/>
    <x v="1"/>
    <d v="2023-09-09T00:00:00"/>
  </r>
  <r>
    <s v="TXN_6585794"/>
    <x v="4"/>
    <n v="5"/>
    <n v="4"/>
    <n v="20"/>
    <x v="0"/>
    <x v="1"/>
    <d v="2023-02-15T00:00:00"/>
  </r>
  <r>
    <s v="TXN_5721846"/>
    <x v="2"/>
    <n v="3"/>
    <n v="1"/>
    <n v="3"/>
    <x v="1"/>
    <x v="0"/>
    <d v="2023-04-14T00:00:00"/>
  </r>
  <r>
    <s v="TXN_6487493"/>
    <x v="3"/>
    <n v="3"/>
    <n v="5"/>
    <n v="15"/>
    <x v="1"/>
    <x v="1"/>
    <d v="2023-03-13T00:00:00"/>
  </r>
  <r>
    <s v="TXN_4476636"/>
    <x v="0"/>
    <n v="3"/>
    <n v="2"/>
    <n v="6"/>
    <x v="0"/>
    <x v="1"/>
    <m/>
  </r>
  <r>
    <s v="TXN_1197495"/>
    <x v="7"/>
    <n v="5"/>
    <n v="3"/>
    <n v="15"/>
    <x v="2"/>
    <x v="0"/>
    <m/>
  </r>
  <r>
    <s v="TXN_9395087"/>
    <x v="8"/>
    <n v="1"/>
    <n v="1.5"/>
    <n v="1.5"/>
    <x v="1"/>
    <x v="1"/>
    <d v="2023-06-12T00:00:00"/>
  </r>
  <r>
    <s v="TXN_4477559"/>
    <x v="7"/>
    <n v="5"/>
    <n v="3"/>
    <n v="15"/>
    <x v="0"/>
    <x v="2"/>
    <d v="2023-10-02T00:00:00"/>
  </r>
  <r>
    <s v="TXN_5542033"/>
    <x v="6"/>
    <n v="3"/>
    <n v="4"/>
    <n v="12"/>
    <x v="3"/>
    <x v="2"/>
    <d v="2023-06-26T00:00:00"/>
  </r>
  <r>
    <s v="TXN_8850984"/>
    <x v="6"/>
    <n v="3"/>
    <n v="4"/>
    <n v="12"/>
    <x v="1"/>
    <x v="0"/>
    <d v="2023-05-27T00:00:00"/>
  </r>
  <r>
    <s v="TXN_1710823"/>
    <x v="3"/>
    <n v="2"/>
    <n v="5"/>
    <n v="10"/>
    <x v="0"/>
    <x v="2"/>
    <d v="2023-01-27T00:00:00"/>
  </r>
  <r>
    <s v="TXN_6575440"/>
    <x v="8"/>
    <n v="1"/>
    <n v="1.5"/>
    <n v="1.5"/>
    <x v="1"/>
    <x v="2"/>
    <d v="2023-02-05T00:00:00"/>
  </r>
  <r>
    <s v="TXN_5225537"/>
    <x v="8"/>
    <n v="5"/>
    <n v="1.5"/>
    <n v="7.5"/>
    <x v="3"/>
    <x v="2"/>
    <d v="2023-11-04T00:00:00"/>
  </r>
  <r>
    <s v="TXN_1583315"/>
    <x v="2"/>
    <n v="3"/>
    <n v="1"/>
    <n v="3"/>
    <x v="2"/>
    <x v="0"/>
    <d v="2023-10-17T00:00:00"/>
  </r>
  <r>
    <s v="TXN_8130122"/>
    <x v="6"/>
    <n v="2"/>
    <n v="4"/>
    <n v="8"/>
    <x v="2"/>
    <x v="1"/>
    <d v="2023-10-23T00:00:00"/>
  </r>
  <r>
    <s v="TXN_3587444"/>
    <x v="7"/>
    <n v="2"/>
    <n v="3"/>
    <n v="6"/>
    <x v="0"/>
    <x v="2"/>
    <d v="2023-02-03T00:00:00"/>
  </r>
  <r>
    <s v="TXN_7053280"/>
    <x v="5"/>
    <n v="5"/>
    <n v="2"/>
    <n v="10"/>
    <x v="2"/>
    <x v="1"/>
    <d v="2023-05-28T00:00:00"/>
  </r>
  <r>
    <s v="TXN_9407000"/>
    <x v="6"/>
    <n v="4"/>
    <n v="4"/>
    <n v="16"/>
    <x v="2"/>
    <x v="0"/>
    <d v="2023-10-03T00:00:00"/>
  </r>
  <r>
    <s v="TXN_3017917"/>
    <x v="2"/>
    <n v="3"/>
    <n v="1"/>
    <n v="3"/>
    <x v="0"/>
    <x v="0"/>
    <d v="2023-08-31T00:00:00"/>
  </r>
  <r>
    <s v="TXN_8090925"/>
    <x v="5"/>
    <n v="3"/>
    <n v="1"/>
    <n v="3"/>
    <x v="3"/>
    <x v="1"/>
    <d v="2023-07-11T00:00:00"/>
  </r>
  <r>
    <s v="TXN_7738013"/>
    <x v="3"/>
    <n v="5"/>
    <n v="5"/>
    <n v="25"/>
    <x v="0"/>
    <x v="0"/>
    <d v="2023-11-28T00:00:00"/>
  </r>
  <r>
    <s v="TXN_8542781"/>
    <x v="1"/>
    <n v="2"/>
    <n v="3"/>
    <n v="6"/>
    <x v="2"/>
    <x v="2"/>
    <d v="2023-05-18T00:00:00"/>
  </r>
  <r>
    <s v="TXN_6617283"/>
    <x v="8"/>
    <n v="4"/>
    <n v="1.5"/>
    <n v="6"/>
    <x v="3"/>
    <x v="2"/>
    <d v="2023-06-09T00:00:00"/>
  </r>
  <r>
    <s v="TXN_1461221"/>
    <x v="3"/>
    <n v="2"/>
    <n v="5"/>
    <n v="10"/>
    <x v="1"/>
    <x v="1"/>
    <d v="2023-04-30T00:00:00"/>
  </r>
  <r>
    <s v="TXN_2056358"/>
    <x v="0"/>
    <n v="3"/>
    <n v="2"/>
    <n v="6"/>
    <x v="1"/>
    <x v="1"/>
    <d v="2023-09-17T00:00:00"/>
  </r>
  <r>
    <s v="TXN_1858674"/>
    <x v="4"/>
    <n v="2"/>
    <n v="4"/>
    <n v="8"/>
    <x v="2"/>
    <x v="1"/>
    <d v="2023-04-09T00:00:00"/>
  </r>
  <r>
    <s v="TXN_2251009"/>
    <x v="2"/>
    <n v="5"/>
    <n v="1"/>
    <n v="5"/>
    <x v="2"/>
    <x v="2"/>
    <d v="2023-04-02T00:00:00"/>
  </r>
  <r>
    <s v="TXN_5616473"/>
    <x v="6"/>
    <n v="4"/>
    <n v="4"/>
    <n v="16"/>
    <x v="1"/>
    <x v="2"/>
    <d v="2023-07-28T00:00:00"/>
  </r>
  <r>
    <s v="TXN_7022398"/>
    <x v="6"/>
    <n v="4"/>
    <n v="4"/>
    <n v="16"/>
    <x v="2"/>
    <x v="2"/>
    <d v="2023-12-23T00:00:00"/>
  </r>
  <r>
    <s v="TXN_2615514"/>
    <x v="2"/>
    <n v="5"/>
    <n v="1"/>
    <n v="5"/>
    <x v="3"/>
    <x v="2"/>
    <m/>
  </r>
  <r>
    <s v="TXN_7379939"/>
    <x v="5"/>
    <n v="1"/>
    <n v="1"/>
    <n v="1"/>
    <x v="1"/>
    <x v="2"/>
    <d v="2023-04-21T00:00:00"/>
  </r>
  <r>
    <s v="TXN_7331525"/>
    <x v="1"/>
    <n v="2"/>
    <n v="3"/>
    <n v="6"/>
    <x v="2"/>
    <x v="2"/>
    <m/>
  </r>
  <r>
    <s v="TXN_1004184"/>
    <x v="4"/>
    <n v="1"/>
    <n v="4"/>
    <n v="4"/>
    <x v="0"/>
    <x v="1"/>
    <d v="2023-05-18T00:00:00"/>
  </r>
  <r>
    <s v="TXN_4141868"/>
    <x v="8"/>
    <n v="3"/>
    <n v="1.5"/>
    <n v="4.5"/>
    <x v="0"/>
    <x v="2"/>
    <d v="2023-02-08T00:00:00"/>
  </r>
  <r>
    <s v="TXN_9871971"/>
    <x v="4"/>
    <n v="3"/>
    <n v="4"/>
    <n v="12"/>
    <x v="2"/>
    <x v="0"/>
    <d v="2023-10-06T00:00:00"/>
  </r>
  <r>
    <s v="TXN_4168771"/>
    <x v="0"/>
    <n v="5"/>
    <n v="2"/>
    <n v="10"/>
    <x v="3"/>
    <x v="2"/>
    <d v="2023-08-02T00:00:00"/>
  </r>
  <r>
    <s v="TXN_6328925"/>
    <x v="3"/>
    <n v="4"/>
    <n v="5"/>
    <n v="20"/>
    <x v="0"/>
    <x v="2"/>
    <d v="2023-09-05T00:00:00"/>
  </r>
  <r>
    <s v="TXN_1226662"/>
    <x v="3"/>
    <n v="1"/>
    <n v="5"/>
    <n v="5"/>
    <x v="2"/>
    <x v="1"/>
    <d v="2023-06-17T00:00:00"/>
  </r>
  <r>
    <s v="TXN_7562171"/>
    <x v="8"/>
    <n v="1"/>
    <n v="1.5"/>
    <n v="1.5"/>
    <x v="2"/>
    <x v="1"/>
    <d v="2023-09-02T00:00:00"/>
  </r>
  <r>
    <s v="TXN_6843677"/>
    <x v="5"/>
    <n v="4"/>
    <n v="2"/>
    <n v="8"/>
    <x v="2"/>
    <x v="0"/>
    <d v="2023-09-09T00:00:00"/>
  </r>
  <r>
    <s v="TXN_2980632"/>
    <x v="2"/>
    <n v="3"/>
    <n v="1"/>
    <n v="3"/>
    <x v="0"/>
    <x v="0"/>
    <d v="2023-01-14T00:00:00"/>
  </r>
  <r>
    <s v="TXN_2609762"/>
    <x v="0"/>
    <n v="5"/>
    <n v="2"/>
    <n v="10"/>
    <x v="2"/>
    <x v="0"/>
    <d v="2023-07-26T00:00:00"/>
  </r>
  <r>
    <s v="TXN_7253734"/>
    <x v="6"/>
    <n v="5"/>
    <n v="4"/>
    <n v="20"/>
    <x v="3"/>
    <x v="2"/>
    <d v="2023-09-28T00:00:00"/>
  </r>
  <r>
    <s v="TXN_6679600"/>
    <x v="0"/>
    <n v="1"/>
    <n v="2"/>
    <n v="2"/>
    <x v="3"/>
    <x v="2"/>
    <d v="2023-03-15T00:00:00"/>
  </r>
  <r>
    <s v="TXN_8722854"/>
    <x v="7"/>
    <n v="1"/>
    <n v="3"/>
    <n v="3"/>
    <x v="0"/>
    <x v="0"/>
    <m/>
  </r>
  <r>
    <s v="TXN_8279992"/>
    <x v="7"/>
    <n v="5"/>
    <n v="3"/>
    <n v="15"/>
    <x v="2"/>
    <x v="2"/>
    <d v="2023-07-03T00:00:00"/>
  </r>
  <r>
    <s v="TXN_5722123"/>
    <x v="1"/>
    <n v="4"/>
    <n v="3"/>
    <n v="12"/>
    <x v="3"/>
    <x v="0"/>
    <d v="2023-11-23T00:00:00"/>
  </r>
  <r>
    <s v="TXN_3446174"/>
    <x v="1"/>
    <n v="5"/>
    <n v="3"/>
    <n v="15"/>
    <x v="1"/>
    <x v="2"/>
    <d v="2023-10-31T00:00:00"/>
  </r>
  <r>
    <s v="TXN_3518261"/>
    <x v="6"/>
    <n v="2"/>
    <n v="4"/>
    <n v="8"/>
    <x v="3"/>
    <x v="2"/>
    <d v="2023-08-05T00:00:00"/>
  </r>
  <r>
    <s v="TXN_5927925"/>
    <x v="7"/>
    <n v="4"/>
    <n v="3"/>
    <n v="12"/>
    <x v="3"/>
    <x v="1"/>
    <d v="2023-11-02T00:00:00"/>
  </r>
  <r>
    <s v="TXN_5101593"/>
    <x v="1"/>
    <n v="5"/>
    <n v="3"/>
    <n v="15"/>
    <x v="0"/>
    <x v="0"/>
    <d v="2023-01-25T00:00:00"/>
  </r>
  <r>
    <s v="TXN_1578981"/>
    <x v="1"/>
    <n v="1"/>
    <n v="3"/>
    <n v="3"/>
    <x v="1"/>
    <x v="1"/>
    <d v="2023-05-15T00:00:00"/>
  </r>
  <r>
    <s v="TXN_7876388"/>
    <x v="2"/>
    <n v="4"/>
    <n v="1"/>
    <n v="4"/>
    <x v="1"/>
    <x v="1"/>
    <d v="2023-10-05T00:00:00"/>
  </r>
  <r>
    <s v="TXN_5939363"/>
    <x v="8"/>
    <n v="5"/>
    <n v="1.5"/>
    <n v="7.5"/>
    <x v="0"/>
    <x v="1"/>
    <d v="2023-02-14T00:00:00"/>
  </r>
  <r>
    <s v="TXN_1636908"/>
    <x v="1"/>
    <n v="4"/>
    <n v="3"/>
    <n v="12"/>
    <x v="3"/>
    <x v="2"/>
    <d v="2023-10-17T00:00:00"/>
  </r>
  <r>
    <s v="TXN_5221688"/>
    <x v="0"/>
    <n v="2"/>
    <n v="2"/>
    <n v="4"/>
    <x v="1"/>
    <x v="2"/>
    <d v="2023-07-03T00:00:00"/>
  </r>
  <r>
    <s v="TXN_1196923"/>
    <x v="4"/>
    <n v="2"/>
    <n v="4"/>
    <n v="8"/>
    <x v="2"/>
    <x v="2"/>
    <d v="2023-04-27T00:00:00"/>
  </r>
  <r>
    <s v="TXN_8944698"/>
    <x v="0"/>
    <n v="3"/>
    <n v="2"/>
    <n v="6"/>
    <x v="0"/>
    <x v="2"/>
    <d v="2023-09-15T00:00:00"/>
  </r>
  <r>
    <s v="TXN_8167275"/>
    <x v="3"/>
    <n v="5"/>
    <n v="5"/>
    <n v="25"/>
    <x v="2"/>
    <x v="2"/>
    <m/>
  </r>
  <r>
    <s v="TXN_2167159"/>
    <x v="1"/>
    <n v="2"/>
    <n v="3"/>
    <n v="6"/>
    <x v="1"/>
    <x v="2"/>
    <d v="2023-04-06T00:00:00"/>
  </r>
  <r>
    <s v="TXN_7811387"/>
    <x v="2"/>
    <n v="5"/>
    <n v="1"/>
    <n v="5"/>
    <x v="0"/>
    <x v="0"/>
    <d v="2023-11-30T00:00:00"/>
  </r>
  <r>
    <s v="TXN_1884923"/>
    <x v="0"/>
    <n v="4"/>
    <n v="2"/>
    <n v="8"/>
    <x v="3"/>
    <x v="0"/>
    <d v="2023-05-11T00:00:00"/>
  </r>
  <r>
    <s v="TXN_8215595"/>
    <x v="8"/>
    <n v="2"/>
    <n v="1.5"/>
    <n v="3"/>
    <x v="1"/>
    <x v="2"/>
    <d v="2023-11-23T00:00:00"/>
  </r>
  <r>
    <s v="TXN_7618171"/>
    <x v="1"/>
    <n v="5"/>
    <n v="3"/>
    <n v="15"/>
    <x v="1"/>
    <x v="2"/>
    <m/>
  </r>
  <r>
    <s v="TXN_9857674"/>
    <x v="8"/>
    <n v="5"/>
    <n v="1.5"/>
    <n v="7.5"/>
    <x v="2"/>
    <x v="0"/>
    <d v="2023-06-12T00:00:00"/>
  </r>
  <r>
    <s v="TXN_7389626"/>
    <x v="8"/>
    <n v="2"/>
    <n v="1.5"/>
    <n v="3"/>
    <x v="2"/>
    <x v="2"/>
    <m/>
  </r>
  <r>
    <s v="TXN_6035512"/>
    <x v="1"/>
    <n v="5"/>
    <n v="3"/>
    <n v="15"/>
    <x v="1"/>
    <x v="0"/>
    <d v="2023-02-19T00:00:00"/>
  </r>
  <r>
    <s v="TXN_1398769"/>
    <x v="4"/>
    <n v="1"/>
    <n v="4"/>
    <n v="4"/>
    <x v="1"/>
    <x v="1"/>
    <d v="2023-06-02T00:00:00"/>
  </r>
  <r>
    <s v="TXN_6874354"/>
    <x v="6"/>
    <n v="4"/>
    <n v="4"/>
    <n v="16"/>
    <x v="0"/>
    <x v="2"/>
    <d v="2023-03-23T00:00:00"/>
  </r>
  <r>
    <s v="TXN_9690711"/>
    <x v="2"/>
    <n v="2"/>
    <n v="1"/>
    <n v="2"/>
    <x v="0"/>
    <x v="1"/>
    <d v="2023-09-13T00:00:00"/>
  </r>
  <r>
    <s v="TXN_5620636"/>
    <x v="8"/>
    <n v="4"/>
    <n v="1.5"/>
    <n v="6"/>
    <x v="2"/>
    <x v="1"/>
    <d v="2023-06-12T00:00:00"/>
  </r>
  <r>
    <s v="TXN_7234224"/>
    <x v="1"/>
    <n v="3"/>
    <n v="3"/>
    <n v="9"/>
    <x v="2"/>
    <x v="2"/>
    <d v="2023-10-31T00:00:00"/>
  </r>
  <r>
    <s v="TXN_3844347"/>
    <x v="6"/>
    <n v="4"/>
    <n v="4"/>
    <n v="16"/>
    <x v="1"/>
    <x v="2"/>
    <d v="2023-10-04T00:00:00"/>
  </r>
  <r>
    <s v="TXN_4507533"/>
    <x v="1"/>
    <n v="1"/>
    <n v="3"/>
    <n v="3"/>
    <x v="3"/>
    <x v="2"/>
    <d v="2023-08-31T00:00:00"/>
  </r>
  <r>
    <s v="TXN_7636238"/>
    <x v="6"/>
    <n v="4"/>
    <n v="4"/>
    <n v="16"/>
    <x v="0"/>
    <x v="2"/>
    <d v="2023-03-27T00:00:00"/>
  </r>
  <r>
    <s v="TXN_8913153"/>
    <x v="4"/>
    <n v="2"/>
    <n v="4"/>
    <n v="8"/>
    <x v="0"/>
    <x v="2"/>
    <d v="2023-09-02T00:00:00"/>
  </r>
  <r>
    <s v="TXN_7595206"/>
    <x v="6"/>
    <n v="5"/>
    <n v="4"/>
    <n v="20"/>
    <x v="0"/>
    <x v="1"/>
    <d v="2023-12-02T00:00:00"/>
  </r>
  <r>
    <s v="TXN_8424592"/>
    <x v="4"/>
    <n v="4"/>
    <n v="4"/>
    <n v="16"/>
    <x v="0"/>
    <x v="0"/>
    <d v="2023-11-09T00:00:00"/>
  </r>
  <r>
    <s v="TXN_1769882"/>
    <x v="5"/>
    <n v="3"/>
    <n v="3"/>
    <n v="9"/>
    <x v="2"/>
    <x v="0"/>
    <d v="2023-03-17T00:00:00"/>
  </r>
  <r>
    <s v="TXN_2000406"/>
    <x v="1"/>
    <n v="2"/>
    <n v="3"/>
    <n v="6"/>
    <x v="0"/>
    <x v="2"/>
    <d v="2023-06-06T00:00:00"/>
  </r>
  <r>
    <s v="TXN_3105786"/>
    <x v="4"/>
    <n v="3"/>
    <n v="4"/>
    <n v="12"/>
    <x v="2"/>
    <x v="1"/>
    <d v="2023-10-04T00:00:00"/>
  </r>
  <r>
    <s v="TXN_7820220"/>
    <x v="1"/>
    <n v="3"/>
    <n v="3"/>
    <n v="9"/>
    <x v="0"/>
    <x v="1"/>
    <d v="2023-03-16T00:00:00"/>
  </r>
  <r>
    <s v="TXN_5880883"/>
    <x v="6"/>
    <n v="5"/>
    <n v="4"/>
    <n v="20"/>
    <x v="3"/>
    <x v="1"/>
    <d v="2023-02-02T00:00:00"/>
  </r>
  <r>
    <s v="TXN_4447856"/>
    <x v="4"/>
    <n v="2"/>
    <n v="4"/>
    <n v="8"/>
    <x v="1"/>
    <x v="0"/>
    <d v="2023-09-11T00:00:00"/>
  </r>
  <r>
    <s v="TXN_6613909"/>
    <x v="1"/>
    <n v="4"/>
    <n v="3"/>
    <n v="12"/>
    <x v="0"/>
    <x v="1"/>
    <d v="2023-06-30T00:00:00"/>
  </r>
  <r>
    <s v="TXN_5331924"/>
    <x v="6"/>
    <n v="2"/>
    <n v="4"/>
    <n v="8"/>
    <x v="1"/>
    <x v="0"/>
    <d v="2023-06-30T00:00:00"/>
  </r>
  <r>
    <s v="TXN_9090433"/>
    <x v="2"/>
    <n v="2"/>
    <n v="1"/>
    <n v="2"/>
    <x v="1"/>
    <x v="2"/>
    <d v="2023-07-12T00:00:00"/>
  </r>
  <r>
    <s v="TXN_9393467"/>
    <x v="5"/>
    <n v="5"/>
    <n v="3"/>
    <n v="15"/>
    <x v="1"/>
    <x v="2"/>
    <d v="2023-09-25T00:00:00"/>
  </r>
  <r>
    <s v="TXN_9811033"/>
    <x v="2"/>
    <n v="3"/>
    <n v="1"/>
    <n v="3"/>
    <x v="1"/>
    <x v="0"/>
    <d v="2023-11-30T00:00:00"/>
  </r>
  <r>
    <s v="TXN_5452419"/>
    <x v="0"/>
    <n v="4"/>
    <n v="2"/>
    <n v="8"/>
    <x v="1"/>
    <x v="1"/>
    <d v="2023-01-25T00:00:00"/>
  </r>
  <r>
    <s v="TXN_5384343"/>
    <x v="7"/>
    <n v="1"/>
    <n v="3"/>
    <n v="3"/>
    <x v="0"/>
    <x v="2"/>
    <d v="2023-03-29T00:00:00"/>
  </r>
  <r>
    <s v="TXN_6580743"/>
    <x v="0"/>
    <n v="1"/>
    <n v="2"/>
    <n v="2"/>
    <x v="3"/>
    <x v="0"/>
    <d v="2023-12-18T00:00:00"/>
  </r>
  <r>
    <s v="TXN_8361821"/>
    <x v="8"/>
    <n v="5"/>
    <n v="1.5"/>
    <n v="7.5"/>
    <x v="1"/>
    <x v="1"/>
    <d v="2023-06-30T00:00:00"/>
  </r>
  <r>
    <s v="TXN_2103626"/>
    <x v="7"/>
    <n v="3"/>
    <n v="3"/>
    <n v="9"/>
    <x v="1"/>
    <x v="1"/>
    <d v="2023-04-23T00:00:00"/>
  </r>
  <r>
    <s v="TXN_1891141"/>
    <x v="7"/>
    <n v="4"/>
    <n v="3"/>
    <n v="12"/>
    <x v="3"/>
    <x v="1"/>
    <d v="2023-10-25T00:00:00"/>
  </r>
  <r>
    <s v="TXN_1252575"/>
    <x v="8"/>
    <n v="1"/>
    <n v="1.5"/>
    <n v="1.5"/>
    <x v="3"/>
    <x v="0"/>
    <d v="2023-10-16T00:00:00"/>
  </r>
  <r>
    <s v="TXN_5354721"/>
    <x v="5"/>
    <n v="5"/>
    <n v="3"/>
    <n v="15"/>
    <x v="2"/>
    <x v="0"/>
    <d v="2023-09-07T00:00:00"/>
  </r>
  <r>
    <s v="TXN_6723498"/>
    <x v="3"/>
    <n v="3"/>
    <n v="5"/>
    <n v="15"/>
    <x v="2"/>
    <x v="0"/>
    <d v="2023-01-28T00:00:00"/>
  </r>
  <r>
    <s v="TXN_1852224"/>
    <x v="8"/>
    <n v="4"/>
    <n v="1.5"/>
    <n v="6"/>
    <x v="1"/>
    <x v="0"/>
    <d v="2023-01-06T00:00:00"/>
  </r>
  <r>
    <s v="TXN_5247378"/>
    <x v="6"/>
    <n v="2"/>
    <n v="4"/>
    <n v="8"/>
    <x v="3"/>
    <x v="0"/>
    <d v="2023-06-16T00:00:00"/>
  </r>
  <r>
    <s v="TXN_8786479"/>
    <x v="0"/>
    <n v="4"/>
    <n v="2"/>
    <n v="8"/>
    <x v="2"/>
    <x v="2"/>
    <d v="2023-05-29T00:00:00"/>
  </r>
  <r>
    <s v="TXN_5108439"/>
    <x v="3"/>
    <n v="2"/>
    <n v="5"/>
    <n v="10"/>
    <x v="2"/>
    <x v="1"/>
    <d v="2023-05-06T00:00:00"/>
  </r>
  <r>
    <s v="TXN_4993989"/>
    <x v="4"/>
    <n v="2"/>
    <n v="4"/>
    <n v="8"/>
    <x v="2"/>
    <x v="2"/>
    <d v="2023-11-15T00:00:00"/>
  </r>
  <r>
    <s v="TXN_8004510"/>
    <x v="1"/>
    <n v="3"/>
    <n v="3"/>
    <n v="9"/>
    <x v="1"/>
    <x v="0"/>
    <d v="2023-12-29T00:00:00"/>
  </r>
  <r>
    <s v="TXN_8541473"/>
    <x v="0"/>
    <n v="3"/>
    <n v="2"/>
    <n v="6"/>
    <x v="2"/>
    <x v="2"/>
    <d v="2023-08-02T00:00:00"/>
  </r>
  <r>
    <s v="TXN_8917822"/>
    <x v="1"/>
    <n v="2"/>
    <n v="3"/>
    <n v="6"/>
    <x v="3"/>
    <x v="2"/>
    <d v="2023-12-12T00:00:00"/>
  </r>
  <r>
    <s v="TXN_8108731"/>
    <x v="7"/>
    <n v="5"/>
    <n v="3"/>
    <n v="15"/>
    <x v="2"/>
    <x v="2"/>
    <d v="2023-08-13T00:00:00"/>
  </r>
  <r>
    <s v="TXN_4570750"/>
    <x v="5"/>
    <n v="1"/>
    <n v="2"/>
    <n v="2"/>
    <x v="1"/>
    <x v="0"/>
    <d v="2023-05-18T00:00:00"/>
  </r>
  <r>
    <s v="TXN_1190151"/>
    <x v="7"/>
    <n v="5"/>
    <n v="3"/>
    <n v="15"/>
    <x v="3"/>
    <x v="2"/>
    <d v="2023-08-14T00:00:00"/>
  </r>
  <r>
    <s v="TXN_8304002"/>
    <x v="7"/>
    <n v="1"/>
    <n v="3"/>
    <n v="3"/>
    <x v="0"/>
    <x v="0"/>
    <d v="2023-05-02T00:00:00"/>
  </r>
  <r>
    <s v="TXN_4341764"/>
    <x v="0"/>
    <n v="2"/>
    <n v="2"/>
    <n v="4"/>
    <x v="1"/>
    <x v="2"/>
    <d v="2023-12-02T00:00:00"/>
  </r>
  <r>
    <s v="TXN_1751183"/>
    <x v="5"/>
    <n v="5"/>
    <n v="4"/>
    <n v="20"/>
    <x v="0"/>
    <x v="2"/>
    <d v="2023-12-25T00:00:00"/>
  </r>
  <r>
    <s v="TXN_2112333"/>
    <x v="2"/>
    <n v="2"/>
    <n v="1"/>
    <n v="2"/>
    <x v="0"/>
    <x v="1"/>
    <m/>
  </r>
  <r>
    <s v="TXN_1046384"/>
    <x v="4"/>
    <n v="1"/>
    <n v="4"/>
    <n v="4"/>
    <x v="1"/>
    <x v="2"/>
    <d v="2023-06-09T00:00:00"/>
  </r>
  <r>
    <s v="TXN_1736630"/>
    <x v="5"/>
    <n v="5"/>
    <n v="1.5"/>
    <n v="7.5"/>
    <x v="0"/>
    <x v="2"/>
    <d v="2023-07-16T00:00:00"/>
  </r>
  <r>
    <s v="TXN_8287437"/>
    <x v="8"/>
    <n v="2"/>
    <n v="1.5"/>
    <n v="3"/>
    <x v="2"/>
    <x v="2"/>
    <d v="2023-03-16T00:00:00"/>
  </r>
  <r>
    <s v="TXN_4153132"/>
    <x v="3"/>
    <n v="3"/>
    <n v="5"/>
    <n v="15"/>
    <x v="3"/>
    <x v="2"/>
    <d v="2023-03-21T00:00:00"/>
  </r>
  <r>
    <s v="TXN_3243410"/>
    <x v="8"/>
    <n v="2"/>
    <n v="1.5"/>
    <n v="3"/>
    <x v="2"/>
    <x v="2"/>
    <d v="2023-10-30T00:00:00"/>
  </r>
  <r>
    <s v="TXN_3061634"/>
    <x v="0"/>
    <n v="1"/>
    <n v="2"/>
    <n v="2"/>
    <x v="3"/>
    <x v="2"/>
    <d v="2023-03-17T00:00:00"/>
  </r>
  <r>
    <s v="TXN_7433308"/>
    <x v="3"/>
    <n v="4"/>
    <n v="5"/>
    <n v="20"/>
    <x v="1"/>
    <x v="0"/>
    <d v="2023-02-14T00:00:00"/>
  </r>
  <r>
    <s v="TXN_6991736"/>
    <x v="7"/>
    <n v="2"/>
    <n v="3"/>
    <n v="6"/>
    <x v="3"/>
    <x v="1"/>
    <d v="2023-11-07T00:00:00"/>
  </r>
  <r>
    <s v="TXN_7334272"/>
    <x v="6"/>
    <n v="2"/>
    <n v="4"/>
    <n v="8"/>
    <x v="0"/>
    <x v="0"/>
    <d v="2023-07-07T00:00:00"/>
  </r>
  <r>
    <s v="TXN_8120577"/>
    <x v="5"/>
    <n v="3"/>
    <n v="3"/>
    <n v="9"/>
    <x v="1"/>
    <x v="1"/>
    <d v="2023-09-08T00:00:00"/>
  </r>
  <r>
    <s v="TXN_9072093"/>
    <x v="2"/>
    <n v="1"/>
    <n v="1"/>
    <n v="1"/>
    <x v="2"/>
    <x v="2"/>
    <d v="2023-03-06T00:00:00"/>
  </r>
  <r>
    <s v="TXN_4705417"/>
    <x v="3"/>
    <n v="5"/>
    <n v="5"/>
    <n v="25"/>
    <x v="0"/>
    <x v="0"/>
    <d v="2023-12-14T00:00:00"/>
  </r>
  <r>
    <s v="TXN_8145970"/>
    <x v="7"/>
    <n v="5"/>
    <n v="3"/>
    <n v="15"/>
    <x v="3"/>
    <x v="0"/>
    <d v="2023-10-26T00:00:00"/>
  </r>
  <r>
    <s v="TXN_1910553"/>
    <x v="4"/>
    <n v="5"/>
    <n v="4"/>
    <n v="20"/>
    <x v="1"/>
    <x v="2"/>
    <d v="2023-10-01T00:00:00"/>
  </r>
  <r>
    <s v="TXN_9115899"/>
    <x v="1"/>
    <n v="2"/>
    <n v="3"/>
    <n v="6"/>
    <x v="0"/>
    <x v="1"/>
    <d v="2023-02-23T00:00:00"/>
  </r>
  <r>
    <s v="TXN_2785563"/>
    <x v="7"/>
    <n v="5"/>
    <n v="3"/>
    <n v="15"/>
    <x v="1"/>
    <x v="0"/>
    <m/>
  </r>
  <r>
    <s v="TXN_6020552"/>
    <x v="6"/>
    <n v="2"/>
    <n v="4"/>
    <n v="8"/>
    <x v="1"/>
    <x v="0"/>
    <d v="2023-01-14T00:00:00"/>
  </r>
  <r>
    <s v="TXN_7970906"/>
    <x v="0"/>
    <n v="4"/>
    <n v="2"/>
    <n v="8"/>
    <x v="2"/>
    <x v="1"/>
    <d v="2023-03-07T00:00:00"/>
  </r>
  <r>
    <s v="TXN_5317458"/>
    <x v="3"/>
    <n v="2"/>
    <n v="5"/>
    <n v="10"/>
    <x v="0"/>
    <x v="2"/>
    <d v="2023-01-22T00:00:00"/>
  </r>
  <r>
    <s v="TXN_6913384"/>
    <x v="8"/>
    <n v="3"/>
    <n v="1.5"/>
    <n v="4.5"/>
    <x v="0"/>
    <x v="0"/>
    <d v="2023-09-18T00:00:00"/>
  </r>
  <r>
    <s v="TXN_1910487"/>
    <x v="6"/>
    <n v="3"/>
    <n v="4"/>
    <n v="12"/>
    <x v="3"/>
    <x v="1"/>
    <d v="2023-08-14T00:00:00"/>
  </r>
  <r>
    <s v="TXN_6142549"/>
    <x v="7"/>
    <n v="3"/>
    <n v="3"/>
    <n v="9"/>
    <x v="3"/>
    <x v="2"/>
    <d v="2023-03-12T00:00:00"/>
  </r>
  <r>
    <s v="TXN_7266318"/>
    <x v="6"/>
    <n v="1"/>
    <n v="4"/>
    <n v="4"/>
    <x v="2"/>
    <x v="1"/>
    <d v="2023-01-16T00:00:00"/>
  </r>
  <r>
    <s v="TXN_4390911"/>
    <x v="3"/>
    <n v="2"/>
    <n v="5"/>
    <n v="10"/>
    <x v="3"/>
    <x v="2"/>
    <d v="2023-12-19T00:00:00"/>
  </r>
  <r>
    <s v="TXN_1445532"/>
    <x v="0"/>
    <n v="3"/>
    <n v="2"/>
    <n v="6"/>
    <x v="1"/>
    <x v="0"/>
    <d v="2023-03-03T00:00:00"/>
  </r>
  <r>
    <s v="TXN_8841996"/>
    <x v="6"/>
    <n v="2"/>
    <n v="4"/>
    <n v="8"/>
    <x v="2"/>
    <x v="2"/>
    <d v="2023-12-09T00:00:00"/>
  </r>
  <r>
    <s v="TXN_9814511"/>
    <x v="5"/>
    <n v="1"/>
    <n v="3"/>
    <n v="3"/>
    <x v="0"/>
    <x v="2"/>
    <d v="2023-01-05T00:00:00"/>
  </r>
  <r>
    <s v="TXN_2563505"/>
    <x v="6"/>
    <n v="1"/>
    <n v="4"/>
    <n v="4"/>
    <x v="1"/>
    <x v="0"/>
    <d v="2023-10-27T00:00:00"/>
  </r>
  <r>
    <s v="TXN_5183674"/>
    <x v="0"/>
    <n v="2"/>
    <n v="2"/>
    <n v="4"/>
    <x v="3"/>
    <x v="2"/>
    <d v="2023-04-13T00:00:00"/>
  </r>
  <r>
    <s v="TXN_6748199"/>
    <x v="3"/>
    <n v="2"/>
    <n v="5"/>
    <n v="10"/>
    <x v="1"/>
    <x v="2"/>
    <d v="2023-07-23T00:00:00"/>
  </r>
  <r>
    <s v="TXN_3463281"/>
    <x v="1"/>
    <n v="5"/>
    <n v="3"/>
    <n v="15"/>
    <x v="2"/>
    <x v="0"/>
    <d v="2023-10-06T00:00:00"/>
  </r>
  <r>
    <s v="TXN_5795475"/>
    <x v="8"/>
    <n v="3"/>
    <n v="1.5"/>
    <n v="4.5"/>
    <x v="3"/>
    <x v="1"/>
    <d v="2023-09-21T00:00:00"/>
  </r>
  <r>
    <s v="TXN_2322399"/>
    <x v="3"/>
    <n v="4"/>
    <n v="5"/>
    <n v="20"/>
    <x v="2"/>
    <x v="0"/>
    <d v="2023-04-15T00:00:00"/>
  </r>
  <r>
    <s v="TXN_5865534"/>
    <x v="4"/>
    <n v="4"/>
    <n v="4"/>
    <n v="16"/>
    <x v="3"/>
    <x v="2"/>
    <d v="2023-10-16T00:00:00"/>
  </r>
  <r>
    <s v="TXN_7060144"/>
    <x v="1"/>
    <n v="5"/>
    <n v="3"/>
    <n v="15"/>
    <x v="0"/>
    <x v="2"/>
    <m/>
  </r>
  <r>
    <s v="TXN_5159669"/>
    <x v="8"/>
    <n v="4"/>
    <n v="1.5"/>
    <n v="6"/>
    <x v="0"/>
    <x v="2"/>
    <d v="2023-09-30T00:00:00"/>
  </r>
  <r>
    <s v="TXN_4268051"/>
    <x v="2"/>
    <n v="1"/>
    <n v="1"/>
    <n v="1"/>
    <x v="3"/>
    <x v="1"/>
    <d v="2023-05-05T00:00:00"/>
  </r>
  <r>
    <s v="TXN_8120958"/>
    <x v="2"/>
    <n v="5"/>
    <n v="1"/>
    <n v="5"/>
    <x v="0"/>
    <x v="2"/>
    <d v="2023-06-21T00:00:00"/>
  </r>
  <r>
    <s v="TXN_6126149"/>
    <x v="8"/>
    <n v="2"/>
    <n v="1.5"/>
    <n v="3"/>
    <x v="2"/>
    <x v="2"/>
    <m/>
  </r>
  <r>
    <s v="TXN_5530097"/>
    <x v="7"/>
    <n v="2"/>
    <n v="3"/>
    <n v="6"/>
    <x v="0"/>
    <x v="0"/>
    <d v="2023-12-19T00:00:00"/>
  </r>
  <r>
    <s v="TXN_7805241"/>
    <x v="3"/>
    <n v="4"/>
    <n v="5"/>
    <n v="20"/>
    <x v="2"/>
    <x v="2"/>
    <d v="2023-04-16T00:00:00"/>
  </r>
  <r>
    <s v="TXN_2427834"/>
    <x v="8"/>
    <n v="4"/>
    <n v="1.5"/>
    <n v="6"/>
    <x v="2"/>
    <x v="1"/>
    <d v="2023-06-15T00:00:00"/>
  </r>
  <r>
    <s v="TXN_6949949"/>
    <x v="3"/>
    <n v="3"/>
    <n v="5"/>
    <n v="15"/>
    <x v="2"/>
    <x v="2"/>
    <d v="2023-05-14T00:00:00"/>
  </r>
  <r>
    <s v="TXN_9094261"/>
    <x v="7"/>
    <n v="2"/>
    <n v="3"/>
    <n v="6"/>
    <x v="3"/>
    <x v="0"/>
    <d v="2023-05-15T00:00:00"/>
  </r>
  <r>
    <s v="TXN_5661323"/>
    <x v="2"/>
    <n v="2"/>
    <n v="1"/>
    <n v="2"/>
    <x v="0"/>
    <x v="0"/>
    <d v="2023-05-06T00:00:00"/>
  </r>
  <r>
    <s v="TXN_2356583"/>
    <x v="4"/>
    <n v="4"/>
    <n v="4"/>
    <n v="16"/>
    <x v="3"/>
    <x v="1"/>
    <d v="2023-11-30T00:00:00"/>
  </r>
  <r>
    <s v="TXN_4248711"/>
    <x v="4"/>
    <n v="1"/>
    <n v="4"/>
    <n v="4"/>
    <x v="1"/>
    <x v="2"/>
    <d v="2023-08-01T00:00:00"/>
  </r>
  <r>
    <s v="TXN_6270766"/>
    <x v="2"/>
    <n v="1"/>
    <n v="1"/>
    <n v="1"/>
    <x v="2"/>
    <x v="1"/>
    <d v="2023-11-10T00:00:00"/>
  </r>
  <r>
    <s v="TXN_9697154"/>
    <x v="8"/>
    <n v="3"/>
    <n v="1.5"/>
    <n v="4.5"/>
    <x v="0"/>
    <x v="1"/>
    <d v="2023-10-08T00:00:00"/>
  </r>
  <r>
    <s v="TXN_6381860"/>
    <x v="0"/>
    <n v="1"/>
    <n v="2"/>
    <n v="2"/>
    <x v="3"/>
    <x v="1"/>
    <d v="2023-08-21T00:00:00"/>
  </r>
  <r>
    <s v="TXN_6028331"/>
    <x v="1"/>
    <n v="4"/>
    <n v="3"/>
    <n v="12"/>
    <x v="1"/>
    <x v="2"/>
    <d v="2023-10-22T00:00:00"/>
  </r>
  <r>
    <s v="TXN_8830924"/>
    <x v="8"/>
    <n v="2"/>
    <n v="1.5"/>
    <n v="3"/>
    <x v="0"/>
    <x v="2"/>
    <d v="2023-10-25T00:00:00"/>
  </r>
  <r>
    <s v="TXN_3866156"/>
    <x v="0"/>
    <n v="4"/>
    <n v="2"/>
    <n v="8"/>
    <x v="2"/>
    <x v="0"/>
    <d v="2023-02-28T00:00:00"/>
  </r>
  <r>
    <s v="TXN_6872833"/>
    <x v="0"/>
    <n v="1"/>
    <n v="2"/>
    <n v="2"/>
    <x v="2"/>
    <x v="2"/>
    <d v="2023-11-02T00:00:00"/>
  </r>
  <r>
    <s v="TXN_6405210"/>
    <x v="0"/>
    <n v="4"/>
    <n v="2"/>
    <n v="8"/>
    <x v="1"/>
    <x v="2"/>
    <d v="2023-08-11T00:00:00"/>
  </r>
  <r>
    <s v="TXN_4740952"/>
    <x v="8"/>
    <n v="4"/>
    <n v="1.5"/>
    <n v="6"/>
    <x v="2"/>
    <x v="0"/>
    <d v="2023-02-21T00:00:00"/>
  </r>
  <r>
    <s v="TXN_6321174"/>
    <x v="8"/>
    <n v="4"/>
    <n v="1.5"/>
    <n v="6"/>
    <x v="3"/>
    <x v="2"/>
    <d v="2023-12-09T00:00:00"/>
  </r>
  <r>
    <s v="TXN_5613875"/>
    <x v="8"/>
    <n v="5"/>
    <n v="1.5"/>
    <n v="7.5"/>
    <x v="2"/>
    <x v="1"/>
    <m/>
  </r>
  <r>
    <s v="TXN_6052901"/>
    <x v="4"/>
    <n v="5"/>
    <n v="4"/>
    <n v="20"/>
    <x v="0"/>
    <x v="0"/>
    <d v="2023-08-16T00:00:00"/>
  </r>
  <r>
    <s v="TXN_1253619"/>
    <x v="7"/>
    <n v="5"/>
    <n v="3"/>
    <n v="15"/>
    <x v="2"/>
    <x v="2"/>
    <d v="2023-05-25T00:00:00"/>
  </r>
  <r>
    <s v="TXN_5537517"/>
    <x v="4"/>
    <n v="3"/>
    <n v="4"/>
    <n v="12"/>
    <x v="3"/>
    <x v="0"/>
    <d v="2023-10-27T00:00:00"/>
  </r>
  <r>
    <s v="TXN_5496019"/>
    <x v="2"/>
    <n v="5"/>
    <n v="1"/>
    <n v="5"/>
    <x v="1"/>
    <x v="1"/>
    <d v="2023-11-26T00:00:00"/>
  </r>
  <r>
    <s v="TXN_4579666"/>
    <x v="4"/>
    <n v="2"/>
    <n v="4"/>
    <n v="8"/>
    <x v="2"/>
    <x v="2"/>
    <d v="2023-10-23T00:00:00"/>
  </r>
  <r>
    <s v="TXN_6359281"/>
    <x v="0"/>
    <n v="2"/>
    <n v="2"/>
    <n v="4"/>
    <x v="0"/>
    <x v="2"/>
    <d v="2023-09-16T00:00:00"/>
  </r>
  <r>
    <s v="TXN_3620122"/>
    <x v="6"/>
    <n v="1"/>
    <n v="4"/>
    <n v="4"/>
    <x v="1"/>
    <x v="1"/>
    <d v="2023-05-06T00:00:00"/>
  </r>
  <r>
    <s v="TXN_8367716"/>
    <x v="8"/>
    <n v="2"/>
    <n v="1.5"/>
    <n v="3"/>
    <x v="0"/>
    <x v="0"/>
    <d v="2023-02-03T00:00:00"/>
  </r>
  <r>
    <s v="TXN_6779763"/>
    <x v="2"/>
    <n v="1"/>
    <n v="1"/>
    <n v="1"/>
    <x v="0"/>
    <x v="2"/>
    <d v="2023-04-25T00:00:00"/>
  </r>
  <r>
    <s v="TXN_1985142"/>
    <x v="4"/>
    <n v="3"/>
    <n v="4"/>
    <n v="12"/>
    <x v="3"/>
    <x v="2"/>
    <m/>
  </r>
  <r>
    <s v="TXN_8385321"/>
    <x v="4"/>
    <n v="2"/>
    <n v="4"/>
    <n v="8"/>
    <x v="0"/>
    <x v="0"/>
    <d v="2023-02-08T00:00:00"/>
  </r>
  <r>
    <s v="TXN_5345258"/>
    <x v="3"/>
    <n v="2"/>
    <n v="5"/>
    <n v="10"/>
    <x v="0"/>
    <x v="0"/>
    <d v="2023-03-13T00:00:00"/>
  </r>
  <r>
    <s v="TXN_8932759"/>
    <x v="4"/>
    <n v="3"/>
    <n v="4"/>
    <n v="12"/>
    <x v="0"/>
    <x v="0"/>
    <d v="2023-09-01T00:00:00"/>
  </r>
  <r>
    <s v="TXN_6958638"/>
    <x v="8"/>
    <n v="1"/>
    <n v="1.5"/>
    <n v="1.5"/>
    <x v="3"/>
    <x v="0"/>
    <d v="2023-11-27T00:00:00"/>
  </r>
  <r>
    <s v="TXN_3898665"/>
    <x v="6"/>
    <n v="2"/>
    <n v="4"/>
    <n v="8"/>
    <x v="1"/>
    <x v="0"/>
    <d v="2023-03-07T00:00:00"/>
  </r>
  <r>
    <s v="TXN_4996304"/>
    <x v="0"/>
    <n v="2"/>
    <n v="2"/>
    <n v="4"/>
    <x v="0"/>
    <x v="2"/>
    <d v="2023-08-17T00:00:00"/>
  </r>
  <r>
    <s v="TXN_9566593"/>
    <x v="1"/>
    <n v="2"/>
    <n v="3"/>
    <n v="6"/>
    <x v="3"/>
    <x v="2"/>
    <d v="2023-09-30T00:00:00"/>
  </r>
  <r>
    <s v="TXN_4808700"/>
    <x v="2"/>
    <n v="4"/>
    <n v="1"/>
    <n v="4"/>
    <x v="1"/>
    <x v="0"/>
    <d v="2023-01-13T00:00:00"/>
  </r>
  <r>
    <s v="TXN_5776252"/>
    <x v="8"/>
    <n v="4"/>
    <n v="1.5"/>
    <n v="6"/>
    <x v="1"/>
    <x v="0"/>
    <d v="2023-08-11T00:00:00"/>
  </r>
  <r>
    <s v="TXN_5673476"/>
    <x v="4"/>
    <n v="4"/>
    <n v="4"/>
    <n v="16"/>
    <x v="1"/>
    <x v="0"/>
    <d v="2023-02-09T00:00:00"/>
  </r>
  <r>
    <s v="TXN_6363733"/>
    <x v="8"/>
    <n v="1"/>
    <n v="1.5"/>
    <n v="1.5"/>
    <x v="2"/>
    <x v="0"/>
    <d v="2023-10-25T00:00:00"/>
  </r>
  <r>
    <s v="TXN_5297995"/>
    <x v="8"/>
    <n v="5"/>
    <n v="1.5"/>
    <n v="7.5"/>
    <x v="2"/>
    <x v="1"/>
    <d v="2023-07-04T00:00:00"/>
  </r>
  <r>
    <s v="TXN_8049635"/>
    <x v="3"/>
    <n v="3"/>
    <n v="5"/>
    <n v="15"/>
    <x v="1"/>
    <x v="2"/>
    <d v="2023-11-16T00:00:00"/>
  </r>
  <r>
    <s v="TXN_2881529"/>
    <x v="5"/>
    <n v="1"/>
    <n v="3"/>
    <n v="3"/>
    <x v="2"/>
    <x v="1"/>
    <d v="2023-07-04T00:00:00"/>
  </r>
  <r>
    <s v="TXN_3459927"/>
    <x v="2"/>
    <n v="5"/>
    <n v="1"/>
    <n v="5"/>
    <x v="3"/>
    <x v="1"/>
    <d v="2023-07-20T00:00:00"/>
  </r>
  <r>
    <s v="TXN_6478968"/>
    <x v="3"/>
    <n v="2"/>
    <n v="5"/>
    <n v="10"/>
    <x v="2"/>
    <x v="2"/>
    <d v="2023-09-12T00:00:00"/>
  </r>
  <r>
    <s v="TXN_4135861"/>
    <x v="3"/>
    <n v="2"/>
    <n v="5"/>
    <n v="10"/>
    <x v="0"/>
    <x v="2"/>
    <d v="2023-03-16T00:00:00"/>
  </r>
  <r>
    <s v="TXN_2031545"/>
    <x v="7"/>
    <n v="2"/>
    <n v="3"/>
    <n v="6"/>
    <x v="3"/>
    <x v="1"/>
    <d v="2023-05-02T00:00:00"/>
  </r>
  <r>
    <s v="TXN_4676976"/>
    <x v="4"/>
    <n v="3"/>
    <n v="4"/>
    <n v="12"/>
    <x v="3"/>
    <x v="1"/>
    <d v="2023-05-26T00:00:00"/>
  </r>
  <r>
    <s v="TXN_7421018"/>
    <x v="6"/>
    <n v="4"/>
    <n v="4"/>
    <n v="16"/>
    <x v="3"/>
    <x v="2"/>
    <d v="2023-08-26T00:00:00"/>
  </r>
  <r>
    <s v="TXN_8239121"/>
    <x v="4"/>
    <n v="1"/>
    <n v="4"/>
    <n v="4"/>
    <x v="2"/>
    <x v="1"/>
    <d v="2023-05-11T00:00:00"/>
  </r>
  <r>
    <s v="TXN_1435192"/>
    <x v="1"/>
    <n v="2"/>
    <n v="3"/>
    <n v="6"/>
    <x v="2"/>
    <x v="2"/>
    <d v="2023-06-18T00:00:00"/>
  </r>
  <r>
    <s v="TXN_5364052"/>
    <x v="6"/>
    <n v="2"/>
    <n v="4"/>
    <n v="8"/>
    <x v="0"/>
    <x v="2"/>
    <d v="2023-02-05T00:00:00"/>
  </r>
  <r>
    <s v="TXN_8345649"/>
    <x v="2"/>
    <n v="5"/>
    <n v="1"/>
    <n v="5"/>
    <x v="1"/>
    <x v="2"/>
    <d v="2023-08-23T00:00:00"/>
  </r>
  <r>
    <s v="TXN_8560548"/>
    <x v="6"/>
    <n v="1"/>
    <n v="4"/>
    <n v="4"/>
    <x v="0"/>
    <x v="0"/>
    <d v="2023-09-02T00:00:00"/>
  </r>
  <r>
    <s v="TXN_2345332"/>
    <x v="8"/>
    <n v="3"/>
    <n v="1.5"/>
    <n v="4.5"/>
    <x v="2"/>
    <x v="1"/>
    <d v="2023-07-05T00:00:00"/>
  </r>
  <r>
    <s v="TXN_9389434"/>
    <x v="1"/>
    <n v="5"/>
    <n v="3"/>
    <n v="15"/>
    <x v="2"/>
    <x v="1"/>
    <d v="2023-06-16T00:00:00"/>
  </r>
  <r>
    <s v="TXN_1240476"/>
    <x v="7"/>
    <n v="2"/>
    <n v="3"/>
    <n v="6"/>
    <x v="3"/>
    <x v="0"/>
    <d v="2023-04-20T00:00:00"/>
  </r>
  <r>
    <s v="TXN_8345092"/>
    <x v="4"/>
    <n v="1"/>
    <n v="4"/>
    <n v="4"/>
    <x v="0"/>
    <x v="2"/>
    <d v="2023-07-24T00:00:00"/>
  </r>
  <r>
    <s v="TXN_5849947"/>
    <x v="6"/>
    <n v="5"/>
    <n v="4"/>
    <n v="20"/>
    <x v="1"/>
    <x v="2"/>
    <d v="2023-02-02T00:00:00"/>
  </r>
  <r>
    <s v="TXN_8227648"/>
    <x v="5"/>
    <n v="3"/>
    <n v="1.5"/>
    <n v="4.5"/>
    <x v="2"/>
    <x v="0"/>
    <d v="2023-05-31T00:00:00"/>
  </r>
  <r>
    <s v="TXN_7800602"/>
    <x v="8"/>
    <n v="1"/>
    <n v="1.5"/>
    <n v="1.5"/>
    <x v="1"/>
    <x v="2"/>
    <d v="2023-04-30T00:00:00"/>
  </r>
  <r>
    <s v="TXN_5926836"/>
    <x v="1"/>
    <n v="5"/>
    <n v="3"/>
    <n v="15"/>
    <x v="2"/>
    <x v="1"/>
    <d v="2023-08-07T00:00:00"/>
  </r>
  <r>
    <s v="TXN_4397994"/>
    <x v="2"/>
    <n v="5"/>
    <n v="1"/>
    <n v="5"/>
    <x v="2"/>
    <x v="0"/>
    <d v="2023-09-26T00:00:00"/>
  </r>
  <r>
    <s v="TXN_1585827"/>
    <x v="1"/>
    <n v="3"/>
    <n v="3"/>
    <n v="9"/>
    <x v="0"/>
    <x v="1"/>
    <d v="2023-09-30T00:00:00"/>
  </r>
  <r>
    <s v="TXN_3384640"/>
    <x v="3"/>
    <n v="4"/>
    <n v="5"/>
    <n v="20"/>
    <x v="2"/>
    <x v="0"/>
    <d v="2023-10-17T00:00:00"/>
  </r>
  <r>
    <s v="TXN_1990029"/>
    <x v="8"/>
    <n v="4"/>
    <n v="1.5"/>
    <n v="6"/>
    <x v="0"/>
    <x v="1"/>
    <d v="2023-11-18T00:00:00"/>
  </r>
  <r>
    <s v="TXN_5796131"/>
    <x v="4"/>
    <n v="3"/>
    <n v="4"/>
    <n v="12"/>
    <x v="3"/>
    <x v="0"/>
    <d v="2023-09-30T00:00:00"/>
  </r>
  <r>
    <s v="TXN_5166412"/>
    <x v="5"/>
    <n v="4"/>
    <n v="1"/>
    <n v="4"/>
    <x v="2"/>
    <x v="0"/>
    <d v="2023-06-17T00:00:00"/>
  </r>
  <r>
    <s v="TXN_7804740"/>
    <x v="4"/>
    <n v="2"/>
    <n v="4"/>
    <n v="8"/>
    <x v="3"/>
    <x v="2"/>
    <d v="2023-10-19T00:00:00"/>
  </r>
  <r>
    <s v="TXN_9082461"/>
    <x v="1"/>
    <n v="5"/>
    <n v="3"/>
    <n v="15"/>
    <x v="3"/>
    <x v="1"/>
    <d v="2023-05-30T00:00:00"/>
  </r>
  <r>
    <s v="TXN_6665881"/>
    <x v="7"/>
    <n v="2"/>
    <n v="3"/>
    <n v="6"/>
    <x v="0"/>
    <x v="2"/>
    <d v="2023-07-04T00:00:00"/>
  </r>
  <r>
    <s v="TXN_4046039"/>
    <x v="7"/>
    <n v="5"/>
    <n v="3"/>
    <n v="15"/>
    <x v="2"/>
    <x v="1"/>
    <d v="2023-04-20T00:00:00"/>
  </r>
  <r>
    <s v="TXN_8447640"/>
    <x v="6"/>
    <n v="5"/>
    <n v="4"/>
    <n v="20"/>
    <x v="1"/>
    <x v="1"/>
    <d v="2023-06-12T00:00:00"/>
  </r>
  <r>
    <s v="TXN_3042768"/>
    <x v="2"/>
    <n v="3"/>
    <n v="1"/>
    <n v="3"/>
    <x v="3"/>
    <x v="0"/>
    <d v="2023-09-07T00:00:00"/>
  </r>
  <r>
    <s v="TXN_4664329"/>
    <x v="8"/>
    <n v="2"/>
    <n v="1.5"/>
    <n v="3"/>
    <x v="0"/>
    <x v="0"/>
    <d v="2023-01-06T00:00:00"/>
  </r>
  <r>
    <s v="TXN_7442492"/>
    <x v="3"/>
    <n v="5"/>
    <n v="5"/>
    <n v="25"/>
    <x v="0"/>
    <x v="0"/>
    <d v="2023-07-23T00:00:00"/>
  </r>
  <r>
    <s v="TXN_8664335"/>
    <x v="6"/>
    <n v="5"/>
    <n v="4"/>
    <n v="20"/>
    <x v="3"/>
    <x v="0"/>
    <d v="2023-06-12T00:00:00"/>
  </r>
  <r>
    <s v="TXN_7379007"/>
    <x v="1"/>
    <n v="2"/>
    <n v="3"/>
    <n v="6"/>
    <x v="2"/>
    <x v="0"/>
    <m/>
  </r>
  <r>
    <s v="TXN_1434857"/>
    <x v="1"/>
    <n v="5"/>
    <n v="3"/>
    <n v="15"/>
    <x v="2"/>
    <x v="1"/>
    <d v="2023-01-13T00:00:00"/>
  </r>
  <r>
    <s v="TXN_1700374"/>
    <x v="6"/>
    <n v="5"/>
    <n v="4"/>
    <n v="20"/>
    <x v="2"/>
    <x v="1"/>
    <d v="2023-08-11T00:00:00"/>
  </r>
  <r>
    <s v="TXN_8383484"/>
    <x v="5"/>
    <n v="2"/>
    <n v="3"/>
    <n v="6"/>
    <x v="2"/>
    <x v="2"/>
    <d v="2023-12-20T00:00:00"/>
  </r>
  <r>
    <s v="TXN_1261028"/>
    <x v="7"/>
    <n v="3"/>
    <n v="3"/>
    <n v="9"/>
    <x v="2"/>
    <x v="1"/>
    <d v="2023-10-27T00:00:00"/>
  </r>
  <r>
    <s v="TXN_1478016"/>
    <x v="5"/>
    <n v="4"/>
    <n v="1"/>
    <n v="4"/>
    <x v="2"/>
    <x v="1"/>
    <d v="2023-08-04T00:00:00"/>
  </r>
  <r>
    <s v="TXN_5321145"/>
    <x v="6"/>
    <n v="5"/>
    <n v="4"/>
    <n v="20"/>
    <x v="3"/>
    <x v="0"/>
    <d v="2023-08-29T00:00:00"/>
  </r>
  <r>
    <s v="TXN_3884995"/>
    <x v="7"/>
    <n v="5"/>
    <n v="3"/>
    <n v="15"/>
    <x v="1"/>
    <x v="1"/>
    <d v="2023-12-25T00:00:00"/>
  </r>
  <r>
    <s v="TXN_4178488"/>
    <x v="6"/>
    <n v="3"/>
    <n v="4"/>
    <n v="12"/>
    <x v="1"/>
    <x v="1"/>
    <d v="2023-05-08T00:00:00"/>
  </r>
  <r>
    <s v="TXN_4826214"/>
    <x v="5"/>
    <n v="3"/>
    <n v="2"/>
    <n v="6"/>
    <x v="3"/>
    <x v="0"/>
    <d v="2023-11-23T00:00:00"/>
  </r>
  <r>
    <s v="TXN_2579157"/>
    <x v="6"/>
    <n v="1"/>
    <n v="4"/>
    <n v="4"/>
    <x v="2"/>
    <x v="2"/>
    <d v="2023-09-27T00:00:00"/>
  </r>
  <r>
    <s v="TXN_3597806"/>
    <x v="2"/>
    <n v="3"/>
    <n v="1"/>
    <n v="3"/>
    <x v="0"/>
    <x v="2"/>
    <d v="2023-12-11T00:00:00"/>
  </r>
  <r>
    <s v="TXN_7897119"/>
    <x v="7"/>
    <n v="4"/>
    <n v="3"/>
    <n v="12"/>
    <x v="2"/>
    <x v="1"/>
    <d v="2023-05-27T00:00:00"/>
  </r>
  <r>
    <s v="TXN_2245037"/>
    <x v="0"/>
    <n v="2"/>
    <n v="2"/>
    <n v="4"/>
    <x v="2"/>
    <x v="2"/>
    <d v="2023-10-18T00:00:00"/>
  </r>
  <r>
    <s v="TXN_4833378"/>
    <x v="1"/>
    <n v="5"/>
    <n v="3"/>
    <n v="15"/>
    <x v="3"/>
    <x v="2"/>
    <d v="2023-10-15T00:00:00"/>
  </r>
  <r>
    <s v="TXN_7055306"/>
    <x v="3"/>
    <n v="1"/>
    <n v="5"/>
    <n v="5"/>
    <x v="2"/>
    <x v="0"/>
    <d v="2023-03-09T00:00:00"/>
  </r>
  <r>
    <s v="TXN_9135433"/>
    <x v="2"/>
    <n v="4"/>
    <n v="1"/>
    <n v="4"/>
    <x v="2"/>
    <x v="1"/>
    <d v="2023-12-18T00:00:00"/>
  </r>
  <r>
    <s v="TXN_1715684"/>
    <x v="4"/>
    <n v="1"/>
    <n v="4"/>
    <n v="4"/>
    <x v="2"/>
    <x v="1"/>
    <d v="2023-07-13T00:00:00"/>
  </r>
  <r>
    <s v="TXN_9073440"/>
    <x v="6"/>
    <n v="2"/>
    <n v="4"/>
    <n v="8"/>
    <x v="0"/>
    <x v="0"/>
    <d v="2023-08-28T00:00:00"/>
  </r>
  <r>
    <s v="TXN_4089355"/>
    <x v="3"/>
    <n v="2"/>
    <n v="5"/>
    <n v="10"/>
    <x v="0"/>
    <x v="0"/>
    <d v="2023-02-18T00:00:00"/>
  </r>
  <r>
    <s v="TXN_3834078"/>
    <x v="7"/>
    <n v="1"/>
    <n v="3"/>
    <n v="3"/>
    <x v="2"/>
    <x v="1"/>
    <d v="2023-01-29T00:00:00"/>
  </r>
  <r>
    <s v="TXN_5048650"/>
    <x v="4"/>
    <n v="2"/>
    <n v="4"/>
    <n v="8"/>
    <x v="1"/>
    <x v="0"/>
    <d v="2023-11-18T00:00:00"/>
  </r>
  <r>
    <s v="TXN_1882700"/>
    <x v="8"/>
    <n v="3"/>
    <n v="1.5"/>
    <n v="4.5"/>
    <x v="3"/>
    <x v="1"/>
    <d v="2023-04-18T00:00:00"/>
  </r>
  <r>
    <s v="TXN_2112911"/>
    <x v="3"/>
    <n v="3"/>
    <n v="5"/>
    <n v="15"/>
    <x v="3"/>
    <x v="0"/>
    <d v="2023-09-18T00:00:00"/>
  </r>
  <r>
    <s v="TXN_7568316"/>
    <x v="1"/>
    <n v="2"/>
    <n v="3"/>
    <n v="6"/>
    <x v="0"/>
    <x v="2"/>
    <d v="2023-11-28T00:00:00"/>
  </r>
  <r>
    <s v="TXN_3642982"/>
    <x v="0"/>
    <n v="5"/>
    <n v="2"/>
    <n v="10"/>
    <x v="1"/>
    <x v="2"/>
    <d v="2023-10-04T00:00:00"/>
  </r>
  <r>
    <s v="TXN_4475094"/>
    <x v="6"/>
    <n v="3"/>
    <n v="4"/>
    <n v="12"/>
    <x v="2"/>
    <x v="2"/>
    <d v="2023-08-12T00:00:00"/>
  </r>
  <r>
    <s v="TXN_6768812"/>
    <x v="0"/>
    <n v="4"/>
    <n v="2"/>
    <n v="8"/>
    <x v="2"/>
    <x v="2"/>
    <d v="2023-03-30T00:00:00"/>
  </r>
  <r>
    <s v="TXN_1419669"/>
    <x v="1"/>
    <n v="5"/>
    <n v="3"/>
    <n v="15"/>
    <x v="1"/>
    <x v="0"/>
    <d v="2023-03-07T00:00:00"/>
  </r>
  <r>
    <s v="TXN_9810604"/>
    <x v="1"/>
    <n v="2"/>
    <n v="3"/>
    <n v="6"/>
    <x v="2"/>
    <x v="0"/>
    <d v="2023-04-02T00:00:00"/>
  </r>
  <r>
    <s v="TXN_4791243"/>
    <x v="2"/>
    <n v="5"/>
    <n v="1"/>
    <n v="5"/>
    <x v="2"/>
    <x v="0"/>
    <d v="2023-05-12T00:00:00"/>
  </r>
  <r>
    <s v="TXN_5665311"/>
    <x v="5"/>
    <n v="2"/>
    <n v="1"/>
    <n v="2"/>
    <x v="0"/>
    <x v="1"/>
    <d v="2023-05-17T00:00:00"/>
  </r>
  <r>
    <s v="TXN_7920897"/>
    <x v="3"/>
    <n v="2"/>
    <n v="5"/>
    <n v="10"/>
    <x v="2"/>
    <x v="1"/>
    <d v="2023-07-29T00:00:00"/>
  </r>
  <r>
    <s v="TXN_7515272"/>
    <x v="5"/>
    <n v="1"/>
    <n v="3"/>
    <n v="3"/>
    <x v="2"/>
    <x v="2"/>
    <d v="2023-08-12T00:00:00"/>
  </r>
  <r>
    <s v="TXN_5453836"/>
    <x v="4"/>
    <n v="2"/>
    <n v="4"/>
    <n v="8"/>
    <x v="0"/>
    <x v="1"/>
    <d v="2023-05-29T00:00:00"/>
  </r>
  <r>
    <s v="TXN_5578796"/>
    <x v="8"/>
    <n v="4"/>
    <n v="1.5"/>
    <n v="6"/>
    <x v="2"/>
    <x v="1"/>
    <d v="2023-04-27T00:00:00"/>
  </r>
  <r>
    <s v="TXN_8620592"/>
    <x v="4"/>
    <n v="2"/>
    <n v="4"/>
    <n v="8"/>
    <x v="2"/>
    <x v="1"/>
    <d v="2023-07-14T00:00:00"/>
  </r>
  <r>
    <s v="TXN_7402846"/>
    <x v="7"/>
    <n v="2"/>
    <n v="3"/>
    <n v="6"/>
    <x v="0"/>
    <x v="0"/>
    <d v="2023-10-11T00:00:00"/>
  </r>
  <r>
    <s v="TXN_9487214"/>
    <x v="0"/>
    <n v="5"/>
    <n v="2"/>
    <n v="10"/>
    <x v="2"/>
    <x v="2"/>
    <d v="2023-03-25T00:00:00"/>
  </r>
  <r>
    <s v="TXN_2274702"/>
    <x v="2"/>
    <n v="5"/>
    <n v="1"/>
    <n v="5"/>
    <x v="0"/>
    <x v="1"/>
    <d v="2023-12-11T00:00:00"/>
  </r>
  <r>
    <s v="TXN_2701016"/>
    <x v="1"/>
    <n v="5"/>
    <n v="3"/>
    <n v="15"/>
    <x v="3"/>
    <x v="2"/>
    <d v="2023-03-06T00:00:00"/>
  </r>
  <r>
    <s v="TXN_8809853"/>
    <x v="0"/>
    <n v="1"/>
    <n v="2"/>
    <n v="2"/>
    <x v="3"/>
    <x v="0"/>
    <d v="2023-10-29T00:00:00"/>
  </r>
  <r>
    <s v="TXN_7683607"/>
    <x v="1"/>
    <n v="1"/>
    <n v="3"/>
    <n v="3"/>
    <x v="1"/>
    <x v="2"/>
    <d v="2023-03-17T00:00:00"/>
  </r>
  <r>
    <s v="TXN_2402928"/>
    <x v="0"/>
    <n v="4"/>
    <n v="2"/>
    <n v="8"/>
    <x v="1"/>
    <x v="2"/>
    <d v="2023-10-20T00:00:00"/>
  </r>
  <r>
    <s v="TXN_6516391"/>
    <x v="1"/>
    <n v="2"/>
    <n v="3"/>
    <n v="6"/>
    <x v="3"/>
    <x v="2"/>
    <d v="2023-06-16T00:00:00"/>
  </r>
  <r>
    <s v="TXN_9685326"/>
    <x v="4"/>
    <n v="3"/>
    <n v="4"/>
    <n v="12"/>
    <x v="3"/>
    <x v="0"/>
    <d v="2023-04-07T00:00:00"/>
  </r>
  <r>
    <s v="TXN_6181456"/>
    <x v="5"/>
    <n v="1"/>
    <n v="1"/>
    <n v="1"/>
    <x v="2"/>
    <x v="0"/>
    <d v="2023-05-08T00:00:00"/>
  </r>
  <r>
    <s v="TXN_9858627"/>
    <x v="7"/>
    <n v="4"/>
    <n v="3"/>
    <n v="12"/>
    <x v="2"/>
    <x v="2"/>
    <d v="2023-01-22T00:00:00"/>
  </r>
  <r>
    <s v="TXN_9923613"/>
    <x v="6"/>
    <n v="4"/>
    <n v="4"/>
    <n v="16"/>
    <x v="2"/>
    <x v="1"/>
    <d v="2023-11-08T00:00:00"/>
  </r>
  <r>
    <s v="TXN_7656770"/>
    <x v="0"/>
    <n v="1"/>
    <n v="2"/>
    <n v="2"/>
    <x v="0"/>
    <x v="2"/>
    <d v="2023-12-24T00:00:00"/>
  </r>
  <r>
    <s v="TXN_4092551"/>
    <x v="7"/>
    <n v="5"/>
    <n v="3"/>
    <n v="15"/>
    <x v="0"/>
    <x v="0"/>
    <d v="2023-10-11T00:00:00"/>
  </r>
  <r>
    <s v="TXN_9894204"/>
    <x v="5"/>
    <n v="2"/>
    <n v="2"/>
    <n v="4"/>
    <x v="1"/>
    <x v="0"/>
    <d v="2023-08-08T00:00:00"/>
  </r>
  <r>
    <s v="TXN_7241288"/>
    <x v="6"/>
    <n v="5"/>
    <n v="4"/>
    <n v="20"/>
    <x v="1"/>
    <x v="0"/>
    <d v="2023-04-11T00:00:00"/>
  </r>
  <r>
    <s v="TXN_9833195"/>
    <x v="0"/>
    <n v="2"/>
    <n v="2"/>
    <n v="4"/>
    <x v="2"/>
    <x v="0"/>
    <d v="2023-03-03T00:00:00"/>
  </r>
  <r>
    <s v="TXN_9153854"/>
    <x v="6"/>
    <n v="2"/>
    <n v="4"/>
    <n v="8"/>
    <x v="2"/>
    <x v="1"/>
    <d v="2023-04-04T00:00:00"/>
  </r>
  <r>
    <s v="TXN_1436851"/>
    <x v="6"/>
    <n v="5"/>
    <n v="4"/>
    <n v="20"/>
    <x v="1"/>
    <x v="0"/>
    <d v="2023-07-28T00:00:00"/>
  </r>
  <r>
    <s v="TXN_8598575"/>
    <x v="6"/>
    <n v="4"/>
    <n v="4"/>
    <n v="16"/>
    <x v="3"/>
    <x v="2"/>
    <d v="2023-11-14T00:00:00"/>
  </r>
  <r>
    <s v="TXN_1417871"/>
    <x v="3"/>
    <n v="3"/>
    <n v="5"/>
    <n v="15"/>
    <x v="1"/>
    <x v="0"/>
    <d v="2023-03-12T00:00:00"/>
  </r>
  <r>
    <s v="TXN_7844352"/>
    <x v="5"/>
    <n v="2"/>
    <n v="3"/>
    <n v="6"/>
    <x v="0"/>
    <x v="2"/>
    <d v="2023-07-26T00:00:00"/>
  </r>
  <r>
    <s v="TXN_2339781"/>
    <x v="4"/>
    <n v="2"/>
    <n v="4"/>
    <n v="8"/>
    <x v="2"/>
    <x v="1"/>
    <d v="2023-01-02T00:00:00"/>
  </r>
  <r>
    <s v="TXN_6674257"/>
    <x v="6"/>
    <n v="3"/>
    <n v="4"/>
    <n v="12"/>
    <x v="1"/>
    <x v="0"/>
    <d v="2023-07-20T00:00:00"/>
  </r>
  <r>
    <s v="TXN_2649010"/>
    <x v="8"/>
    <n v="4"/>
    <n v="1.5"/>
    <n v="6"/>
    <x v="1"/>
    <x v="0"/>
    <d v="2023-08-01T00:00:00"/>
  </r>
  <r>
    <s v="TXN_1339158"/>
    <x v="3"/>
    <n v="4"/>
    <n v="5"/>
    <n v="20"/>
    <x v="1"/>
    <x v="2"/>
    <m/>
  </r>
  <r>
    <s v="TXN_7948933"/>
    <x v="6"/>
    <n v="3"/>
    <n v="4"/>
    <n v="12"/>
    <x v="1"/>
    <x v="2"/>
    <m/>
  </r>
  <r>
    <s v="TXN_4965631"/>
    <x v="4"/>
    <n v="3"/>
    <n v="4"/>
    <n v="12"/>
    <x v="0"/>
    <x v="2"/>
    <d v="2023-01-27T00:00:00"/>
  </r>
  <r>
    <s v="TXN_9254064"/>
    <x v="0"/>
    <n v="2"/>
    <n v="2"/>
    <n v="4"/>
    <x v="1"/>
    <x v="0"/>
    <d v="2023-12-10T00:00:00"/>
  </r>
  <r>
    <s v="TXN_4554168"/>
    <x v="8"/>
    <n v="4"/>
    <n v="1.5"/>
    <n v="6"/>
    <x v="3"/>
    <x v="1"/>
    <d v="2023-04-08T00:00:00"/>
  </r>
  <r>
    <s v="TXN_6536418"/>
    <x v="3"/>
    <n v="5"/>
    <n v="5"/>
    <n v="25"/>
    <x v="0"/>
    <x v="1"/>
    <d v="2023-02-11T00:00:00"/>
  </r>
  <r>
    <s v="TXN_9024186"/>
    <x v="7"/>
    <n v="2"/>
    <n v="3"/>
    <n v="6"/>
    <x v="1"/>
    <x v="0"/>
    <d v="2023-12-17T00:00:00"/>
  </r>
  <r>
    <s v="TXN_4580084"/>
    <x v="6"/>
    <n v="5"/>
    <n v="4"/>
    <n v="20"/>
    <x v="0"/>
    <x v="0"/>
    <d v="2023-12-17T00:00:00"/>
  </r>
  <r>
    <s v="TXN_3996874"/>
    <x v="8"/>
    <n v="4"/>
    <n v="1.5"/>
    <n v="6"/>
    <x v="3"/>
    <x v="2"/>
    <d v="2023-05-18T00:00:00"/>
  </r>
  <r>
    <s v="TXN_7106595"/>
    <x v="5"/>
    <n v="2"/>
    <n v="1.5"/>
    <n v="3"/>
    <x v="0"/>
    <x v="0"/>
    <d v="2023-06-19T00:00:00"/>
  </r>
  <r>
    <s v="TXN_5439860"/>
    <x v="8"/>
    <n v="1"/>
    <n v="1.5"/>
    <n v="1.5"/>
    <x v="3"/>
    <x v="1"/>
    <d v="2023-04-18T00:00:00"/>
  </r>
  <r>
    <s v="TXN_3216618"/>
    <x v="3"/>
    <n v="4"/>
    <n v="5"/>
    <n v="20"/>
    <x v="0"/>
    <x v="1"/>
    <d v="2023-12-30T00:00:00"/>
  </r>
  <r>
    <s v="TXN_8360779"/>
    <x v="2"/>
    <n v="4"/>
    <n v="1"/>
    <n v="4"/>
    <x v="0"/>
    <x v="1"/>
    <d v="2023-10-25T00:00:00"/>
  </r>
  <r>
    <s v="TXN_3700419"/>
    <x v="2"/>
    <n v="4"/>
    <n v="1"/>
    <n v="4"/>
    <x v="2"/>
    <x v="2"/>
    <d v="2023-01-09T00:00:00"/>
  </r>
  <r>
    <s v="TXN_6369590"/>
    <x v="3"/>
    <n v="5"/>
    <n v="5"/>
    <n v="25"/>
    <x v="3"/>
    <x v="0"/>
    <d v="2023-10-26T00:00:00"/>
  </r>
  <r>
    <s v="TXN_5039782"/>
    <x v="8"/>
    <n v="3"/>
    <n v="1.5"/>
    <n v="4.5"/>
    <x v="0"/>
    <x v="0"/>
    <d v="2023-06-21T00:00:00"/>
  </r>
  <r>
    <s v="TXN_7047860"/>
    <x v="0"/>
    <n v="2"/>
    <n v="2"/>
    <n v="4"/>
    <x v="2"/>
    <x v="0"/>
    <d v="2023-06-18T00:00:00"/>
  </r>
  <r>
    <s v="TXN_2985748"/>
    <x v="0"/>
    <n v="3"/>
    <n v="2"/>
    <n v="6"/>
    <x v="2"/>
    <x v="0"/>
    <d v="2023-12-19T00:00:00"/>
  </r>
  <r>
    <s v="TXN_8616557"/>
    <x v="6"/>
    <n v="5"/>
    <n v="4"/>
    <n v="20"/>
    <x v="2"/>
    <x v="1"/>
    <d v="2023-08-28T00:00:00"/>
  </r>
  <r>
    <s v="TXN_3171673"/>
    <x v="4"/>
    <n v="2"/>
    <n v="4"/>
    <n v="8"/>
    <x v="3"/>
    <x v="0"/>
    <d v="2023-12-07T00:00:00"/>
  </r>
  <r>
    <s v="TXN_4827637"/>
    <x v="4"/>
    <n v="4"/>
    <n v="4"/>
    <n v="16"/>
    <x v="1"/>
    <x v="1"/>
    <d v="2023-04-28T00:00:00"/>
  </r>
  <r>
    <s v="TXN_1170198"/>
    <x v="8"/>
    <n v="4"/>
    <n v="1.5"/>
    <n v="6"/>
    <x v="0"/>
    <x v="1"/>
    <d v="2023-02-09T00:00:00"/>
  </r>
  <r>
    <s v="TXN_8166527"/>
    <x v="3"/>
    <n v="2"/>
    <n v="5"/>
    <n v="10"/>
    <x v="1"/>
    <x v="1"/>
    <d v="2023-05-24T00:00:00"/>
  </r>
  <r>
    <s v="TXN_3097593"/>
    <x v="4"/>
    <n v="2"/>
    <n v="4"/>
    <n v="8"/>
    <x v="0"/>
    <x v="1"/>
    <d v="2023-06-18T00:00:00"/>
  </r>
  <r>
    <s v="TXN_2981117"/>
    <x v="5"/>
    <n v="1"/>
    <n v="3"/>
    <n v="3"/>
    <x v="2"/>
    <x v="1"/>
    <d v="2023-10-02T00:00:00"/>
  </r>
  <r>
    <s v="TXN_3431526"/>
    <x v="2"/>
    <n v="3"/>
    <n v="1"/>
    <n v="3"/>
    <x v="0"/>
    <x v="0"/>
    <d v="2023-12-27T00:00:00"/>
  </r>
  <r>
    <s v="TXN_1817076"/>
    <x v="5"/>
    <n v="3"/>
    <n v="3"/>
    <n v="9"/>
    <x v="1"/>
    <x v="1"/>
    <d v="2023-05-31T00:00:00"/>
  </r>
  <r>
    <s v="TXN_1489218"/>
    <x v="3"/>
    <n v="2"/>
    <n v="5"/>
    <n v="10"/>
    <x v="3"/>
    <x v="2"/>
    <d v="2023-09-13T00:00:00"/>
  </r>
  <r>
    <s v="TXN_1936644"/>
    <x v="7"/>
    <n v="3"/>
    <n v="3"/>
    <n v="9"/>
    <x v="3"/>
    <x v="2"/>
    <d v="2023-01-28T00:00:00"/>
  </r>
  <r>
    <s v="TXN_4293694"/>
    <x v="4"/>
    <n v="5"/>
    <n v="4"/>
    <n v="20"/>
    <x v="1"/>
    <x v="2"/>
    <d v="2023-08-03T00:00:00"/>
  </r>
  <r>
    <s v="TXN_9469529"/>
    <x v="0"/>
    <n v="2"/>
    <n v="2"/>
    <n v="4"/>
    <x v="2"/>
    <x v="2"/>
    <d v="2023-08-09T00:00:00"/>
  </r>
  <r>
    <s v="TXN_2946861"/>
    <x v="5"/>
    <n v="3"/>
    <n v="3"/>
    <n v="9"/>
    <x v="2"/>
    <x v="2"/>
    <d v="2023-03-28T00:00:00"/>
  </r>
  <r>
    <s v="TXN_7919609"/>
    <x v="6"/>
    <n v="3"/>
    <n v="4"/>
    <n v="12"/>
    <x v="2"/>
    <x v="1"/>
    <d v="2023-01-31T00:00:00"/>
  </r>
  <r>
    <s v="TXN_7692019"/>
    <x v="7"/>
    <n v="3"/>
    <n v="3"/>
    <n v="9"/>
    <x v="2"/>
    <x v="1"/>
    <d v="2023-10-14T00:00:00"/>
  </r>
  <r>
    <s v="TXN_7677750"/>
    <x v="8"/>
    <n v="2"/>
    <n v="1.5"/>
    <n v="3"/>
    <x v="1"/>
    <x v="0"/>
    <d v="2023-12-24T00:00:00"/>
  </r>
  <r>
    <s v="TXN_9799633"/>
    <x v="7"/>
    <n v="4"/>
    <n v="3"/>
    <n v="12"/>
    <x v="1"/>
    <x v="1"/>
    <d v="2023-11-07T00:00:00"/>
  </r>
  <r>
    <s v="TXN_4252036"/>
    <x v="6"/>
    <n v="2"/>
    <n v="4"/>
    <n v="8"/>
    <x v="1"/>
    <x v="0"/>
    <d v="2023-01-22T00:00:00"/>
  </r>
  <r>
    <s v="TXN_6637989"/>
    <x v="4"/>
    <n v="1"/>
    <n v="4"/>
    <n v="4"/>
    <x v="1"/>
    <x v="2"/>
    <d v="2023-11-09T00:00:00"/>
  </r>
  <r>
    <s v="TXN_2860514"/>
    <x v="2"/>
    <n v="5"/>
    <n v="1"/>
    <n v="5"/>
    <x v="0"/>
    <x v="2"/>
    <d v="2023-09-01T00:00:00"/>
  </r>
  <r>
    <s v="TXN_4143449"/>
    <x v="4"/>
    <n v="3"/>
    <n v="4"/>
    <n v="12"/>
    <x v="3"/>
    <x v="2"/>
    <d v="2023-08-23T00:00:00"/>
  </r>
  <r>
    <s v="TXN_1499208"/>
    <x v="5"/>
    <n v="1"/>
    <n v="4"/>
    <n v="4"/>
    <x v="1"/>
    <x v="0"/>
    <d v="2023-11-01T00:00:00"/>
  </r>
  <r>
    <s v="TXN_1960599"/>
    <x v="1"/>
    <n v="4"/>
    <n v="3"/>
    <n v="12"/>
    <x v="1"/>
    <x v="2"/>
    <d v="2023-01-06T00:00:00"/>
  </r>
  <r>
    <s v="TXN_1184377"/>
    <x v="7"/>
    <n v="1"/>
    <n v="3"/>
    <n v="3"/>
    <x v="1"/>
    <x v="2"/>
    <d v="2023-10-25T00:00:00"/>
  </r>
  <r>
    <s v="TXN_6995795"/>
    <x v="3"/>
    <n v="4"/>
    <n v="5"/>
    <n v="20"/>
    <x v="2"/>
    <x v="1"/>
    <d v="2023-11-28T00:00:00"/>
  </r>
  <r>
    <s v="TXN_7805508"/>
    <x v="4"/>
    <n v="5"/>
    <n v="4"/>
    <n v="20"/>
    <x v="2"/>
    <x v="1"/>
    <d v="2023-07-10T00:00:00"/>
  </r>
  <r>
    <s v="TXN_6193929"/>
    <x v="7"/>
    <n v="5"/>
    <n v="3"/>
    <n v="15"/>
    <x v="2"/>
    <x v="0"/>
    <d v="2023-06-20T00:00:00"/>
  </r>
  <r>
    <s v="TXN_1942950"/>
    <x v="6"/>
    <n v="4"/>
    <n v="4"/>
    <n v="16"/>
    <x v="2"/>
    <x v="0"/>
    <d v="2023-03-25T00:00:00"/>
  </r>
  <r>
    <s v="TXN_9759221"/>
    <x v="0"/>
    <n v="3"/>
    <n v="2"/>
    <n v="6"/>
    <x v="1"/>
    <x v="0"/>
    <d v="2023-06-23T00:00:00"/>
  </r>
  <r>
    <s v="TXN_1205522"/>
    <x v="1"/>
    <n v="5"/>
    <n v="3"/>
    <n v="15"/>
    <x v="2"/>
    <x v="1"/>
    <d v="2023-12-26T00:00:00"/>
  </r>
  <r>
    <s v="TXN_7792223"/>
    <x v="4"/>
    <n v="3"/>
    <n v="4"/>
    <n v="12"/>
    <x v="0"/>
    <x v="2"/>
    <d v="2023-07-21T00:00:00"/>
  </r>
  <r>
    <s v="TXN_7205370"/>
    <x v="4"/>
    <n v="4"/>
    <n v="4"/>
    <n v="16"/>
    <x v="1"/>
    <x v="2"/>
    <d v="2023-12-07T00:00:00"/>
  </r>
  <r>
    <s v="TXN_9992148"/>
    <x v="8"/>
    <n v="3"/>
    <n v="1.5"/>
    <n v="4.5"/>
    <x v="1"/>
    <x v="0"/>
    <d v="2023-01-14T00:00:00"/>
  </r>
  <r>
    <s v="TXN_6305420"/>
    <x v="2"/>
    <n v="3"/>
    <n v="1"/>
    <n v="3"/>
    <x v="2"/>
    <x v="1"/>
    <d v="2023-06-17T00:00:00"/>
  </r>
  <r>
    <s v="TXN_9982090"/>
    <x v="8"/>
    <n v="5"/>
    <n v="1.5"/>
    <n v="7.5"/>
    <x v="3"/>
    <x v="1"/>
    <d v="2023-06-03T00:00:00"/>
  </r>
  <r>
    <s v="TXN_6507690"/>
    <x v="7"/>
    <n v="1"/>
    <n v="3"/>
    <n v="3"/>
    <x v="3"/>
    <x v="1"/>
    <d v="2023-01-30T00:00:00"/>
  </r>
  <r>
    <s v="TXN_8487057"/>
    <x v="4"/>
    <n v="5"/>
    <n v="4"/>
    <n v="20"/>
    <x v="2"/>
    <x v="0"/>
    <d v="2023-06-01T00:00:00"/>
  </r>
  <r>
    <s v="TXN_6646382"/>
    <x v="8"/>
    <n v="4"/>
    <n v="1.5"/>
    <n v="6"/>
    <x v="2"/>
    <x v="2"/>
    <d v="2023-09-16T00:00:00"/>
  </r>
  <r>
    <s v="TXN_5255092"/>
    <x v="6"/>
    <n v="1"/>
    <n v="4"/>
    <n v="4"/>
    <x v="2"/>
    <x v="0"/>
    <d v="2023-10-08T00:00:00"/>
  </r>
  <r>
    <s v="TXN_8402941"/>
    <x v="1"/>
    <n v="5"/>
    <n v="3"/>
    <n v="15"/>
    <x v="0"/>
    <x v="1"/>
    <d v="2023-11-26T00:00:00"/>
  </r>
  <r>
    <s v="TXN_4265056"/>
    <x v="7"/>
    <n v="1"/>
    <n v="3"/>
    <n v="3"/>
    <x v="1"/>
    <x v="2"/>
    <d v="2023-07-16T00:00:00"/>
  </r>
  <r>
    <s v="TXN_4605871"/>
    <x v="2"/>
    <n v="1"/>
    <n v="1"/>
    <n v="1"/>
    <x v="2"/>
    <x v="2"/>
    <d v="2023-06-20T00:00:00"/>
  </r>
  <r>
    <s v="TXN_7976001"/>
    <x v="7"/>
    <n v="4"/>
    <n v="3"/>
    <n v="12"/>
    <x v="0"/>
    <x v="1"/>
    <d v="2023-06-27T00:00:00"/>
  </r>
  <r>
    <s v="TXN_4969003"/>
    <x v="2"/>
    <n v="1"/>
    <n v="1"/>
    <n v="1"/>
    <x v="3"/>
    <x v="1"/>
    <d v="2023-04-19T00:00:00"/>
  </r>
  <r>
    <s v="TXN_3629728"/>
    <x v="4"/>
    <n v="1"/>
    <n v="4"/>
    <n v="4"/>
    <x v="3"/>
    <x v="0"/>
    <d v="2023-03-11T00:00:00"/>
  </r>
  <r>
    <s v="TXN_7027319"/>
    <x v="4"/>
    <n v="3"/>
    <n v="4"/>
    <n v="12"/>
    <x v="0"/>
    <x v="0"/>
    <d v="2023-02-25T00:00:00"/>
  </r>
  <r>
    <s v="TXN_1907428"/>
    <x v="7"/>
    <n v="4"/>
    <n v="3"/>
    <n v="12"/>
    <x v="0"/>
    <x v="1"/>
    <d v="2023-06-06T00:00:00"/>
  </r>
  <r>
    <s v="TXN_6594753"/>
    <x v="7"/>
    <n v="3"/>
    <n v="3"/>
    <n v="9"/>
    <x v="2"/>
    <x v="2"/>
    <d v="2023-03-16T00:00:00"/>
  </r>
  <r>
    <s v="TXN_8554646"/>
    <x v="0"/>
    <n v="2"/>
    <n v="2"/>
    <n v="4"/>
    <x v="1"/>
    <x v="2"/>
    <d v="2023-01-10T00:00:00"/>
  </r>
  <r>
    <s v="TXN_5860664"/>
    <x v="7"/>
    <n v="5"/>
    <n v="3"/>
    <n v="15"/>
    <x v="3"/>
    <x v="2"/>
    <d v="2023-06-06T00:00:00"/>
  </r>
  <r>
    <s v="TXN_3586768"/>
    <x v="0"/>
    <n v="2"/>
    <n v="2"/>
    <n v="4"/>
    <x v="2"/>
    <x v="1"/>
    <d v="2023-05-23T00:00:00"/>
  </r>
  <r>
    <s v="TXN_5765294"/>
    <x v="2"/>
    <n v="4"/>
    <n v="1"/>
    <n v="4"/>
    <x v="3"/>
    <x v="1"/>
    <d v="2023-11-14T00:00:00"/>
  </r>
  <r>
    <s v="TXN_4966149"/>
    <x v="7"/>
    <n v="2"/>
    <n v="3"/>
    <n v="6"/>
    <x v="1"/>
    <x v="2"/>
    <d v="2023-04-10T00:00:00"/>
  </r>
  <r>
    <s v="TXN_3652726"/>
    <x v="6"/>
    <n v="3"/>
    <n v="4"/>
    <n v="12"/>
    <x v="2"/>
    <x v="1"/>
    <d v="2023-08-03T00:00:00"/>
  </r>
  <r>
    <s v="TXN_2273573"/>
    <x v="2"/>
    <n v="5"/>
    <n v="1"/>
    <n v="5"/>
    <x v="1"/>
    <x v="1"/>
    <d v="2023-11-12T00:00:00"/>
  </r>
  <r>
    <s v="TXN_7924516"/>
    <x v="2"/>
    <n v="1"/>
    <n v="1"/>
    <n v="1"/>
    <x v="0"/>
    <x v="2"/>
    <d v="2023-04-23T00:00:00"/>
  </r>
  <r>
    <s v="TXN_2083132"/>
    <x v="3"/>
    <n v="1"/>
    <n v="5"/>
    <n v="5"/>
    <x v="2"/>
    <x v="2"/>
    <d v="2023-08-31T00:00:00"/>
  </r>
  <r>
    <s v="TXN_8837131"/>
    <x v="5"/>
    <n v="3"/>
    <n v="4"/>
    <n v="12"/>
    <x v="3"/>
    <x v="1"/>
    <d v="2023-12-23T00:00:00"/>
  </r>
  <r>
    <s v="TXN_2659832"/>
    <x v="6"/>
    <n v="3"/>
    <n v="4"/>
    <n v="12"/>
    <x v="0"/>
    <x v="2"/>
    <d v="2023-12-05T00:00:00"/>
  </r>
  <r>
    <s v="TXN_5049646"/>
    <x v="7"/>
    <n v="2"/>
    <n v="3"/>
    <n v="6"/>
    <x v="0"/>
    <x v="1"/>
    <d v="2023-08-30T00:00:00"/>
  </r>
  <r>
    <s v="TXN_9182359"/>
    <x v="3"/>
    <n v="3"/>
    <n v="5"/>
    <n v="15"/>
    <x v="2"/>
    <x v="1"/>
    <m/>
  </r>
  <r>
    <s v="TXN_7401217"/>
    <x v="3"/>
    <n v="4"/>
    <n v="5"/>
    <n v="20"/>
    <x v="2"/>
    <x v="2"/>
    <d v="2023-02-06T00:00:00"/>
  </r>
  <r>
    <s v="TXN_6853142"/>
    <x v="4"/>
    <n v="3"/>
    <n v="4"/>
    <n v="12"/>
    <x v="1"/>
    <x v="2"/>
    <d v="2023-07-21T00:00:00"/>
  </r>
  <r>
    <s v="TXN_4031726"/>
    <x v="1"/>
    <n v="4"/>
    <n v="3"/>
    <n v="12"/>
    <x v="0"/>
    <x v="0"/>
    <d v="2023-11-22T00:00:00"/>
  </r>
  <r>
    <s v="TXN_9512112"/>
    <x v="0"/>
    <n v="4"/>
    <n v="2"/>
    <n v="8"/>
    <x v="1"/>
    <x v="0"/>
    <d v="2023-05-25T00:00:00"/>
  </r>
  <r>
    <s v="TXN_9428611"/>
    <x v="3"/>
    <n v="4"/>
    <n v="5"/>
    <n v="20"/>
    <x v="3"/>
    <x v="2"/>
    <d v="2023-07-13T00:00:00"/>
  </r>
  <r>
    <s v="TXN_1472433"/>
    <x v="5"/>
    <n v="1"/>
    <n v="2"/>
    <n v="2"/>
    <x v="3"/>
    <x v="0"/>
    <d v="2023-04-05T00:00:00"/>
  </r>
  <r>
    <s v="TXN_5235471"/>
    <x v="1"/>
    <n v="5"/>
    <n v="3"/>
    <n v="15"/>
    <x v="2"/>
    <x v="1"/>
    <m/>
  </r>
  <r>
    <s v="TXN_5483635"/>
    <x v="7"/>
    <n v="3"/>
    <n v="3"/>
    <n v="9"/>
    <x v="0"/>
    <x v="1"/>
    <d v="2023-03-23T00:00:00"/>
  </r>
  <r>
    <s v="TXN_1848481"/>
    <x v="2"/>
    <n v="4"/>
    <n v="1"/>
    <n v="4"/>
    <x v="0"/>
    <x v="2"/>
    <m/>
  </r>
  <r>
    <s v="TXN_3478169"/>
    <x v="7"/>
    <n v="2"/>
    <n v="3"/>
    <n v="6"/>
    <x v="1"/>
    <x v="1"/>
    <d v="2023-02-03T00:00:00"/>
  </r>
  <r>
    <s v="TXN_3842766"/>
    <x v="8"/>
    <n v="3"/>
    <n v="1.5"/>
    <n v="4.5"/>
    <x v="0"/>
    <x v="1"/>
    <d v="2023-03-24T00:00:00"/>
  </r>
  <r>
    <s v="TXN_7805115"/>
    <x v="4"/>
    <n v="2"/>
    <n v="4"/>
    <n v="8"/>
    <x v="2"/>
    <x v="2"/>
    <d v="2023-12-18T00:00:00"/>
  </r>
  <r>
    <s v="TXN_7565447"/>
    <x v="3"/>
    <n v="1"/>
    <n v="5"/>
    <n v="5"/>
    <x v="2"/>
    <x v="2"/>
    <d v="2023-02-15T00:00:00"/>
  </r>
  <r>
    <s v="TXN_8225343"/>
    <x v="4"/>
    <n v="1"/>
    <n v="4"/>
    <n v="4"/>
    <x v="1"/>
    <x v="2"/>
    <d v="2023-05-10T00:00:00"/>
  </r>
  <r>
    <s v="TXN_3822036"/>
    <x v="4"/>
    <n v="3"/>
    <n v="4"/>
    <n v="12"/>
    <x v="0"/>
    <x v="0"/>
    <d v="2023-05-07T00:00:00"/>
  </r>
  <r>
    <s v="TXN_3019996"/>
    <x v="6"/>
    <n v="2"/>
    <n v="4"/>
    <n v="8"/>
    <x v="1"/>
    <x v="2"/>
    <d v="2023-06-27T00:00:00"/>
  </r>
  <r>
    <s v="TXN_8397209"/>
    <x v="5"/>
    <n v="3"/>
    <n v="1.5"/>
    <n v="4.5"/>
    <x v="1"/>
    <x v="1"/>
    <d v="2023-10-12T00:00:00"/>
  </r>
  <r>
    <s v="TXN_5634977"/>
    <x v="0"/>
    <n v="5"/>
    <n v="2"/>
    <n v="10"/>
    <x v="2"/>
    <x v="1"/>
    <d v="2023-03-06T00:00:00"/>
  </r>
  <r>
    <s v="TXN_8165784"/>
    <x v="1"/>
    <n v="5"/>
    <n v="3"/>
    <n v="15"/>
    <x v="3"/>
    <x v="2"/>
    <d v="2023-10-15T00:00:00"/>
  </r>
  <r>
    <s v="TXN_3619141"/>
    <x v="2"/>
    <n v="4"/>
    <n v="1"/>
    <n v="4"/>
    <x v="3"/>
    <x v="1"/>
    <d v="2023-09-30T00:00:00"/>
  </r>
  <r>
    <s v="TXN_7160017"/>
    <x v="7"/>
    <n v="1"/>
    <n v="3"/>
    <n v="3"/>
    <x v="1"/>
    <x v="1"/>
    <d v="2023-09-27T00:00:00"/>
  </r>
  <r>
    <s v="TXN_9513509"/>
    <x v="6"/>
    <n v="1"/>
    <n v="4"/>
    <n v="4"/>
    <x v="0"/>
    <x v="2"/>
    <d v="2023-04-27T00:00:00"/>
  </r>
  <r>
    <s v="TXN_5919038"/>
    <x v="2"/>
    <n v="1"/>
    <n v="1"/>
    <n v="1"/>
    <x v="0"/>
    <x v="1"/>
    <d v="2023-12-15T00:00:00"/>
  </r>
  <r>
    <s v="TXN_8384229"/>
    <x v="8"/>
    <n v="4"/>
    <n v="1.5"/>
    <n v="6"/>
    <x v="3"/>
    <x v="2"/>
    <d v="2023-01-08T00:00:00"/>
  </r>
  <r>
    <s v="TXN_9011816"/>
    <x v="1"/>
    <n v="1"/>
    <n v="3"/>
    <n v="3"/>
    <x v="2"/>
    <x v="0"/>
    <d v="2023-04-02T00:00:00"/>
  </r>
  <r>
    <s v="TXN_2916992"/>
    <x v="3"/>
    <n v="2"/>
    <n v="5"/>
    <n v="10"/>
    <x v="1"/>
    <x v="0"/>
    <d v="2023-08-20T00:00:00"/>
  </r>
  <r>
    <s v="TXN_4350788"/>
    <x v="8"/>
    <n v="3"/>
    <n v="1.5"/>
    <n v="4.5"/>
    <x v="2"/>
    <x v="1"/>
    <d v="2023-06-28T00:00:00"/>
  </r>
  <r>
    <s v="TXN_3132488"/>
    <x v="6"/>
    <n v="4"/>
    <n v="4"/>
    <n v="16"/>
    <x v="0"/>
    <x v="0"/>
    <d v="2023-09-12T00:00:00"/>
  </r>
  <r>
    <s v="TXN_9126573"/>
    <x v="3"/>
    <n v="4"/>
    <n v="5"/>
    <n v="20"/>
    <x v="3"/>
    <x v="2"/>
    <d v="2023-06-17T00:00:00"/>
  </r>
  <r>
    <s v="TXN_5347338"/>
    <x v="1"/>
    <n v="4"/>
    <n v="3"/>
    <n v="12"/>
    <x v="3"/>
    <x v="0"/>
    <d v="2023-07-04T00:00:00"/>
  </r>
  <r>
    <s v="TXN_9455737"/>
    <x v="5"/>
    <n v="3"/>
    <n v="5"/>
    <n v="15"/>
    <x v="2"/>
    <x v="2"/>
    <m/>
  </r>
  <r>
    <s v="TXN_2930963"/>
    <x v="5"/>
    <n v="2"/>
    <n v="4"/>
    <n v="8"/>
    <x v="3"/>
    <x v="1"/>
    <d v="2023-02-09T00:00:00"/>
  </r>
  <r>
    <s v="TXN_7997252"/>
    <x v="5"/>
    <n v="3"/>
    <n v="3"/>
    <n v="9"/>
    <x v="0"/>
    <x v="2"/>
    <d v="2023-05-28T00:00:00"/>
  </r>
  <r>
    <s v="TXN_1907740"/>
    <x v="6"/>
    <n v="1"/>
    <n v="4"/>
    <n v="4"/>
    <x v="1"/>
    <x v="2"/>
    <d v="2023-03-17T00:00:00"/>
  </r>
  <r>
    <s v="TXN_3654670"/>
    <x v="7"/>
    <n v="1"/>
    <n v="3"/>
    <n v="3"/>
    <x v="0"/>
    <x v="0"/>
    <d v="2023-06-14T00:00:00"/>
  </r>
  <r>
    <s v="TXN_1432682"/>
    <x v="8"/>
    <n v="1"/>
    <n v="1.5"/>
    <n v="1.5"/>
    <x v="2"/>
    <x v="2"/>
    <d v="2023-07-11T00:00:00"/>
  </r>
  <r>
    <s v="TXN_3938271"/>
    <x v="3"/>
    <n v="3"/>
    <n v="5"/>
    <n v="15"/>
    <x v="2"/>
    <x v="1"/>
    <d v="2023-01-12T00:00:00"/>
  </r>
  <r>
    <s v="TXN_7619641"/>
    <x v="7"/>
    <n v="3"/>
    <n v="3"/>
    <n v="9"/>
    <x v="2"/>
    <x v="1"/>
    <d v="2023-04-02T00:00:00"/>
  </r>
  <r>
    <s v="TXN_1870423"/>
    <x v="3"/>
    <n v="2"/>
    <n v="5"/>
    <n v="10"/>
    <x v="0"/>
    <x v="0"/>
    <d v="2023-04-12T00:00:00"/>
  </r>
  <r>
    <s v="TXN_1006942"/>
    <x v="3"/>
    <n v="1"/>
    <n v="5"/>
    <n v="5"/>
    <x v="0"/>
    <x v="1"/>
    <d v="2023-11-30T00:00:00"/>
  </r>
  <r>
    <s v="TXN_2282319"/>
    <x v="7"/>
    <n v="2"/>
    <n v="3"/>
    <n v="6"/>
    <x v="1"/>
    <x v="1"/>
    <d v="2023-08-14T00:00:00"/>
  </r>
  <r>
    <s v="TXN_6812735"/>
    <x v="8"/>
    <n v="5"/>
    <n v="1.5"/>
    <n v="7.5"/>
    <x v="2"/>
    <x v="2"/>
    <d v="2023-04-21T00:00:00"/>
  </r>
  <r>
    <s v="TXN_6922833"/>
    <x v="8"/>
    <n v="1"/>
    <n v="1.5"/>
    <n v="1.5"/>
    <x v="2"/>
    <x v="0"/>
    <d v="2023-11-17T00:00:00"/>
  </r>
  <r>
    <s v="TXN_1026799"/>
    <x v="1"/>
    <n v="5"/>
    <n v="3"/>
    <n v="15"/>
    <x v="0"/>
    <x v="2"/>
    <m/>
  </r>
  <r>
    <s v="TXN_5783469"/>
    <x v="3"/>
    <n v="3"/>
    <n v="5"/>
    <n v="15"/>
    <x v="2"/>
    <x v="2"/>
    <d v="2023-06-14T00:00:00"/>
  </r>
  <r>
    <s v="TXN_8489120"/>
    <x v="2"/>
    <n v="2"/>
    <n v="1"/>
    <n v="2"/>
    <x v="0"/>
    <x v="2"/>
    <d v="2023-11-07T00:00:00"/>
  </r>
  <r>
    <s v="TXN_6200609"/>
    <x v="3"/>
    <n v="5"/>
    <n v="5"/>
    <n v="25"/>
    <x v="3"/>
    <x v="0"/>
    <d v="2023-04-12T00:00:00"/>
  </r>
  <r>
    <s v="TXN_8194534"/>
    <x v="0"/>
    <n v="2"/>
    <n v="2"/>
    <n v="4"/>
    <x v="1"/>
    <x v="2"/>
    <d v="2023-05-19T00:00:00"/>
  </r>
  <r>
    <s v="TXN_7238674"/>
    <x v="2"/>
    <n v="1"/>
    <n v="1"/>
    <n v="1"/>
    <x v="2"/>
    <x v="2"/>
    <d v="2023-11-03T00:00:00"/>
  </r>
  <r>
    <s v="TXN_6968752"/>
    <x v="8"/>
    <n v="1"/>
    <n v="1.5"/>
    <n v="1.5"/>
    <x v="2"/>
    <x v="2"/>
    <d v="2023-04-07T00:00:00"/>
  </r>
  <r>
    <s v="TXN_2582926"/>
    <x v="4"/>
    <n v="4"/>
    <n v="4"/>
    <n v="16"/>
    <x v="2"/>
    <x v="2"/>
    <m/>
  </r>
  <r>
    <s v="TXN_1346953"/>
    <x v="8"/>
    <n v="3"/>
    <n v="1.5"/>
    <n v="4.5"/>
    <x v="2"/>
    <x v="1"/>
    <d v="2023-09-24T00:00:00"/>
  </r>
  <r>
    <s v="TXN_8742689"/>
    <x v="8"/>
    <n v="5"/>
    <n v="1.5"/>
    <n v="7.5"/>
    <x v="3"/>
    <x v="0"/>
    <d v="2023-01-05T00:00:00"/>
  </r>
  <r>
    <s v="TXN_2144031"/>
    <x v="7"/>
    <n v="1"/>
    <n v="3"/>
    <n v="3"/>
    <x v="2"/>
    <x v="2"/>
    <d v="2023-02-25T00:00:00"/>
  </r>
  <r>
    <s v="TXN_1996466"/>
    <x v="4"/>
    <n v="1"/>
    <n v="4"/>
    <n v="4"/>
    <x v="3"/>
    <x v="2"/>
    <d v="2023-04-24T00:00:00"/>
  </r>
  <r>
    <s v="TXN_1124796"/>
    <x v="5"/>
    <n v="5"/>
    <n v="1.5"/>
    <n v="7.5"/>
    <x v="0"/>
    <x v="2"/>
    <d v="2023-10-28T00:00:00"/>
  </r>
  <r>
    <s v="TXN_7124156"/>
    <x v="3"/>
    <n v="1"/>
    <n v="5"/>
    <n v="5"/>
    <x v="0"/>
    <x v="0"/>
    <d v="2023-07-28T00:00:00"/>
  </r>
  <r>
    <s v="TXN_3150614"/>
    <x v="6"/>
    <n v="1"/>
    <n v="4"/>
    <n v="4"/>
    <x v="1"/>
    <x v="0"/>
    <d v="2023-08-06T00:00:00"/>
  </r>
  <r>
    <s v="TXN_5263693"/>
    <x v="7"/>
    <n v="1"/>
    <n v="3"/>
    <n v="3"/>
    <x v="3"/>
    <x v="0"/>
    <d v="2023-01-20T00:00:00"/>
  </r>
  <r>
    <s v="TXN_1785644"/>
    <x v="5"/>
    <n v="5"/>
    <n v="1.5"/>
    <n v="7.5"/>
    <x v="2"/>
    <x v="2"/>
    <d v="2023-08-13T00:00:00"/>
  </r>
  <r>
    <s v="TXN_1702437"/>
    <x v="4"/>
    <n v="4"/>
    <n v="4"/>
    <n v="16"/>
    <x v="0"/>
    <x v="0"/>
    <d v="2023-06-27T00:00:00"/>
  </r>
  <r>
    <s v="TXN_6500713"/>
    <x v="2"/>
    <n v="3"/>
    <n v="1"/>
    <n v="3"/>
    <x v="2"/>
    <x v="1"/>
    <d v="2023-04-30T00:00:00"/>
  </r>
  <r>
    <s v="TXN_8725721"/>
    <x v="6"/>
    <n v="1"/>
    <n v="4"/>
    <n v="4"/>
    <x v="1"/>
    <x v="2"/>
    <d v="2023-06-04T00:00:00"/>
  </r>
  <r>
    <s v="TXN_8965025"/>
    <x v="3"/>
    <n v="1"/>
    <n v="5"/>
    <n v="5"/>
    <x v="1"/>
    <x v="1"/>
    <d v="2023-04-14T00:00:00"/>
  </r>
  <r>
    <s v="TXN_8491490"/>
    <x v="0"/>
    <n v="2"/>
    <n v="2"/>
    <n v="4"/>
    <x v="2"/>
    <x v="1"/>
    <d v="2023-01-16T00:00:00"/>
  </r>
  <r>
    <s v="TXN_4328869"/>
    <x v="6"/>
    <n v="2"/>
    <n v="4"/>
    <n v="8"/>
    <x v="1"/>
    <x v="2"/>
    <d v="2023-05-02T00:00:00"/>
  </r>
  <r>
    <s v="TXN_3849711"/>
    <x v="4"/>
    <n v="5"/>
    <n v="4"/>
    <n v="20"/>
    <x v="1"/>
    <x v="2"/>
    <d v="2023-08-14T00:00:00"/>
  </r>
  <r>
    <s v="TXN_1334406"/>
    <x v="7"/>
    <n v="1"/>
    <n v="3"/>
    <n v="3"/>
    <x v="3"/>
    <x v="1"/>
    <d v="2023-09-26T00:00:00"/>
  </r>
  <r>
    <s v="TXN_1556708"/>
    <x v="4"/>
    <n v="1"/>
    <n v="4"/>
    <n v="4"/>
    <x v="3"/>
    <x v="0"/>
    <d v="2023-06-11T00:00:00"/>
  </r>
  <r>
    <s v="TXN_8422494"/>
    <x v="3"/>
    <n v="4"/>
    <n v="5"/>
    <n v="20"/>
    <x v="1"/>
    <x v="1"/>
    <d v="2023-06-08T00:00:00"/>
  </r>
  <r>
    <s v="TXN_3427754"/>
    <x v="4"/>
    <n v="2"/>
    <n v="4"/>
    <n v="8"/>
    <x v="3"/>
    <x v="0"/>
    <d v="2023-08-06T00:00:00"/>
  </r>
  <r>
    <s v="TXN_3512545"/>
    <x v="2"/>
    <n v="4"/>
    <n v="1"/>
    <n v="4"/>
    <x v="0"/>
    <x v="1"/>
    <d v="2023-08-08T00:00:00"/>
  </r>
  <r>
    <s v="TXN_7703185"/>
    <x v="1"/>
    <n v="1"/>
    <n v="3"/>
    <n v="3"/>
    <x v="3"/>
    <x v="0"/>
    <d v="2023-12-10T00:00:00"/>
  </r>
  <r>
    <s v="TXN_8455321"/>
    <x v="4"/>
    <n v="3"/>
    <n v="4"/>
    <n v="12"/>
    <x v="2"/>
    <x v="1"/>
    <d v="2023-01-25T00:00:00"/>
  </r>
  <r>
    <s v="TXN_9904505"/>
    <x v="4"/>
    <n v="2"/>
    <n v="4"/>
    <n v="8"/>
    <x v="3"/>
    <x v="2"/>
    <d v="2023-06-07T00:00:00"/>
  </r>
  <r>
    <s v="TXN_5020643"/>
    <x v="8"/>
    <n v="3"/>
    <n v="1.5"/>
    <n v="4.5"/>
    <x v="3"/>
    <x v="1"/>
    <d v="2023-10-19T00:00:00"/>
  </r>
  <r>
    <s v="TXN_8170122"/>
    <x v="2"/>
    <n v="5"/>
    <n v="1"/>
    <n v="5"/>
    <x v="3"/>
    <x v="1"/>
    <d v="2023-03-20T00:00:00"/>
  </r>
  <r>
    <s v="TXN_5067216"/>
    <x v="5"/>
    <n v="4"/>
    <n v="5"/>
    <n v="20"/>
    <x v="2"/>
    <x v="0"/>
    <d v="2023-07-24T00:00:00"/>
  </r>
  <r>
    <s v="TXN_3930540"/>
    <x v="4"/>
    <n v="3"/>
    <n v="4"/>
    <n v="12"/>
    <x v="1"/>
    <x v="2"/>
    <d v="2023-03-24T00:00:00"/>
  </r>
  <r>
    <s v="TXN_4663537"/>
    <x v="0"/>
    <n v="5"/>
    <n v="2"/>
    <n v="10"/>
    <x v="0"/>
    <x v="2"/>
    <d v="2023-10-22T00:00:00"/>
  </r>
  <r>
    <s v="TXN_5392630"/>
    <x v="7"/>
    <n v="5"/>
    <n v="3"/>
    <n v="15"/>
    <x v="1"/>
    <x v="0"/>
    <d v="2023-11-23T00:00:00"/>
  </r>
  <r>
    <s v="TXN_9480851"/>
    <x v="1"/>
    <n v="3"/>
    <n v="3"/>
    <n v="9"/>
    <x v="2"/>
    <x v="1"/>
    <d v="2023-03-21T00:00:00"/>
  </r>
  <r>
    <s v="TXN_5927620"/>
    <x v="4"/>
    <n v="1"/>
    <n v="4"/>
    <n v="4"/>
    <x v="0"/>
    <x v="2"/>
    <d v="2023-05-04T00:00:00"/>
  </r>
  <r>
    <s v="TXN_1561430"/>
    <x v="8"/>
    <n v="2"/>
    <n v="1.5"/>
    <n v="3"/>
    <x v="2"/>
    <x v="0"/>
    <d v="2023-10-13T00:00:00"/>
  </r>
  <r>
    <s v="TXN_1133945"/>
    <x v="4"/>
    <n v="2"/>
    <n v="4"/>
    <n v="8"/>
    <x v="3"/>
    <x v="1"/>
    <d v="2023-10-23T00:00:00"/>
  </r>
  <r>
    <s v="TXN_5467240"/>
    <x v="4"/>
    <n v="5"/>
    <n v="4"/>
    <n v="20"/>
    <x v="3"/>
    <x v="2"/>
    <d v="2023-10-20T00:00:00"/>
  </r>
  <r>
    <s v="TXN_3210288"/>
    <x v="3"/>
    <n v="3"/>
    <n v="5"/>
    <n v="15"/>
    <x v="2"/>
    <x v="0"/>
    <d v="2023-04-30T00:00:00"/>
  </r>
  <r>
    <s v="TXN_1586452"/>
    <x v="3"/>
    <n v="2"/>
    <n v="5"/>
    <n v="10"/>
    <x v="1"/>
    <x v="1"/>
    <d v="2023-02-01T00:00:00"/>
  </r>
  <r>
    <s v="TXN_9814929"/>
    <x v="1"/>
    <n v="3"/>
    <n v="3"/>
    <n v="9"/>
    <x v="3"/>
    <x v="1"/>
    <d v="2023-10-01T00:00:00"/>
  </r>
  <r>
    <s v="TXN_8961480"/>
    <x v="8"/>
    <n v="4"/>
    <n v="1.5"/>
    <n v="6"/>
    <x v="1"/>
    <x v="2"/>
    <d v="2023-02-18T00:00:00"/>
  </r>
  <r>
    <s v="TXN_1826919"/>
    <x v="7"/>
    <n v="4"/>
    <n v="3"/>
    <n v="12"/>
    <x v="0"/>
    <x v="1"/>
    <d v="2023-02-21T00:00:00"/>
  </r>
  <r>
    <s v="TXN_3135048"/>
    <x v="3"/>
    <n v="1"/>
    <n v="5"/>
    <n v="5"/>
    <x v="0"/>
    <x v="0"/>
    <d v="2023-02-03T00:00:00"/>
  </r>
  <r>
    <s v="TXN_3105263"/>
    <x v="5"/>
    <n v="4"/>
    <n v="4"/>
    <n v="16"/>
    <x v="0"/>
    <x v="0"/>
    <d v="2023-11-25T00:00:00"/>
  </r>
  <r>
    <s v="TXN_4504141"/>
    <x v="6"/>
    <n v="5"/>
    <n v="4"/>
    <n v="20"/>
    <x v="0"/>
    <x v="2"/>
    <d v="2023-09-28T00:00:00"/>
  </r>
  <r>
    <s v="TXN_7408461"/>
    <x v="7"/>
    <n v="3"/>
    <n v="3"/>
    <n v="9"/>
    <x v="2"/>
    <x v="1"/>
    <d v="2023-11-05T00:00:00"/>
  </r>
  <r>
    <s v="TXN_8108115"/>
    <x v="0"/>
    <n v="3"/>
    <n v="2"/>
    <n v="6"/>
    <x v="2"/>
    <x v="1"/>
    <d v="2023-08-24T00:00:00"/>
  </r>
  <r>
    <s v="TXN_6655437"/>
    <x v="7"/>
    <n v="1"/>
    <n v="3"/>
    <n v="3"/>
    <x v="2"/>
    <x v="2"/>
    <d v="2023-07-07T00:00:00"/>
  </r>
  <r>
    <s v="TXN_9120328"/>
    <x v="8"/>
    <n v="5"/>
    <n v="1.5"/>
    <n v="7.5"/>
    <x v="0"/>
    <x v="0"/>
    <d v="2023-10-22T00:00:00"/>
  </r>
  <r>
    <s v="TXN_3906862"/>
    <x v="1"/>
    <n v="5"/>
    <n v="3"/>
    <n v="15"/>
    <x v="1"/>
    <x v="2"/>
    <d v="2023-08-14T00:00:00"/>
  </r>
  <r>
    <s v="TXN_8468071"/>
    <x v="2"/>
    <n v="4"/>
    <n v="1"/>
    <n v="4"/>
    <x v="2"/>
    <x v="2"/>
    <d v="2023-08-22T00:00:00"/>
  </r>
  <r>
    <s v="TXN_7543921"/>
    <x v="0"/>
    <n v="3"/>
    <n v="2"/>
    <n v="6"/>
    <x v="1"/>
    <x v="1"/>
    <d v="2023-12-06T00:00:00"/>
  </r>
  <r>
    <s v="TXN_8714536"/>
    <x v="5"/>
    <n v="4"/>
    <n v="4"/>
    <n v="16"/>
    <x v="3"/>
    <x v="0"/>
    <d v="2023-05-06T00:00:00"/>
  </r>
  <r>
    <s v="TXN_3282601"/>
    <x v="5"/>
    <n v="2"/>
    <n v="3"/>
    <n v="6"/>
    <x v="3"/>
    <x v="1"/>
    <d v="2023-02-03T00:00:00"/>
  </r>
  <r>
    <s v="TXN_4569599"/>
    <x v="5"/>
    <n v="2"/>
    <n v="1.5"/>
    <n v="3"/>
    <x v="1"/>
    <x v="2"/>
    <d v="2023-02-07T00:00:00"/>
  </r>
  <r>
    <s v="TXN_2970011"/>
    <x v="0"/>
    <n v="4"/>
    <n v="2"/>
    <n v="8"/>
    <x v="0"/>
    <x v="0"/>
    <d v="2023-06-04T00:00:00"/>
  </r>
  <r>
    <s v="TXN_5556328"/>
    <x v="8"/>
    <n v="5"/>
    <n v="1.5"/>
    <n v="7.5"/>
    <x v="3"/>
    <x v="1"/>
    <d v="2023-12-10T00:00:00"/>
  </r>
  <r>
    <s v="TXN_8786159"/>
    <x v="0"/>
    <n v="3"/>
    <n v="2"/>
    <n v="6"/>
    <x v="1"/>
    <x v="1"/>
    <d v="2023-04-05T00:00:00"/>
  </r>
  <r>
    <s v="TXN_2467699"/>
    <x v="8"/>
    <n v="1"/>
    <n v="1.5"/>
    <n v="1.5"/>
    <x v="1"/>
    <x v="2"/>
    <d v="2023-06-17T00:00:00"/>
  </r>
  <r>
    <s v="TXN_3085628"/>
    <x v="3"/>
    <n v="1"/>
    <n v="5"/>
    <n v="5"/>
    <x v="1"/>
    <x v="2"/>
    <d v="2023-08-26T00:00:00"/>
  </r>
  <r>
    <s v="TXN_7952153"/>
    <x v="4"/>
    <n v="2"/>
    <n v="4"/>
    <n v="8"/>
    <x v="3"/>
    <x v="2"/>
    <d v="2023-07-24T00:00:00"/>
  </r>
  <r>
    <s v="TXN_4439321"/>
    <x v="0"/>
    <n v="3"/>
    <n v="2"/>
    <n v="6"/>
    <x v="1"/>
    <x v="1"/>
    <d v="2023-04-25T00:00:00"/>
  </r>
  <r>
    <s v="TXN_1488127"/>
    <x v="8"/>
    <n v="5"/>
    <n v="1.5"/>
    <n v="7.5"/>
    <x v="2"/>
    <x v="0"/>
    <d v="2023-12-12T00:00:00"/>
  </r>
  <r>
    <s v="TXN_6687734"/>
    <x v="1"/>
    <n v="1"/>
    <n v="3"/>
    <n v="3"/>
    <x v="2"/>
    <x v="1"/>
    <d v="2023-03-14T00:00:00"/>
  </r>
  <r>
    <s v="TXN_7323885"/>
    <x v="6"/>
    <n v="5"/>
    <n v="4"/>
    <n v="20"/>
    <x v="1"/>
    <x v="1"/>
    <d v="2023-09-15T00:00:00"/>
  </r>
  <r>
    <s v="TXN_7894558"/>
    <x v="0"/>
    <n v="2"/>
    <n v="2"/>
    <n v="4"/>
    <x v="2"/>
    <x v="2"/>
    <d v="2023-01-04T00:00:00"/>
  </r>
  <r>
    <s v="TXN_4019040"/>
    <x v="8"/>
    <n v="1"/>
    <n v="1.5"/>
    <n v="1.5"/>
    <x v="1"/>
    <x v="1"/>
    <d v="2023-02-01T00:00:00"/>
  </r>
  <r>
    <s v="TXN_1570573"/>
    <x v="6"/>
    <n v="3"/>
    <n v="4"/>
    <n v="12"/>
    <x v="3"/>
    <x v="0"/>
    <d v="2023-04-09T00:00:00"/>
  </r>
  <r>
    <s v="TXN_5991995"/>
    <x v="1"/>
    <n v="1"/>
    <n v="3"/>
    <n v="3"/>
    <x v="3"/>
    <x v="1"/>
    <d v="2023-01-08T00:00:00"/>
  </r>
  <r>
    <s v="TXN_2437586"/>
    <x v="6"/>
    <n v="4"/>
    <n v="4"/>
    <n v="16"/>
    <x v="1"/>
    <x v="2"/>
    <d v="2023-08-29T00:00:00"/>
  </r>
  <r>
    <s v="TXN_7326827"/>
    <x v="4"/>
    <n v="1"/>
    <n v="4"/>
    <n v="4"/>
    <x v="2"/>
    <x v="1"/>
    <d v="2023-06-30T00:00:00"/>
  </r>
  <r>
    <s v="TXN_6004431"/>
    <x v="6"/>
    <n v="2"/>
    <n v="4"/>
    <n v="8"/>
    <x v="1"/>
    <x v="0"/>
    <d v="2023-04-07T00:00:00"/>
  </r>
  <r>
    <s v="TXN_7475500"/>
    <x v="2"/>
    <n v="2"/>
    <n v="1"/>
    <n v="2"/>
    <x v="1"/>
    <x v="2"/>
    <d v="2023-11-22T00:00:00"/>
  </r>
  <r>
    <s v="TXN_8122317"/>
    <x v="0"/>
    <n v="3"/>
    <n v="2"/>
    <n v="6"/>
    <x v="1"/>
    <x v="0"/>
    <d v="2023-10-16T00:00:00"/>
  </r>
  <r>
    <s v="TXN_2028930"/>
    <x v="2"/>
    <n v="2"/>
    <n v="1"/>
    <n v="2"/>
    <x v="3"/>
    <x v="2"/>
    <d v="2023-11-25T00:00:00"/>
  </r>
  <r>
    <s v="TXN_3394874"/>
    <x v="0"/>
    <n v="4"/>
    <n v="2"/>
    <n v="8"/>
    <x v="0"/>
    <x v="0"/>
    <d v="2023-06-18T00:00:00"/>
  </r>
  <r>
    <s v="TXN_5804346"/>
    <x v="8"/>
    <n v="1"/>
    <n v="1.5"/>
    <n v="1.5"/>
    <x v="0"/>
    <x v="2"/>
    <d v="2023-07-05T00:00:00"/>
  </r>
  <r>
    <s v="TXN_5926025"/>
    <x v="5"/>
    <n v="2"/>
    <n v="4"/>
    <n v="8"/>
    <x v="3"/>
    <x v="2"/>
    <d v="2023-07-29T00:00:00"/>
  </r>
  <r>
    <s v="TXN_2220389"/>
    <x v="3"/>
    <n v="4"/>
    <n v="5"/>
    <n v="20"/>
    <x v="0"/>
    <x v="2"/>
    <d v="2023-07-26T00:00:00"/>
  </r>
  <r>
    <s v="TXN_9603773"/>
    <x v="2"/>
    <n v="2"/>
    <n v="1"/>
    <n v="2"/>
    <x v="0"/>
    <x v="2"/>
    <d v="2023-10-10T00:00:00"/>
  </r>
  <r>
    <s v="TXN_1285279"/>
    <x v="0"/>
    <n v="2"/>
    <n v="2"/>
    <n v="4"/>
    <x v="1"/>
    <x v="0"/>
    <d v="2023-04-09T00:00:00"/>
  </r>
  <r>
    <s v="TXN_5244558"/>
    <x v="4"/>
    <n v="4"/>
    <n v="4"/>
    <n v="16"/>
    <x v="3"/>
    <x v="2"/>
    <d v="2023-06-06T00:00:00"/>
  </r>
  <r>
    <s v="TXN_1702434"/>
    <x v="4"/>
    <n v="3"/>
    <n v="4"/>
    <n v="12"/>
    <x v="3"/>
    <x v="2"/>
    <d v="2023-07-22T00:00:00"/>
  </r>
  <r>
    <s v="TXN_2425755"/>
    <x v="4"/>
    <n v="1"/>
    <n v="4"/>
    <n v="4"/>
    <x v="2"/>
    <x v="0"/>
    <d v="2023-09-14T00:00:00"/>
  </r>
  <r>
    <s v="TXN_5350200"/>
    <x v="5"/>
    <n v="1"/>
    <n v="4"/>
    <n v="4"/>
    <x v="1"/>
    <x v="1"/>
    <d v="2023-12-02T00:00:00"/>
  </r>
  <r>
    <s v="TXN_7151817"/>
    <x v="6"/>
    <n v="1"/>
    <n v="4"/>
    <n v="4"/>
    <x v="1"/>
    <x v="1"/>
    <d v="2023-05-18T00:00:00"/>
  </r>
  <r>
    <s v="TXN_7514589"/>
    <x v="7"/>
    <n v="3"/>
    <n v="3"/>
    <n v="9"/>
    <x v="1"/>
    <x v="0"/>
    <d v="2023-07-25T00:00:00"/>
  </r>
  <r>
    <s v="TXN_5962237"/>
    <x v="7"/>
    <n v="1"/>
    <n v="3"/>
    <n v="3"/>
    <x v="2"/>
    <x v="0"/>
    <d v="2023-10-31T00:00:00"/>
  </r>
  <r>
    <s v="TXN_9059245"/>
    <x v="5"/>
    <n v="1"/>
    <n v="4"/>
    <n v="4"/>
    <x v="1"/>
    <x v="2"/>
    <d v="2023-07-11T00:00:00"/>
  </r>
  <r>
    <s v="TXN_2188356"/>
    <x v="8"/>
    <n v="1"/>
    <n v="1.5"/>
    <n v="1.5"/>
    <x v="2"/>
    <x v="1"/>
    <d v="2023-07-14T00:00:00"/>
  </r>
  <r>
    <s v="TXN_8019335"/>
    <x v="4"/>
    <n v="3"/>
    <n v="4"/>
    <n v="12"/>
    <x v="3"/>
    <x v="0"/>
    <d v="2023-11-26T00:00:00"/>
  </r>
  <r>
    <s v="TXN_5921650"/>
    <x v="3"/>
    <n v="4"/>
    <n v="5"/>
    <n v="20"/>
    <x v="2"/>
    <x v="1"/>
    <d v="2023-10-13T00:00:00"/>
  </r>
  <r>
    <s v="TXN_5248011"/>
    <x v="1"/>
    <n v="2"/>
    <n v="3"/>
    <n v="6"/>
    <x v="2"/>
    <x v="1"/>
    <d v="2023-01-21T00:00:00"/>
  </r>
  <r>
    <s v="TXN_7332957"/>
    <x v="6"/>
    <n v="5"/>
    <n v="4"/>
    <n v="20"/>
    <x v="3"/>
    <x v="2"/>
    <d v="2023-07-26T00:00:00"/>
  </r>
  <r>
    <s v="TXN_1278539"/>
    <x v="8"/>
    <n v="1"/>
    <n v="1.5"/>
    <n v="1.5"/>
    <x v="0"/>
    <x v="0"/>
    <d v="2023-04-04T00:00:00"/>
  </r>
  <r>
    <s v="TXN_1186221"/>
    <x v="3"/>
    <n v="4"/>
    <n v="5"/>
    <n v="20"/>
    <x v="1"/>
    <x v="0"/>
    <d v="2023-04-21T00:00:00"/>
  </r>
  <r>
    <s v="TXN_3086676"/>
    <x v="1"/>
    <n v="2"/>
    <n v="3"/>
    <n v="6"/>
    <x v="1"/>
    <x v="2"/>
    <d v="2023-07-21T00:00:00"/>
  </r>
  <r>
    <s v="TXN_9696138"/>
    <x v="7"/>
    <n v="3"/>
    <n v="3"/>
    <n v="9"/>
    <x v="2"/>
    <x v="2"/>
    <d v="2023-12-01T00:00:00"/>
  </r>
  <r>
    <s v="TXN_1846455"/>
    <x v="6"/>
    <n v="4"/>
    <n v="4"/>
    <n v="16"/>
    <x v="2"/>
    <x v="2"/>
    <d v="2023-03-16T00:00:00"/>
  </r>
  <r>
    <s v="TXN_1548245"/>
    <x v="5"/>
    <n v="4"/>
    <n v="4"/>
    <n v="16"/>
    <x v="0"/>
    <x v="2"/>
    <d v="2023-03-15T00:00:00"/>
  </r>
  <r>
    <s v="TXN_1839407"/>
    <x v="2"/>
    <n v="3"/>
    <n v="1"/>
    <n v="3"/>
    <x v="1"/>
    <x v="2"/>
    <d v="2023-03-15T00:00:00"/>
  </r>
  <r>
    <s v="TXN_9028798"/>
    <x v="1"/>
    <n v="2"/>
    <n v="3"/>
    <n v="6"/>
    <x v="1"/>
    <x v="1"/>
    <d v="2023-05-25T00:00:00"/>
  </r>
  <r>
    <s v="TXN_4672332"/>
    <x v="1"/>
    <n v="4"/>
    <n v="3"/>
    <n v="12"/>
    <x v="1"/>
    <x v="1"/>
    <d v="2023-03-29T00:00:00"/>
  </r>
  <r>
    <s v="TXN_2726078"/>
    <x v="0"/>
    <n v="3"/>
    <n v="2"/>
    <n v="6"/>
    <x v="3"/>
    <x v="2"/>
    <d v="2023-11-27T00:00:00"/>
  </r>
  <r>
    <s v="TXN_5249091"/>
    <x v="4"/>
    <n v="5"/>
    <n v="4"/>
    <n v="20"/>
    <x v="0"/>
    <x v="1"/>
    <d v="2023-08-15T00:00:00"/>
  </r>
  <r>
    <s v="TXN_9507397"/>
    <x v="2"/>
    <n v="3"/>
    <n v="1"/>
    <n v="3"/>
    <x v="0"/>
    <x v="0"/>
    <d v="2023-10-26T00:00:00"/>
  </r>
  <r>
    <s v="TXN_6948649"/>
    <x v="5"/>
    <n v="5"/>
    <n v="1.5"/>
    <n v="7.5"/>
    <x v="1"/>
    <x v="1"/>
    <d v="2023-11-27T00:00:00"/>
  </r>
  <r>
    <s v="TXN_3300171"/>
    <x v="2"/>
    <n v="5"/>
    <n v="1"/>
    <n v="5"/>
    <x v="0"/>
    <x v="1"/>
    <d v="2023-02-14T00:00:00"/>
  </r>
  <r>
    <s v="TXN_2773085"/>
    <x v="0"/>
    <n v="1"/>
    <n v="2"/>
    <n v="2"/>
    <x v="2"/>
    <x v="2"/>
    <d v="2023-10-16T00:00:00"/>
  </r>
  <r>
    <s v="TXN_4697112"/>
    <x v="6"/>
    <n v="3"/>
    <n v="4"/>
    <n v="12"/>
    <x v="0"/>
    <x v="2"/>
    <d v="2023-04-08T00:00:00"/>
  </r>
  <r>
    <s v="TXN_7897423"/>
    <x v="5"/>
    <n v="4"/>
    <n v="5"/>
    <n v="20"/>
    <x v="2"/>
    <x v="2"/>
    <d v="2023-05-24T00:00:00"/>
  </r>
  <r>
    <s v="TXN_6373380"/>
    <x v="0"/>
    <n v="4"/>
    <n v="2"/>
    <n v="8"/>
    <x v="1"/>
    <x v="1"/>
    <d v="2023-07-21T00:00:00"/>
  </r>
  <r>
    <s v="TXN_8668590"/>
    <x v="2"/>
    <n v="4"/>
    <n v="1"/>
    <n v="4"/>
    <x v="3"/>
    <x v="2"/>
    <d v="2023-04-18T00:00:00"/>
  </r>
  <r>
    <s v="TXN_9121676"/>
    <x v="4"/>
    <n v="4"/>
    <n v="4"/>
    <n v="16"/>
    <x v="2"/>
    <x v="2"/>
    <d v="2023-12-25T00:00:00"/>
  </r>
  <r>
    <s v="TXN_4956012"/>
    <x v="6"/>
    <n v="1"/>
    <n v="4"/>
    <n v="4"/>
    <x v="2"/>
    <x v="1"/>
    <d v="2023-07-20T00:00:00"/>
  </r>
  <r>
    <s v="TXN_4341126"/>
    <x v="1"/>
    <n v="2"/>
    <n v="3"/>
    <n v="6"/>
    <x v="1"/>
    <x v="2"/>
    <d v="2023-07-01T00:00:00"/>
  </r>
  <r>
    <s v="TXN_9792412"/>
    <x v="8"/>
    <n v="4"/>
    <n v="1.5"/>
    <n v="6"/>
    <x v="3"/>
    <x v="0"/>
    <d v="2023-06-15T00:00:00"/>
  </r>
  <r>
    <s v="TXN_2103018"/>
    <x v="1"/>
    <n v="5"/>
    <n v="3"/>
    <n v="15"/>
    <x v="0"/>
    <x v="1"/>
    <d v="2023-11-24T00:00:00"/>
  </r>
  <r>
    <s v="TXN_9843421"/>
    <x v="5"/>
    <n v="3"/>
    <n v="3"/>
    <n v="9"/>
    <x v="2"/>
    <x v="1"/>
    <d v="2023-09-06T00:00:00"/>
  </r>
  <r>
    <s v="TXN_2227781"/>
    <x v="1"/>
    <n v="1"/>
    <n v="3"/>
    <n v="3"/>
    <x v="1"/>
    <x v="0"/>
    <d v="2023-01-21T00:00:00"/>
  </r>
  <r>
    <s v="TXN_6159539"/>
    <x v="7"/>
    <n v="1"/>
    <n v="3"/>
    <n v="3"/>
    <x v="3"/>
    <x v="2"/>
    <d v="2023-01-12T00:00:00"/>
  </r>
  <r>
    <s v="TXN_8014766"/>
    <x v="5"/>
    <n v="1"/>
    <n v="4"/>
    <n v="4"/>
    <x v="2"/>
    <x v="2"/>
    <d v="2023-10-05T00:00:00"/>
  </r>
  <r>
    <s v="TXN_5234152"/>
    <x v="2"/>
    <n v="5"/>
    <n v="1"/>
    <n v="5"/>
    <x v="3"/>
    <x v="0"/>
    <d v="2023-03-26T00:00:00"/>
  </r>
  <r>
    <s v="TXN_9468033"/>
    <x v="7"/>
    <n v="1"/>
    <n v="3"/>
    <n v="3"/>
    <x v="0"/>
    <x v="2"/>
    <d v="2023-12-13T00:00:00"/>
  </r>
  <r>
    <s v="TXN_3132304"/>
    <x v="6"/>
    <n v="1"/>
    <n v="4"/>
    <n v="4"/>
    <x v="0"/>
    <x v="2"/>
    <d v="2023-01-21T00:00:00"/>
  </r>
  <r>
    <s v="TXN_6262910"/>
    <x v="1"/>
    <n v="4"/>
    <n v="3"/>
    <n v="12"/>
    <x v="1"/>
    <x v="0"/>
    <d v="2023-07-02T00:00:00"/>
  </r>
  <r>
    <s v="TXN_7543841"/>
    <x v="2"/>
    <n v="3"/>
    <n v="1"/>
    <n v="3"/>
    <x v="1"/>
    <x v="1"/>
    <d v="2023-11-07T00:00:00"/>
  </r>
  <r>
    <s v="TXN_7901672"/>
    <x v="2"/>
    <n v="1"/>
    <n v="1"/>
    <n v="1"/>
    <x v="2"/>
    <x v="2"/>
    <d v="2023-06-24T00:00:00"/>
  </r>
  <r>
    <s v="TXN_1058957"/>
    <x v="7"/>
    <n v="2"/>
    <n v="3"/>
    <n v="6"/>
    <x v="1"/>
    <x v="1"/>
    <d v="2023-03-21T00:00:00"/>
  </r>
  <r>
    <s v="TXN_7635738"/>
    <x v="0"/>
    <n v="4"/>
    <n v="2"/>
    <n v="8"/>
    <x v="1"/>
    <x v="0"/>
    <d v="2023-08-08T00:00:00"/>
  </r>
  <r>
    <s v="TXN_2728444"/>
    <x v="3"/>
    <n v="1"/>
    <n v="5"/>
    <n v="5"/>
    <x v="3"/>
    <x v="0"/>
    <d v="2023-01-23T00:00:00"/>
  </r>
  <r>
    <s v="TXN_9073184"/>
    <x v="1"/>
    <n v="2"/>
    <n v="3"/>
    <n v="6"/>
    <x v="2"/>
    <x v="2"/>
    <d v="2023-04-14T00:00:00"/>
  </r>
  <r>
    <s v="TXN_2044945"/>
    <x v="5"/>
    <n v="2"/>
    <n v="1.5"/>
    <n v="3"/>
    <x v="1"/>
    <x v="2"/>
    <d v="2023-10-18T00:00:00"/>
  </r>
  <r>
    <s v="TXN_5665341"/>
    <x v="8"/>
    <n v="5"/>
    <n v="1.5"/>
    <n v="7.5"/>
    <x v="1"/>
    <x v="2"/>
    <d v="2023-02-27T00:00:00"/>
  </r>
  <r>
    <s v="TXN_1509627"/>
    <x v="7"/>
    <n v="4"/>
    <n v="3"/>
    <n v="12"/>
    <x v="3"/>
    <x v="2"/>
    <d v="2023-03-23T00:00:00"/>
  </r>
  <r>
    <s v="TXN_7813066"/>
    <x v="7"/>
    <n v="1"/>
    <n v="3"/>
    <n v="3"/>
    <x v="2"/>
    <x v="2"/>
    <d v="2023-02-28T00:00:00"/>
  </r>
  <r>
    <s v="TXN_5518591"/>
    <x v="2"/>
    <n v="4"/>
    <n v="1"/>
    <n v="4"/>
    <x v="3"/>
    <x v="2"/>
    <d v="2023-09-21T00:00:00"/>
  </r>
  <r>
    <s v="TXN_6540415"/>
    <x v="1"/>
    <n v="5"/>
    <n v="3"/>
    <n v="15"/>
    <x v="2"/>
    <x v="2"/>
    <d v="2023-05-27T00:00:00"/>
  </r>
  <r>
    <s v="TXN_2991726"/>
    <x v="7"/>
    <n v="5"/>
    <n v="3"/>
    <n v="15"/>
    <x v="2"/>
    <x v="1"/>
    <d v="2023-09-01T00:00:00"/>
  </r>
  <r>
    <s v="TXN_7939659"/>
    <x v="1"/>
    <n v="3"/>
    <n v="3"/>
    <n v="9"/>
    <x v="3"/>
    <x v="0"/>
    <d v="2023-07-26T00:00:00"/>
  </r>
  <r>
    <s v="TXN_7531403"/>
    <x v="4"/>
    <n v="2"/>
    <n v="4"/>
    <n v="8"/>
    <x v="1"/>
    <x v="1"/>
    <d v="2023-07-08T00:00:00"/>
  </r>
  <r>
    <s v="TXN_3767196"/>
    <x v="3"/>
    <n v="4"/>
    <n v="5"/>
    <n v="20"/>
    <x v="1"/>
    <x v="2"/>
    <d v="2023-08-30T00:00:00"/>
  </r>
  <r>
    <s v="TXN_3562332"/>
    <x v="3"/>
    <n v="5"/>
    <n v="5"/>
    <n v="25"/>
    <x v="2"/>
    <x v="2"/>
    <d v="2023-06-20T00:00:00"/>
  </r>
  <r>
    <s v="TXN_7302788"/>
    <x v="0"/>
    <n v="1"/>
    <n v="2"/>
    <n v="2"/>
    <x v="1"/>
    <x v="1"/>
    <d v="2023-09-18T00:00:00"/>
  </r>
  <r>
    <s v="TXN_9233948"/>
    <x v="2"/>
    <n v="4"/>
    <n v="1"/>
    <n v="4"/>
    <x v="1"/>
    <x v="2"/>
    <d v="2023-03-26T00:00:00"/>
  </r>
  <r>
    <s v="TXN_1510673"/>
    <x v="7"/>
    <n v="3"/>
    <n v="3"/>
    <n v="9"/>
    <x v="2"/>
    <x v="2"/>
    <d v="2023-02-26T00:00:00"/>
  </r>
  <r>
    <s v="TXN_9867586"/>
    <x v="4"/>
    <n v="4"/>
    <n v="4"/>
    <n v="16"/>
    <x v="2"/>
    <x v="1"/>
    <d v="2023-06-02T00:00:00"/>
  </r>
  <r>
    <s v="TXN_1750875"/>
    <x v="7"/>
    <n v="3"/>
    <n v="3"/>
    <n v="9"/>
    <x v="2"/>
    <x v="2"/>
    <d v="2023-12-13T00:00:00"/>
  </r>
  <r>
    <s v="TXN_6397944"/>
    <x v="3"/>
    <n v="5"/>
    <n v="5"/>
    <n v="25"/>
    <x v="2"/>
    <x v="2"/>
    <d v="2023-10-31T00:00:00"/>
  </r>
  <r>
    <s v="TXN_5216430"/>
    <x v="2"/>
    <n v="3"/>
    <n v="1"/>
    <n v="3"/>
    <x v="2"/>
    <x v="2"/>
    <d v="2023-02-05T00:00:00"/>
  </r>
  <r>
    <s v="TXN_2723755"/>
    <x v="7"/>
    <n v="3"/>
    <n v="3"/>
    <n v="9"/>
    <x v="1"/>
    <x v="2"/>
    <d v="2023-06-30T00:00:00"/>
  </r>
  <r>
    <s v="TXN_2313646"/>
    <x v="6"/>
    <n v="3"/>
    <n v="4"/>
    <n v="12"/>
    <x v="2"/>
    <x v="1"/>
    <d v="2023-08-24T00:00:00"/>
  </r>
  <r>
    <s v="TXN_6327139"/>
    <x v="5"/>
    <n v="4"/>
    <n v="4"/>
    <n v="16"/>
    <x v="2"/>
    <x v="0"/>
    <m/>
  </r>
  <r>
    <s v="TXN_4028494"/>
    <x v="1"/>
    <n v="3"/>
    <n v="3"/>
    <n v="9"/>
    <x v="3"/>
    <x v="1"/>
    <d v="2023-10-22T00:00:00"/>
  </r>
  <r>
    <s v="TXN_1412415"/>
    <x v="7"/>
    <n v="3"/>
    <n v="3"/>
    <n v="9"/>
    <x v="1"/>
    <x v="1"/>
    <d v="2023-02-24T00:00:00"/>
  </r>
  <r>
    <s v="TXN_7398884"/>
    <x v="5"/>
    <n v="3"/>
    <n v="4"/>
    <n v="12"/>
    <x v="2"/>
    <x v="0"/>
    <d v="2023-12-24T00:00:00"/>
  </r>
  <r>
    <s v="TXN_6546131"/>
    <x v="0"/>
    <n v="4"/>
    <n v="2"/>
    <n v="8"/>
    <x v="0"/>
    <x v="1"/>
    <d v="2023-06-26T00:00:00"/>
  </r>
  <r>
    <s v="TXN_9030656"/>
    <x v="7"/>
    <n v="5"/>
    <n v="3"/>
    <n v="15"/>
    <x v="3"/>
    <x v="0"/>
    <d v="2023-12-12T00:00:00"/>
  </r>
  <r>
    <s v="TXN_1950777"/>
    <x v="3"/>
    <n v="5"/>
    <n v="5"/>
    <n v="25"/>
    <x v="1"/>
    <x v="0"/>
    <d v="2023-08-26T00:00:00"/>
  </r>
  <r>
    <s v="TXN_4605239"/>
    <x v="0"/>
    <n v="1"/>
    <n v="2"/>
    <n v="2"/>
    <x v="0"/>
    <x v="2"/>
    <d v="2023-08-06T00:00:00"/>
  </r>
  <r>
    <s v="TXN_8019396"/>
    <x v="6"/>
    <n v="3"/>
    <n v="4"/>
    <n v="12"/>
    <x v="2"/>
    <x v="2"/>
    <d v="2023-10-20T00:00:00"/>
  </r>
  <r>
    <s v="TXN_3716685"/>
    <x v="5"/>
    <n v="5"/>
    <n v="4"/>
    <n v="20"/>
    <x v="3"/>
    <x v="0"/>
    <m/>
  </r>
  <r>
    <s v="TXN_1580822"/>
    <x v="7"/>
    <n v="5"/>
    <n v="3"/>
    <n v="15"/>
    <x v="0"/>
    <x v="2"/>
    <m/>
  </r>
  <r>
    <s v="TXN_5060289"/>
    <x v="8"/>
    <n v="5"/>
    <n v="1.5"/>
    <n v="7.5"/>
    <x v="0"/>
    <x v="2"/>
    <m/>
  </r>
  <r>
    <s v="TXN_7874772"/>
    <x v="8"/>
    <n v="1"/>
    <n v="1.5"/>
    <n v="1.5"/>
    <x v="0"/>
    <x v="0"/>
    <d v="2023-04-26T00:00:00"/>
  </r>
  <r>
    <s v="TXN_2625464"/>
    <x v="4"/>
    <n v="3"/>
    <n v="4"/>
    <n v="12"/>
    <x v="0"/>
    <x v="1"/>
    <d v="2023-10-06T00:00:00"/>
  </r>
  <r>
    <s v="TXN_9338442"/>
    <x v="1"/>
    <n v="1"/>
    <n v="3"/>
    <n v="3"/>
    <x v="3"/>
    <x v="1"/>
    <d v="2023-12-29T00:00:00"/>
  </r>
  <r>
    <s v="TXN_2953908"/>
    <x v="0"/>
    <n v="5"/>
    <n v="2"/>
    <n v="10"/>
    <x v="0"/>
    <x v="1"/>
    <d v="2023-10-11T00:00:00"/>
  </r>
  <r>
    <s v="TXN_2576936"/>
    <x v="1"/>
    <n v="3"/>
    <n v="3"/>
    <n v="9"/>
    <x v="1"/>
    <x v="2"/>
    <d v="2023-10-14T00:00:00"/>
  </r>
  <r>
    <s v="TXN_4586482"/>
    <x v="7"/>
    <n v="3"/>
    <n v="3"/>
    <n v="9"/>
    <x v="2"/>
    <x v="1"/>
    <d v="2023-09-04T00:00:00"/>
  </r>
  <r>
    <s v="TXN_3660806"/>
    <x v="2"/>
    <n v="5"/>
    <n v="1"/>
    <n v="5"/>
    <x v="2"/>
    <x v="0"/>
    <d v="2023-02-14T00:00:00"/>
  </r>
  <r>
    <s v="TXN_8069514"/>
    <x v="4"/>
    <n v="4"/>
    <n v="4"/>
    <n v="16"/>
    <x v="0"/>
    <x v="2"/>
    <m/>
  </r>
  <r>
    <s v="TXN_6410244"/>
    <x v="8"/>
    <n v="4"/>
    <n v="1.5"/>
    <n v="6"/>
    <x v="0"/>
    <x v="0"/>
    <d v="2023-01-06T00:00:00"/>
  </r>
  <r>
    <s v="TXN_5026431"/>
    <x v="5"/>
    <n v="5"/>
    <n v="4"/>
    <n v="20"/>
    <x v="1"/>
    <x v="2"/>
    <d v="2023-12-05T00:00:00"/>
  </r>
  <r>
    <s v="TXN_3106348"/>
    <x v="3"/>
    <n v="4"/>
    <n v="5"/>
    <n v="20"/>
    <x v="3"/>
    <x v="1"/>
    <d v="2023-01-10T00:00:00"/>
  </r>
  <r>
    <s v="TXN_6216278"/>
    <x v="0"/>
    <n v="4"/>
    <n v="2"/>
    <n v="8"/>
    <x v="0"/>
    <x v="1"/>
    <d v="2023-11-06T00:00:00"/>
  </r>
  <r>
    <s v="TXN_9947324"/>
    <x v="6"/>
    <n v="2"/>
    <n v="4"/>
    <n v="8"/>
    <x v="3"/>
    <x v="0"/>
    <d v="2023-08-22T00:00:00"/>
  </r>
  <r>
    <s v="TXN_9531434"/>
    <x v="2"/>
    <n v="1"/>
    <n v="1"/>
    <n v="1"/>
    <x v="0"/>
    <x v="0"/>
    <d v="2023-10-09T00:00:00"/>
  </r>
  <r>
    <s v="TXN_4104718"/>
    <x v="2"/>
    <n v="2"/>
    <n v="1"/>
    <n v="2"/>
    <x v="1"/>
    <x v="2"/>
    <d v="2023-11-08T00:00:00"/>
  </r>
  <r>
    <s v="TXN_5789560"/>
    <x v="7"/>
    <n v="2"/>
    <n v="3"/>
    <n v="6"/>
    <x v="1"/>
    <x v="0"/>
    <d v="2023-02-13T00:00:00"/>
  </r>
  <r>
    <s v="TXN_8285752"/>
    <x v="2"/>
    <n v="4"/>
    <n v="1"/>
    <n v="4"/>
    <x v="2"/>
    <x v="1"/>
    <d v="2023-01-07T00:00:00"/>
  </r>
  <r>
    <s v="TXN_8099340"/>
    <x v="5"/>
    <n v="4"/>
    <n v="1.5"/>
    <n v="6"/>
    <x v="2"/>
    <x v="1"/>
    <d v="2023-04-23T00:00:00"/>
  </r>
  <r>
    <s v="TXN_7733300"/>
    <x v="4"/>
    <n v="2"/>
    <n v="4"/>
    <n v="8"/>
    <x v="1"/>
    <x v="0"/>
    <d v="2023-12-10T00:00:00"/>
  </r>
  <r>
    <s v="TXN_4416331"/>
    <x v="2"/>
    <n v="1"/>
    <n v="1"/>
    <n v="1"/>
    <x v="2"/>
    <x v="0"/>
    <d v="2023-02-13T00:00:00"/>
  </r>
  <r>
    <s v="TXN_3551665"/>
    <x v="7"/>
    <n v="4"/>
    <n v="3"/>
    <n v="12"/>
    <x v="0"/>
    <x v="1"/>
    <d v="2023-04-06T00:00:00"/>
  </r>
  <r>
    <s v="TXN_7377496"/>
    <x v="5"/>
    <n v="1"/>
    <n v="3"/>
    <n v="3"/>
    <x v="0"/>
    <x v="0"/>
    <d v="2023-02-28T00:00:00"/>
  </r>
  <r>
    <s v="TXN_4637438"/>
    <x v="3"/>
    <n v="2"/>
    <n v="5"/>
    <n v="10"/>
    <x v="2"/>
    <x v="0"/>
    <d v="2023-04-07T00:00:00"/>
  </r>
  <r>
    <s v="TXN_5493965"/>
    <x v="7"/>
    <n v="1"/>
    <n v="3"/>
    <n v="3"/>
    <x v="2"/>
    <x v="2"/>
    <d v="2023-06-16T00:00:00"/>
  </r>
  <r>
    <s v="TXN_2525207"/>
    <x v="2"/>
    <n v="2"/>
    <n v="1"/>
    <n v="2"/>
    <x v="3"/>
    <x v="2"/>
    <d v="2023-11-25T00:00:00"/>
  </r>
  <r>
    <s v="TXN_7354480"/>
    <x v="1"/>
    <n v="2"/>
    <n v="3"/>
    <n v="6"/>
    <x v="1"/>
    <x v="2"/>
    <d v="2023-01-17T00:00:00"/>
  </r>
  <r>
    <s v="TXN_6819128"/>
    <x v="3"/>
    <n v="1"/>
    <n v="5"/>
    <n v="5"/>
    <x v="1"/>
    <x v="2"/>
    <d v="2023-10-19T00:00:00"/>
  </r>
  <r>
    <s v="TXN_5023419"/>
    <x v="2"/>
    <n v="3"/>
    <n v="1"/>
    <n v="3"/>
    <x v="3"/>
    <x v="0"/>
    <d v="2023-02-26T00:00:00"/>
  </r>
  <r>
    <s v="TXN_9864890"/>
    <x v="6"/>
    <n v="3"/>
    <n v="4"/>
    <n v="12"/>
    <x v="2"/>
    <x v="1"/>
    <d v="2023-12-06T00:00:00"/>
  </r>
  <r>
    <s v="TXN_8798330"/>
    <x v="5"/>
    <n v="1"/>
    <n v="2"/>
    <n v="2"/>
    <x v="2"/>
    <x v="1"/>
    <d v="2023-02-16T00:00:00"/>
  </r>
  <r>
    <s v="TXN_9951411"/>
    <x v="0"/>
    <n v="1"/>
    <n v="2"/>
    <n v="2"/>
    <x v="1"/>
    <x v="1"/>
    <d v="2023-08-09T00:00:00"/>
  </r>
  <r>
    <s v="TXN_6755795"/>
    <x v="4"/>
    <n v="5"/>
    <n v="4"/>
    <n v="20"/>
    <x v="1"/>
    <x v="2"/>
    <d v="2023-02-22T00:00:00"/>
  </r>
  <r>
    <s v="TXN_7507071"/>
    <x v="4"/>
    <n v="2"/>
    <n v="4"/>
    <n v="8"/>
    <x v="2"/>
    <x v="1"/>
    <d v="2023-01-10T00:00:00"/>
  </r>
  <r>
    <s v="TXN_1018470"/>
    <x v="7"/>
    <n v="3"/>
    <n v="3"/>
    <n v="9"/>
    <x v="2"/>
    <x v="2"/>
    <d v="2023-01-14T00:00:00"/>
  </r>
  <r>
    <s v="TXN_2924262"/>
    <x v="2"/>
    <n v="5"/>
    <n v="1"/>
    <n v="5"/>
    <x v="2"/>
    <x v="2"/>
    <d v="2023-09-01T00:00:00"/>
  </r>
  <r>
    <s v="TXN_6472242"/>
    <x v="6"/>
    <n v="1"/>
    <n v="4"/>
    <n v="4"/>
    <x v="2"/>
    <x v="2"/>
    <d v="2023-03-27T00:00:00"/>
  </r>
  <r>
    <s v="TXN_8482647"/>
    <x v="6"/>
    <n v="5"/>
    <n v="4"/>
    <n v="20"/>
    <x v="0"/>
    <x v="2"/>
    <d v="2023-01-08T00:00:00"/>
  </r>
  <r>
    <s v="TXN_6994354"/>
    <x v="3"/>
    <n v="5"/>
    <n v="5"/>
    <n v="25"/>
    <x v="2"/>
    <x v="0"/>
    <d v="2023-07-03T00:00:00"/>
  </r>
  <r>
    <s v="TXN_3520910"/>
    <x v="3"/>
    <n v="1"/>
    <n v="5"/>
    <n v="5"/>
    <x v="0"/>
    <x v="0"/>
    <d v="2023-05-06T00:00:00"/>
  </r>
  <r>
    <s v="TXN_8589003"/>
    <x v="8"/>
    <n v="4"/>
    <n v="1.5"/>
    <n v="6"/>
    <x v="1"/>
    <x v="2"/>
    <d v="2023-08-25T00:00:00"/>
  </r>
  <r>
    <s v="TXN_3219263"/>
    <x v="4"/>
    <n v="5"/>
    <n v="4"/>
    <n v="20"/>
    <x v="2"/>
    <x v="0"/>
    <d v="2023-03-31T00:00:00"/>
  </r>
  <r>
    <s v="TXN_9619442"/>
    <x v="1"/>
    <n v="4"/>
    <n v="3"/>
    <n v="12"/>
    <x v="3"/>
    <x v="1"/>
    <d v="2023-05-23T00:00:00"/>
  </r>
  <r>
    <s v="TXN_1050323"/>
    <x v="7"/>
    <n v="1"/>
    <n v="3"/>
    <n v="3"/>
    <x v="2"/>
    <x v="1"/>
    <d v="2023-03-10T00:00:00"/>
  </r>
  <r>
    <s v="TXN_8379815"/>
    <x v="4"/>
    <n v="5"/>
    <n v="4"/>
    <n v="20"/>
    <x v="0"/>
    <x v="2"/>
    <d v="2023-07-31T00:00:00"/>
  </r>
  <r>
    <s v="TXN_6746916"/>
    <x v="0"/>
    <n v="1"/>
    <n v="2"/>
    <n v="2"/>
    <x v="1"/>
    <x v="0"/>
    <d v="2023-11-15T00:00:00"/>
  </r>
  <r>
    <s v="TXN_1547717"/>
    <x v="6"/>
    <n v="5"/>
    <n v="4"/>
    <n v="20"/>
    <x v="2"/>
    <x v="2"/>
    <d v="2023-12-15T00:00:00"/>
  </r>
  <r>
    <s v="TXN_8407982"/>
    <x v="3"/>
    <n v="2"/>
    <n v="5"/>
    <n v="10"/>
    <x v="3"/>
    <x v="0"/>
    <d v="2023-09-17T00:00:00"/>
  </r>
  <r>
    <s v="TXN_3484276"/>
    <x v="2"/>
    <n v="5"/>
    <n v="1"/>
    <n v="5"/>
    <x v="3"/>
    <x v="0"/>
    <d v="2023-06-14T00:00:00"/>
  </r>
  <r>
    <s v="TXN_3705669"/>
    <x v="8"/>
    <n v="2"/>
    <n v="1.5"/>
    <n v="3"/>
    <x v="2"/>
    <x v="2"/>
    <d v="2023-11-23T00:00:00"/>
  </r>
  <r>
    <s v="TXN_4105487"/>
    <x v="6"/>
    <n v="4"/>
    <n v="4"/>
    <n v="16"/>
    <x v="3"/>
    <x v="1"/>
    <d v="2023-04-13T00:00:00"/>
  </r>
  <r>
    <s v="TXN_6856558"/>
    <x v="7"/>
    <n v="4"/>
    <n v="3"/>
    <n v="12"/>
    <x v="2"/>
    <x v="0"/>
    <d v="2023-10-30T00:00:00"/>
  </r>
  <r>
    <s v="TXN_3669990"/>
    <x v="8"/>
    <n v="2"/>
    <n v="1.5"/>
    <n v="3"/>
    <x v="1"/>
    <x v="0"/>
    <d v="2023-01-27T00:00:00"/>
  </r>
  <r>
    <s v="TXN_5994713"/>
    <x v="8"/>
    <n v="3"/>
    <n v="1.5"/>
    <n v="4.5"/>
    <x v="2"/>
    <x v="0"/>
    <d v="2023-03-05T00:00:00"/>
  </r>
  <r>
    <s v="TXN_8091357"/>
    <x v="0"/>
    <n v="1"/>
    <n v="2"/>
    <n v="2"/>
    <x v="1"/>
    <x v="2"/>
    <d v="2023-12-28T00:00:00"/>
  </r>
  <r>
    <s v="TXN_9555958"/>
    <x v="4"/>
    <n v="4"/>
    <n v="4"/>
    <n v="16"/>
    <x v="3"/>
    <x v="0"/>
    <d v="2023-09-30T00:00:00"/>
  </r>
  <r>
    <s v="TXN_4194085"/>
    <x v="3"/>
    <n v="1"/>
    <n v="5"/>
    <n v="5"/>
    <x v="0"/>
    <x v="2"/>
    <d v="2023-05-25T00:00:00"/>
  </r>
  <r>
    <s v="TXN_7780748"/>
    <x v="2"/>
    <n v="3"/>
    <n v="1"/>
    <n v="3"/>
    <x v="0"/>
    <x v="1"/>
    <d v="2023-01-19T00:00:00"/>
  </r>
  <r>
    <s v="TXN_7914340"/>
    <x v="8"/>
    <n v="1"/>
    <n v="1.5"/>
    <n v="1.5"/>
    <x v="2"/>
    <x v="2"/>
    <d v="2023-09-04T00:00:00"/>
  </r>
  <r>
    <s v="TXN_7780786"/>
    <x v="1"/>
    <n v="1"/>
    <n v="3"/>
    <n v="3"/>
    <x v="0"/>
    <x v="2"/>
    <d v="2023-10-30T00:00:00"/>
  </r>
  <r>
    <s v="TXN_1048284"/>
    <x v="3"/>
    <n v="2"/>
    <n v="5"/>
    <n v="10"/>
    <x v="1"/>
    <x v="1"/>
    <d v="2023-08-19T00:00:00"/>
  </r>
  <r>
    <s v="TXN_3301517"/>
    <x v="3"/>
    <n v="5"/>
    <n v="5"/>
    <n v="25"/>
    <x v="0"/>
    <x v="1"/>
    <d v="2023-04-13T00:00:00"/>
  </r>
  <r>
    <s v="TXN_3120848"/>
    <x v="2"/>
    <n v="1"/>
    <n v="1"/>
    <n v="1"/>
    <x v="1"/>
    <x v="1"/>
    <d v="2023-11-01T00:00:00"/>
  </r>
  <r>
    <s v="TXN_3764807"/>
    <x v="4"/>
    <n v="2"/>
    <n v="4"/>
    <n v="8"/>
    <x v="2"/>
    <x v="2"/>
    <d v="2023-08-28T00:00:00"/>
  </r>
  <r>
    <s v="TXN_3315467"/>
    <x v="6"/>
    <n v="2"/>
    <n v="4"/>
    <n v="8"/>
    <x v="3"/>
    <x v="0"/>
    <d v="2023-11-17T00:00:00"/>
  </r>
  <r>
    <s v="TXN_9363990"/>
    <x v="1"/>
    <n v="3"/>
    <n v="3"/>
    <n v="9"/>
    <x v="0"/>
    <x v="2"/>
    <d v="2023-01-17T00:00:00"/>
  </r>
  <r>
    <s v="TXN_9666257"/>
    <x v="7"/>
    <n v="2"/>
    <n v="3"/>
    <n v="6"/>
    <x v="2"/>
    <x v="1"/>
    <d v="2023-09-27T00:00:00"/>
  </r>
  <r>
    <s v="TXN_1504466"/>
    <x v="0"/>
    <n v="1"/>
    <n v="2"/>
    <n v="2"/>
    <x v="1"/>
    <x v="2"/>
    <d v="2023-11-07T00:00:00"/>
  </r>
  <r>
    <s v="TXN_3324387"/>
    <x v="5"/>
    <n v="1"/>
    <n v="4"/>
    <n v="4"/>
    <x v="0"/>
    <x v="2"/>
    <d v="2023-12-13T00:00:00"/>
  </r>
  <r>
    <s v="TXN_7603895"/>
    <x v="4"/>
    <n v="5"/>
    <n v="4"/>
    <n v="20"/>
    <x v="0"/>
    <x v="1"/>
    <m/>
  </r>
  <r>
    <s v="TXN_1477525"/>
    <x v="3"/>
    <n v="3"/>
    <n v="5"/>
    <n v="15"/>
    <x v="1"/>
    <x v="0"/>
    <d v="2023-11-06T00:00:00"/>
  </r>
  <r>
    <s v="TXN_9063624"/>
    <x v="0"/>
    <n v="1"/>
    <n v="2"/>
    <n v="2"/>
    <x v="0"/>
    <x v="2"/>
    <d v="2023-04-21T00:00:00"/>
  </r>
  <r>
    <s v="TXN_1595139"/>
    <x v="4"/>
    <n v="5"/>
    <n v="4"/>
    <n v="20"/>
    <x v="1"/>
    <x v="2"/>
    <d v="2023-08-24T00:00:00"/>
  </r>
  <r>
    <s v="TXN_8606912"/>
    <x v="3"/>
    <n v="5"/>
    <n v="5"/>
    <n v="25"/>
    <x v="3"/>
    <x v="2"/>
    <d v="2023-03-10T00:00:00"/>
  </r>
  <r>
    <s v="TXN_8548232"/>
    <x v="6"/>
    <n v="4"/>
    <n v="4"/>
    <n v="16"/>
    <x v="3"/>
    <x v="1"/>
    <d v="2023-06-21T00:00:00"/>
  </r>
  <r>
    <s v="TXN_6074414"/>
    <x v="3"/>
    <n v="2"/>
    <n v="5"/>
    <n v="10"/>
    <x v="0"/>
    <x v="2"/>
    <d v="2023-11-13T00:00:00"/>
  </r>
  <r>
    <s v="TXN_2010658"/>
    <x v="4"/>
    <n v="3"/>
    <n v="4"/>
    <n v="12"/>
    <x v="2"/>
    <x v="2"/>
    <d v="2023-02-20T00:00:00"/>
  </r>
  <r>
    <s v="TXN_5070577"/>
    <x v="2"/>
    <n v="4"/>
    <n v="1"/>
    <n v="4"/>
    <x v="0"/>
    <x v="0"/>
    <d v="2023-02-07T00:00:00"/>
  </r>
  <r>
    <s v="TXN_5426236"/>
    <x v="5"/>
    <n v="3"/>
    <n v="4"/>
    <n v="12"/>
    <x v="1"/>
    <x v="0"/>
    <d v="2023-08-31T00:00:00"/>
  </r>
  <r>
    <s v="TXN_8867957"/>
    <x v="6"/>
    <n v="1"/>
    <n v="4"/>
    <n v="4"/>
    <x v="3"/>
    <x v="2"/>
    <d v="2023-01-04T00:00:00"/>
  </r>
  <r>
    <s v="TXN_3241422"/>
    <x v="3"/>
    <n v="2"/>
    <n v="5"/>
    <n v="10"/>
    <x v="1"/>
    <x v="0"/>
    <d v="2023-07-17T00:00:00"/>
  </r>
  <r>
    <s v="TXN_6036254"/>
    <x v="5"/>
    <n v="3"/>
    <n v="2"/>
    <n v="6"/>
    <x v="0"/>
    <x v="2"/>
    <d v="2023-09-20T00:00:00"/>
  </r>
  <r>
    <s v="TXN_3580048"/>
    <x v="4"/>
    <n v="5"/>
    <n v="4"/>
    <n v="20"/>
    <x v="2"/>
    <x v="2"/>
    <d v="2023-05-17T00:00:00"/>
  </r>
  <r>
    <s v="TXN_2756336"/>
    <x v="4"/>
    <n v="3"/>
    <n v="4"/>
    <n v="12"/>
    <x v="0"/>
    <x v="0"/>
    <d v="2023-07-07T00:00:00"/>
  </r>
  <r>
    <s v="TXN_9691873"/>
    <x v="7"/>
    <n v="2"/>
    <n v="3"/>
    <n v="6"/>
    <x v="3"/>
    <x v="0"/>
    <d v="2023-02-15T00:00:00"/>
  </r>
  <r>
    <s v="TXN_2466187"/>
    <x v="0"/>
    <n v="2"/>
    <n v="2"/>
    <n v="4"/>
    <x v="2"/>
    <x v="0"/>
    <d v="2023-04-18T00:00:00"/>
  </r>
  <r>
    <s v="TXN_9699116"/>
    <x v="2"/>
    <n v="2"/>
    <n v="1"/>
    <n v="2"/>
    <x v="3"/>
    <x v="1"/>
    <m/>
  </r>
  <r>
    <s v="TXN_7964520"/>
    <x v="0"/>
    <n v="1"/>
    <n v="2"/>
    <n v="2"/>
    <x v="2"/>
    <x v="1"/>
    <d v="2023-03-26T00:00:00"/>
  </r>
  <r>
    <s v="TXN_3185667"/>
    <x v="8"/>
    <n v="5"/>
    <n v="1.5"/>
    <n v="7.5"/>
    <x v="3"/>
    <x v="2"/>
    <d v="2023-12-26T00:00:00"/>
  </r>
  <r>
    <s v="TXN_8167741"/>
    <x v="6"/>
    <n v="4"/>
    <n v="4"/>
    <n v="16"/>
    <x v="2"/>
    <x v="0"/>
    <d v="2023-09-09T00:00:00"/>
  </r>
  <r>
    <s v="TXN_1015883"/>
    <x v="2"/>
    <n v="4"/>
    <n v="1"/>
    <n v="4"/>
    <x v="1"/>
    <x v="1"/>
    <d v="2023-10-16T00:00:00"/>
  </r>
  <r>
    <s v="TXN_8838566"/>
    <x v="1"/>
    <n v="5"/>
    <n v="3"/>
    <n v="15"/>
    <x v="3"/>
    <x v="1"/>
    <d v="2023-07-25T00:00:00"/>
  </r>
  <r>
    <s v="TXN_2423343"/>
    <x v="8"/>
    <n v="4"/>
    <n v="1.5"/>
    <n v="6"/>
    <x v="2"/>
    <x v="1"/>
    <d v="2023-09-25T00:00:00"/>
  </r>
  <r>
    <s v="TXN_1496038"/>
    <x v="7"/>
    <n v="4"/>
    <n v="3"/>
    <n v="12"/>
    <x v="2"/>
    <x v="1"/>
    <d v="2023-12-22T00:00:00"/>
  </r>
  <r>
    <s v="TXN_9484436"/>
    <x v="3"/>
    <n v="1"/>
    <n v="5"/>
    <n v="5"/>
    <x v="0"/>
    <x v="1"/>
    <d v="2023-01-20T00:00:00"/>
  </r>
  <r>
    <s v="TXN_7670699"/>
    <x v="7"/>
    <n v="1"/>
    <n v="3"/>
    <n v="3"/>
    <x v="1"/>
    <x v="1"/>
    <d v="2023-12-24T00:00:00"/>
  </r>
  <r>
    <s v="TXN_7765640"/>
    <x v="5"/>
    <n v="1"/>
    <n v="2"/>
    <n v="2"/>
    <x v="0"/>
    <x v="2"/>
    <d v="2023-07-07T00:00:00"/>
  </r>
  <r>
    <s v="TXN_5412418"/>
    <x v="5"/>
    <n v="3"/>
    <n v="3"/>
    <n v="9"/>
    <x v="1"/>
    <x v="2"/>
    <d v="2023-09-23T00:00:00"/>
  </r>
  <r>
    <s v="TXN_2053631"/>
    <x v="3"/>
    <n v="1"/>
    <n v="5"/>
    <n v="5"/>
    <x v="0"/>
    <x v="2"/>
    <d v="2023-03-21T00:00:00"/>
  </r>
  <r>
    <s v="TXN_3632064"/>
    <x v="2"/>
    <n v="5"/>
    <n v="1"/>
    <n v="5"/>
    <x v="1"/>
    <x v="2"/>
    <d v="2023-02-12T00:00:00"/>
  </r>
  <r>
    <s v="TXN_4254587"/>
    <x v="4"/>
    <n v="1"/>
    <n v="4"/>
    <n v="4"/>
    <x v="3"/>
    <x v="2"/>
    <d v="2023-05-27T00:00:00"/>
  </r>
  <r>
    <s v="TXN_9605972"/>
    <x v="1"/>
    <n v="3"/>
    <n v="3"/>
    <n v="9"/>
    <x v="2"/>
    <x v="2"/>
    <d v="2023-09-30T00:00:00"/>
  </r>
  <r>
    <s v="TXN_1323030"/>
    <x v="3"/>
    <n v="4"/>
    <n v="5"/>
    <n v="20"/>
    <x v="2"/>
    <x v="1"/>
    <d v="2023-03-30T00:00:00"/>
  </r>
  <r>
    <s v="TXN_7989903"/>
    <x v="7"/>
    <n v="2"/>
    <n v="3"/>
    <n v="6"/>
    <x v="1"/>
    <x v="2"/>
    <d v="2023-06-19T00:00:00"/>
  </r>
  <r>
    <s v="TXN_7423885"/>
    <x v="7"/>
    <n v="4"/>
    <n v="3"/>
    <n v="12"/>
    <x v="3"/>
    <x v="0"/>
    <d v="2023-09-06T00:00:00"/>
  </r>
  <r>
    <s v="TXN_1495371"/>
    <x v="6"/>
    <n v="2"/>
    <n v="4"/>
    <n v="8"/>
    <x v="0"/>
    <x v="0"/>
    <d v="2023-07-21T00:00:00"/>
  </r>
  <r>
    <s v="TXN_8934025"/>
    <x v="2"/>
    <n v="2"/>
    <n v="1"/>
    <n v="2"/>
    <x v="2"/>
    <x v="2"/>
    <d v="2023-12-18T00:00:00"/>
  </r>
  <r>
    <s v="TXN_7515290"/>
    <x v="4"/>
    <n v="3"/>
    <n v="4"/>
    <n v="12"/>
    <x v="3"/>
    <x v="2"/>
    <d v="2023-12-23T00:00:00"/>
  </r>
  <r>
    <s v="TXN_3711520"/>
    <x v="8"/>
    <n v="1"/>
    <n v="1.5"/>
    <n v="1.5"/>
    <x v="2"/>
    <x v="1"/>
    <d v="2023-06-29T00:00:00"/>
  </r>
  <r>
    <s v="TXN_3841683"/>
    <x v="6"/>
    <n v="1"/>
    <n v="4"/>
    <n v="4"/>
    <x v="2"/>
    <x v="1"/>
    <d v="2023-06-20T00:00:00"/>
  </r>
  <r>
    <s v="TXN_9100530"/>
    <x v="6"/>
    <n v="3"/>
    <n v="4"/>
    <n v="12"/>
    <x v="3"/>
    <x v="2"/>
    <d v="2023-05-21T00:00:00"/>
  </r>
  <r>
    <s v="TXN_3112013"/>
    <x v="6"/>
    <n v="5"/>
    <n v="4"/>
    <n v="20"/>
    <x v="1"/>
    <x v="1"/>
    <d v="2023-01-06T00:00:00"/>
  </r>
  <r>
    <s v="TXN_7786787"/>
    <x v="8"/>
    <n v="1"/>
    <n v="1.5"/>
    <n v="1.5"/>
    <x v="0"/>
    <x v="0"/>
    <d v="2023-07-08T00:00:00"/>
  </r>
  <r>
    <s v="TXN_7160196"/>
    <x v="6"/>
    <n v="1"/>
    <n v="4"/>
    <n v="4"/>
    <x v="2"/>
    <x v="1"/>
    <d v="2023-12-06T00:00:00"/>
  </r>
  <r>
    <s v="TXN_4634894"/>
    <x v="0"/>
    <n v="1"/>
    <n v="2"/>
    <n v="2"/>
    <x v="2"/>
    <x v="2"/>
    <d v="2023-12-09T00:00:00"/>
  </r>
  <r>
    <s v="TXN_8214944"/>
    <x v="5"/>
    <n v="3"/>
    <n v="1.5"/>
    <n v="4.5"/>
    <x v="0"/>
    <x v="1"/>
    <d v="2023-11-18T00:00:00"/>
  </r>
  <r>
    <s v="TXN_1080377"/>
    <x v="1"/>
    <n v="2"/>
    <n v="3"/>
    <n v="6"/>
    <x v="2"/>
    <x v="2"/>
    <d v="2023-04-08T00:00:00"/>
  </r>
  <r>
    <s v="TXN_8566683"/>
    <x v="4"/>
    <n v="4"/>
    <n v="4"/>
    <n v="16"/>
    <x v="1"/>
    <x v="0"/>
    <d v="2023-08-09T00:00:00"/>
  </r>
  <r>
    <s v="TXN_2784588"/>
    <x v="7"/>
    <n v="2"/>
    <n v="3"/>
    <n v="6"/>
    <x v="1"/>
    <x v="0"/>
    <d v="2023-03-26T00:00:00"/>
  </r>
  <r>
    <s v="TXN_6110769"/>
    <x v="2"/>
    <n v="2"/>
    <n v="1"/>
    <n v="2"/>
    <x v="2"/>
    <x v="2"/>
    <d v="2023-03-02T00:00:00"/>
  </r>
  <r>
    <s v="TXN_9999124"/>
    <x v="7"/>
    <n v="2"/>
    <n v="3"/>
    <n v="6"/>
    <x v="3"/>
    <x v="0"/>
    <m/>
  </r>
  <r>
    <s v="TXN_1637334"/>
    <x v="5"/>
    <n v="2"/>
    <n v="1.5"/>
    <n v="3"/>
    <x v="0"/>
    <x v="1"/>
    <d v="2023-08-09T00:00:00"/>
  </r>
  <r>
    <s v="TXN_9514452"/>
    <x v="5"/>
    <n v="5"/>
    <n v="2"/>
    <n v="10"/>
    <x v="0"/>
    <x v="0"/>
    <d v="2023-07-29T00:00:00"/>
  </r>
  <r>
    <s v="TXN_8787350"/>
    <x v="6"/>
    <n v="5"/>
    <n v="4"/>
    <n v="20"/>
    <x v="2"/>
    <x v="2"/>
    <d v="2023-05-21T00:00:00"/>
  </r>
  <r>
    <s v="TXN_7533675"/>
    <x v="4"/>
    <n v="3"/>
    <n v="4"/>
    <n v="12"/>
    <x v="2"/>
    <x v="1"/>
    <d v="2023-10-28T00:00:00"/>
  </r>
  <r>
    <s v="TXN_2264601"/>
    <x v="8"/>
    <n v="1"/>
    <n v="1.5"/>
    <n v="1.5"/>
    <x v="2"/>
    <x v="2"/>
    <d v="2023-01-21T00:00:00"/>
  </r>
  <r>
    <s v="TXN_6024139"/>
    <x v="7"/>
    <n v="4"/>
    <n v="3"/>
    <n v="12"/>
    <x v="3"/>
    <x v="2"/>
    <d v="2023-08-15T00:00:00"/>
  </r>
  <r>
    <s v="TXN_9841397"/>
    <x v="0"/>
    <n v="4"/>
    <n v="2"/>
    <n v="8"/>
    <x v="1"/>
    <x v="1"/>
    <d v="2023-12-28T00:00:00"/>
  </r>
  <r>
    <s v="TXN_7302991"/>
    <x v="5"/>
    <n v="4"/>
    <n v="4"/>
    <n v="16"/>
    <x v="3"/>
    <x v="0"/>
    <d v="2023-04-05T00:00:00"/>
  </r>
  <r>
    <s v="TXN_6093331"/>
    <x v="4"/>
    <n v="2"/>
    <n v="4"/>
    <n v="8"/>
    <x v="0"/>
    <x v="2"/>
    <d v="2023-06-24T00:00:00"/>
  </r>
  <r>
    <s v="TXN_3087096"/>
    <x v="8"/>
    <n v="3"/>
    <n v="1.5"/>
    <n v="4.5"/>
    <x v="1"/>
    <x v="2"/>
    <d v="2023-08-19T00:00:00"/>
  </r>
  <r>
    <s v="TXN_8324315"/>
    <x v="3"/>
    <n v="1"/>
    <n v="5"/>
    <n v="5"/>
    <x v="2"/>
    <x v="2"/>
    <d v="2023-08-07T00:00:00"/>
  </r>
  <r>
    <s v="TXN_8933679"/>
    <x v="3"/>
    <n v="3"/>
    <n v="5"/>
    <n v="15"/>
    <x v="3"/>
    <x v="1"/>
    <d v="2023-09-24T00:00:00"/>
  </r>
  <r>
    <s v="TXN_3528653"/>
    <x v="1"/>
    <n v="1"/>
    <n v="3"/>
    <n v="3"/>
    <x v="2"/>
    <x v="2"/>
    <d v="2023-02-26T00:00:00"/>
  </r>
  <r>
    <s v="TXN_4256155"/>
    <x v="1"/>
    <n v="5"/>
    <n v="3"/>
    <n v="15"/>
    <x v="2"/>
    <x v="0"/>
    <d v="2023-04-06T00:00:00"/>
  </r>
  <r>
    <s v="TXN_7186675"/>
    <x v="2"/>
    <n v="4"/>
    <n v="1"/>
    <n v="4"/>
    <x v="1"/>
    <x v="2"/>
    <d v="2023-11-09T00:00:00"/>
  </r>
  <r>
    <s v="TXN_5295223"/>
    <x v="5"/>
    <n v="5"/>
    <n v="5"/>
    <n v="25"/>
    <x v="1"/>
    <x v="1"/>
    <d v="2023-03-23T00:00:00"/>
  </r>
  <r>
    <s v="TXN_8578861"/>
    <x v="3"/>
    <n v="5"/>
    <n v="5"/>
    <n v="25"/>
    <x v="3"/>
    <x v="1"/>
    <d v="2023-05-16T00:00:00"/>
  </r>
  <r>
    <s v="TXN_8028042"/>
    <x v="0"/>
    <n v="3"/>
    <n v="2"/>
    <n v="6"/>
    <x v="2"/>
    <x v="2"/>
    <d v="2023-04-05T00:00:00"/>
  </r>
  <r>
    <s v="TXN_4021467"/>
    <x v="0"/>
    <n v="2"/>
    <n v="2"/>
    <n v="4"/>
    <x v="2"/>
    <x v="0"/>
    <d v="2023-04-02T00:00:00"/>
  </r>
  <r>
    <s v="TXN_4807037"/>
    <x v="3"/>
    <n v="5"/>
    <n v="5"/>
    <n v="25"/>
    <x v="1"/>
    <x v="1"/>
    <d v="2023-12-08T00:00:00"/>
  </r>
  <r>
    <s v="TXN_3975938"/>
    <x v="6"/>
    <n v="3"/>
    <n v="4"/>
    <n v="12"/>
    <x v="0"/>
    <x v="2"/>
    <d v="2023-09-04T00:00:00"/>
  </r>
  <r>
    <s v="TXN_3312653"/>
    <x v="2"/>
    <n v="5"/>
    <n v="1"/>
    <n v="5"/>
    <x v="1"/>
    <x v="0"/>
    <d v="2023-12-09T00:00:00"/>
  </r>
  <r>
    <s v="TXN_1405498"/>
    <x v="7"/>
    <n v="2"/>
    <n v="3"/>
    <n v="6"/>
    <x v="2"/>
    <x v="0"/>
    <d v="2023-12-31T00:00:00"/>
  </r>
  <r>
    <s v="TXN_6571288"/>
    <x v="6"/>
    <n v="2"/>
    <n v="4"/>
    <n v="8"/>
    <x v="0"/>
    <x v="2"/>
    <d v="2023-10-23T00:00:00"/>
  </r>
  <r>
    <s v="TXN_7560210"/>
    <x v="7"/>
    <n v="5"/>
    <n v="3"/>
    <n v="15"/>
    <x v="2"/>
    <x v="0"/>
    <d v="2023-02-21T00:00:00"/>
  </r>
  <r>
    <s v="TXN_2905234"/>
    <x v="2"/>
    <n v="1"/>
    <n v="1"/>
    <n v="1"/>
    <x v="0"/>
    <x v="2"/>
    <d v="2023-09-24T00:00:00"/>
  </r>
  <r>
    <s v="TXN_3630981"/>
    <x v="0"/>
    <n v="2"/>
    <n v="2"/>
    <n v="4"/>
    <x v="2"/>
    <x v="1"/>
    <d v="2023-10-31T00:00:00"/>
  </r>
  <r>
    <s v="TXN_3339728"/>
    <x v="7"/>
    <n v="5"/>
    <n v="3"/>
    <n v="15"/>
    <x v="2"/>
    <x v="1"/>
    <d v="2023-05-13T00:00:00"/>
  </r>
  <r>
    <s v="TXN_3826298"/>
    <x v="2"/>
    <n v="3"/>
    <n v="1"/>
    <n v="3"/>
    <x v="2"/>
    <x v="2"/>
    <d v="2023-11-28T00:00:00"/>
  </r>
  <r>
    <s v="TXN_7854306"/>
    <x v="6"/>
    <n v="1"/>
    <n v="4"/>
    <n v="4"/>
    <x v="1"/>
    <x v="1"/>
    <d v="2023-09-17T00:00:00"/>
  </r>
  <r>
    <s v="TXN_6034709"/>
    <x v="5"/>
    <n v="2"/>
    <n v="2"/>
    <n v="4"/>
    <x v="0"/>
    <x v="2"/>
    <d v="2023-06-16T00:00:00"/>
  </r>
  <r>
    <s v="TXN_3072565"/>
    <x v="7"/>
    <n v="3"/>
    <n v="3"/>
    <n v="9"/>
    <x v="0"/>
    <x v="2"/>
    <d v="2023-07-09T00:00:00"/>
  </r>
  <r>
    <s v="TXN_9544977"/>
    <x v="2"/>
    <n v="4"/>
    <n v="1"/>
    <n v="4"/>
    <x v="2"/>
    <x v="1"/>
    <d v="2023-07-04T00:00:00"/>
  </r>
  <r>
    <s v="TXN_9924421"/>
    <x v="1"/>
    <n v="5"/>
    <n v="3"/>
    <n v="15"/>
    <x v="0"/>
    <x v="2"/>
    <m/>
  </r>
  <r>
    <s v="TXN_8374101"/>
    <x v="3"/>
    <n v="5"/>
    <n v="5"/>
    <n v="25"/>
    <x v="0"/>
    <x v="2"/>
    <d v="2023-08-16T00:00:00"/>
  </r>
  <r>
    <s v="TXN_5814878"/>
    <x v="4"/>
    <n v="2"/>
    <n v="4"/>
    <n v="8"/>
    <x v="3"/>
    <x v="2"/>
    <d v="2023-04-02T00:00:00"/>
  </r>
  <r>
    <s v="TXN_2398895"/>
    <x v="7"/>
    <n v="5"/>
    <n v="3"/>
    <n v="15"/>
    <x v="3"/>
    <x v="1"/>
    <d v="2023-04-04T00:00:00"/>
  </r>
  <r>
    <s v="TXN_1205020"/>
    <x v="8"/>
    <n v="5"/>
    <n v="1.5"/>
    <n v="7.5"/>
    <x v="1"/>
    <x v="2"/>
    <d v="2023-10-03T00:00:00"/>
  </r>
  <r>
    <s v="TXN_4620459"/>
    <x v="6"/>
    <n v="5"/>
    <n v="4"/>
    <n v="20"/>
    <x v="1"/>
    <x v="2"/>
    <m/>
  </r>
  <r>
    <s v="TXN_1631377"/>
    <x v="0"/>
    <n v="5"/>
    <n v="2"/>
    <n v="10"/>
    <x v="2"/>
    <x v="0"/>
    <d v="2023-06-07T00:00:00"/>
  </r>
  <r>
    <s v="TXN_6368424"/>
    <x v="2"/>
    <n v="3"/>
    <n v="1"/>
    <n v="3"/>
    <x v="2"/>
    <x v="2"/>
    <m/>
  </r>
  <r>
    <s v="TXN_8116676"/>
    <x v="1"/>
    <n v="2"/>
    <n v="3"/>
    <n v="6"/>
    <x v="3"/>
    <x v="2"/>
    <d v="2023-09-16T00:00:00"/>
  </r>
  <r>
    <s v="TXN_4116036"/>
    <x v="3"/>
    <n v="2"/>
    <n v="5"/>
    <n v="10"/>
    <x v="0"/>
    <x v="1"/>
    <d v="2023-01-22T00:00:00"/>
  </r>
  <r>
    <s v="TXN_3172090"/>
    <x v="7"/>
    <n v="1"/>
    <n v="3"/>
    <n v="3"/>
    <x v="0"/>
    <x v="2"/>
    <d v="2023-05-09T00:00:00"/>
  </r>
  <r>
    <s v="TXN_5193568"/>
    <x v="7"/>
    <n v="3"/>
    <n v="3"/>
    <n v="9"/>
    <x v="1"/>
    <x v="2"/>
    <d v="2023-12-10T00:00:00"/>
  </r>
  <r>
    <s v="TXN_3725152"/>
    <x v="0"/>
    <n v="5"/>
    <n v="2"/>
    <n v="10"/>
    <x v="2"/>
    <x v="2"/>
    <d v="2023-07-08T00:00:00"/>
  </r>
  <r>
    <s v="TXN_8724711"/>
    <x v="3"/>
    <n v="3"/>
    <n v="5"/>
    <n v="15"/>
    <x v="1"/>
    <x v="1"/>
    <d v="2023-02-07T00:00:00"/>
  </r>
  <r>
    <s v="TXN_9477344"/>
    <x v="5"/>
    <n v="2"/>
    <n v="1"/>
    <n v="2"/>
    <x v="0"/>
    <x v="1"/>
    <d v="2023-09-30T00:00:00"/>
  </r>
  <r>
    <s v="TXN_5899361"/>
    <x v="1"/>
    <n v="1"/>
    <n v="3"/>
    <n v="3"/>
    <x v="0"/>
    <x v="2"/>
    <d v="2023-08-08T00:00:00"/>
  </r>
  <r>
    <s v="TXN_8261380"/>
    <x v="1"/>
    <n v="3"/>
    <n v="3"/>
    <n v="9"/>
    <x v="1"/>
    <x v="1"/>
    <d v="2023-10-01T00:00:00"/>
  </r>
  <r>
    <s v="TXN_1188551"/>
    <x v="5"/>
    <n v="2"/>
    <n v="2"/>
    <n v="4"/>
    <x v="2"/>
    <x v="2"/>
    <d v="2023-03-20T00:00:00"/>
  </r>
  <r>
    <s v="TXN_1887250"/>
    <x v="8"/>
    <n v="3"/>
    <n v="1.5"/>
    <n v="4.5"/>
    <x v="2"/>
    <x v="0"/>
    <d v="2023-05-15T00:00:00"/>
  </r>
  <r>
    <s v="TXN_4799873"/>
    <x v="2"/>
    <n v="3"/>
    <n v="1"/>
    <n v="3"/>
    <x v="3"/>
    <x v="1"/>
    <d v="2023-03-04T00:00:00"/>
  </r>
  <r>
    <s v="TXN_9691151"/>
    <x v="0"/>
    <n v="4"/>
    <n v="2"/>
    <n v="8"/>
    <x v="2"/>
    <x v="1"/>
    <d v="2023-08-23T00:00:00"/>
  </r>
  <r>
    <s v="TXN_3014261"/>
    <x v="3"/>
    <n v="4"/>
    <n v="5"/>
    <n v="20"/>
    <x v="1"/>
    <x v="1"/>
    <d v="2023-11-29T00:00:00"/>
  </r>
  <r>
    <s v="TXN_9987991"/>
    <x v="4"/>
    <n v="4"/>
    <n v="4"/>
    <n v="16"/>
    <x v="0"/>
    <x v="0"/>
    <d v="2023-02-21T00:00:00"/>
  </r>
  <r>
    <s v="TXN_1093668"/>
    <x v="0"/>
    <n v="2"/>
    <n v="2"/>
    <n v="4"/>
    <x v="3"/>
    <x v="2"/>
    <d v="2023-05-18T00:00:00"/>
  </r>
  <r>
    <s v="TXN_8279966"/>
    <x v="0"/>
    <n v="3"/>
    <n v="2"/>
    <n v="6"/>
    <x v="1"/>
    <x v="1"/>
    <d v="2023-08-24T00:00:00"/>
  </r>
  <r>
    <s v="TXN_3977835"/>
    <x v="8"/>
    <n v="5"/>
    <n v="1.5"/>
    <n v="7.5"/>
    <x v="2"/>
    <x v="1"/>
    <d v="2023-05-06T00:00:00"/>
  </r>
  <r>
    <s v="TXN_1758689"/>
    <x v="4"/>
    <n v="3"/>
    <n v="4"/>
    <n v="12"/>
    <x v="1"/>
    <x v="2"/>
    <d v="2023-02-17T00:00:00"/>
  </r>
  <r>
    <s v="TXN_4312977"/>
    <x v="7"/>
    <n v="1"/>
    <n v="3"/>
    <n v="3"/>
    <x v="3"/>
    <x v="1"/>
    <d v="2023-03-15T00:00:00"/>
  </r>
  <r>
    <s v="TXN_6503526"/>
    <x v="2"/>
    <n v="5"/>
    <n v="1"/>
    <n v="5"/>
    <x v="0"/>
    <x v="1"/>
    <d v="2023-10-20T00:00:00"/>
  </r>
  <r>
    <s v="TXN_8676485"/>
    <x v="3"/>
    <n v="2"/>
    <n v="5"/>
    <n v="10"/>
    <x v="2"/>
    <x v="1"/>
    <d v="2023-04-28T00:00:00"/>
  </r>
  <r>
    <s v="TXN_7176851"/>
    <x v="8"/>
    <n v="4"/>
    <n v="1.5"/>
    <n v="6"/>
    <x v="0"/>
    <x v="0"/>
    <d v="2023-11-20T00:00:00"/>
  </r>
  <r>
    <s v="TXN_8695037"/>
    <x v="4"/>
    <n v="2"/>
    <n v="4"/>
    <n v="8"/>
    <x v="2"/>
    <x v="2"/>
    <d v="2023-01-24T00:00:00"/>
  </r>
  <r>
    <s v="TXN_6632882"/>
    <x v="4"/>
    <n v="1"/>
    <n v="4"/>
    <n v="4"/>
    <x v="3"/>
    <x v="1"/>
    <d v="2023-04-30T00:00:00"/>
  </r>
  <r>
    <s v="TXN_7775016"/>
    <x v="6"/>
    <n v="5"/>
    <n v="4"/>
    <n v="20"/>
    <x v="1"/>
    <x v="1"/>
    <d v="2023-09-27T00:00:00"/>
  </r>
  <r>
    <s v="TXN_2176024"/>
    <x v="0"/>
    <n v="5"/>
    <n v="2"/>
    <n v="10"/>
    <x v="3"/>
    <x v="1"/>
    <d v="2023-02-03T00:00:00"/>
  </r>
  <r>
    <s v="TXN_7051683"/>
    <x v="5"/>
    <n v="3"/>
    <n v="3"/>
    <n v="9"/>
    <x v="3"/>
    <x v="1"/>
    <d v="2023-11-16T00:00:00"/>
  </r>
  <r>
    <s v="TXN_3670041"/>
    <x v="4"/>
    <n v="3"/>
    <n v="4"/>
    <n v="12"/>
    <x v="3"/>
    <x v="2"/>
    <d v="2023-03-22T00:00:00"/>
  </r>
  <r>
    <s v="TXN_5124080"/>
    <x v="2"/>
    <n v="1"/>
    <n v="1"/>
    <n v="1"/>
    <x v="0"/>
    <x v="1"/>
    <d v="2023-01-14T00:00:00"/>
  </r>
  <r>
    <s v="TXN_3317649"/>
    <x v="6"/>
    <n v="3"/>
    <n v="4"/>
    <n v="12"/>
    <x v="2"/>
    <x v="0"/>
    <d v="2023-11-06T00:00:00"/>
  </r>
  <r>
    <s v="TXN_3953316"/>
    <x v="2"/>
    <n v="2"/>
    <n v="1"/>
    <n v="2"/>
    <x v="3"/>
    <x v="2"/>
    <d v="2023-06-06T00:00:00"/>
  </r>
  <r>
    <s v="TXN_6160209"/>
    <x v="3"/>
    <n v="3"/>
    <n v="5"/>
    <n v="15"/>
    <x v="2"/>
    <x v="1"/>
    <d v="2023-07-28T00:00:00"/>
  </r>
  <r>
    <s v="TXN_7089316"/>
    <x v="8"/>
    <n v="2"/>
    <n v="1.5"/>
    <n v="3"/>
    <x v="1"/>
    <x v="1"/>
    <d v="2023-11-27T00:00:00"/>
  </r>
  <r>
    <s v="TXN_5421310"/>
    <x v="0"/>
    <n v="4"/>
    <n v="2"/>
    <n v="8"/>
    <x v="3"/>
    <x v="1"/>
    <d v="2023-06-10T00:00:00"/>
  </r>
  <r>
    <s v="TXN_9081409"/>
    <x v="5"/>
    <n v="1"/>
    <n v="3"/>
    <n v="3"/>
    <x v="0"/>
    <x v="1"/>
    <d v="2023-06-16T00:00:00"/>
  </r>
  <r>
    <s v="TXN_6850528"/>
    <x v="2"/>
    <n v="3"/>
    <n v="1"/>
    <n v="3"/>
    <x v="1"/>
    <x v="1"/>
    <d v="2023-10-13T00:00:00"/>
  </r>
  <r>
    <s v="TXN_6900182"/>
    <x v="4"/>
    <n v="3"/>
    <n v="4"/>
    <n v="12"/>
    <x v="1"/>
    <x v="1"/>
    <d v="2023-09-10T00:00:00"/>
  </r>
  <r>
    <s v="TXN_2643748"/>
    <x v="3"/>
    <n v="3"/>
    <n v="5"/>
    <n v="15"/>
    <x v="1"/>
    <x v="2"/>
    <d v="2023-11-28T00:00:00"/>
  </r>
  <r>
    <s v="TXN_4858908"/>
    <x v="1"/>
    <n v="2"/>
    <n v="3"/>
    <n v="6"/>
    <x v="1"/>
    <x v="1"/>
    <d v="2023-02-11T00:00:00"/>
  </r>
  <r>
    <s v="TXN_8972137"/>
    <x v="5"/>
    <n v="4"/>
    <n v="3"/>
    <n v="12"/>
    <x v="0"/>
    <x v="1"/>
    <d v="2023-05-15T00:00:00"/>
  </r>
  <r>
    <s v="TXN_2828785"/>
    <x v="4"/>
    <n v="1"/>
    <n v="4"/>
    <n v="4"/>
    <x v="2"/>
    <x v="1"/>
    <d v="2023-01-24T00:00:00"/>
  </r>
  <r>
    <s v="TXN_3489721"/>
    <x v="0"/>
    <n v="3"/>
    <n v="2"/>
    <n v="6"/>
    <x v="1"/>
    <x v="2"/>
    <d v="2023-09-27T00:00:00"/>
  </r>
  <r>
    <s v="TXN_4791031"/>
    <x v="0"/>
    <n v="5"/>
    <n v="2"/>
    <n v="10"/>
    <x v="1"/>
    <x v="2"/>
    <m/>
  </r>
  <r>
    <s v="TXN_5223702"/>
    <x v="4"/>
    <n v="4"/>
    <n v="4"/>
    <n v="16"/>
    <x v="0"/>
    <x v="2"/>
    <d v="2023-06-23T00:00:00"/>
  </r>
  <r>
    <s v="TXN_2788676"/>
    <x v="2"/>
    <n v="2"/>
    <n v="1"/>
    <n v="2"/>
    <x v="3"/>
    <x v="2"/>
    <d v="2023-11-05T00:00:00"/>
  </r>
  <r>
    <s v="TXN_1643447"/>
    <x v="5"/>
    <n v="1"/>
    <n v="3"/>
    <n v="3"/>
    <x v="2"/>
    <x v="2"/>
    <d v="2023-09-03T00:00:00"/>
  </r>
  <r>
    <s v="TXN_5172164"/>
    <x v="8"/>
    <n v="3"/>
    <n v="1.5"/>
    <n v="4.5"/>
    <x v="3"/>
    <x v="1"/>
    <d v="2023-09-13T00:00:00"/>
  </r>
  <r>
    <s v="TXN_2818867"/>
    <x v="3"/>
    <n v="3"/>
    <n v="5"/>
    <n v="15"/>
    <x v="1"/>
    <x v="2"/>
    <d v="2023-01-11T00:00:00"/>
  </r>
  <r>
    <s v="TXN_1303984"/>
    <x v="3"/>
    <n v="4"/>
    <n v="5"/>
    <n v="20"/>
    <x v="3"/>
    <x v="2"/>
    <d v="2023-07-24T00:00:00"/>
  </r>
  <r>
    <s v="TXN_3373078"/>
    <x v="4"/>
    <n v="4"/>
    <n v="4"/>
    <n v="16"/>
    <x v="3"/>
    <x v="1"/>
    <d v="2023-12-01T00:00:00"/>
  </r>
  <r>
    <s v="TXN_3982146"/>
    <x v="0"/>
    <n v="3"/>
    <n v="2"/>
    <n v="6"/>
    <x v="2"/>
    <x v="1"/>
    <d v="2023-07-09T00:00:00"/>
  </r>
  <r>
    <s v="TXN_1185156"/>
    <x v="4"/>
    <n v="4"/>
    <n v="4"/>
    <n v="16"/>
    <x v="2"/>
    <x v="0"/>
    <d v="2023-03-23T00:00:00"/>
  </r>
  <r>
    <s v="TXN_6720290"/>
    <x v="4"/>
    <n v="1"/>
    <n v="4"/>
    <n v="4"/>
    <x v="2"/>
    <x v="1"/>
    <d v="2023-01-25T00:00:00"/>
  </r>
  <r>
    <s v="TXN_9365447"/>
    <x v="5"/>
    <n v="2"/>
    <n v="1.5"/>
    <n v="3"/>
    <x v="1"/>
    <x v="2"/>
    <d v="2023-12-10T00:00:00"/>
  </r>
  <r>
    <s v="TXN_7701878"/>
    <x v="4"/>
    <n v="4"/>
    <n v="4"/>
    <n v="16"/>
    <x v="0"/>
    <x v="1"/>
    <d v="2023-08-11T00:00:00"/>
  </r>
  <r>
    <s v="TXN_7677817"/>
    <x v="5"/>
    <n v="1"/>
    <n v="2"/>
    <n v="2"/>
    <x v="0"/>
    <x v="2"/>
    <d v="2023-01-17T00:00:00"/>
  </r>
  <r>
    <s v="TXN_9983530"/>
    <x v="4"/>
    <n v="3"/>
    <n v="4"/>
    <n v="12"/>
    <x v="2"/>
    <x v="2"/>
    <d v="2023-01-04T00:00:00"/>
  </r>
  <r>
    <s v="TXN_4755934"/>
    <x v="8"/>
    <n v="2"/>
    <n v="1.5"/>
    <n v="3"/>
    <x v="1"/>
    <x v="2"/>
    <d v="2023-12-29T00:00:00"/>
  </r>
  <r>
    <s v="TXN_2931198"/>
    <x v="1"/>
    <n v="2"/>
    <n v="3"/>
    <n v="6"/>
    <x v="0"/>
    <x v="1"/>
    <d v="2023-04-21T00:00:00"/>
  </r>
  <r>
    <s v="TXN_7426387"/>
    <x v="4"/>
    <n v="5"/>
    <n v="4"/>
    <n v="20"/>
    <x v="1"/>
    <x v="2"/>
    <d v="2023-10-30T00:00:00"/>
  </r>
  <r>
    <s v="TXN_3182547"/>
    <x v="7"/>
    <n v="3"/>
    <n v="3"/>
    <n v="9"/>
    <x v="3"/>
    <x v="0"/>
    <d v="2023-07-28T00:00:00"/>
  </r>
  <r>
    <s v="TXN_6980463"/>
    <x v="3"/>
    <n v="1"/>
    <n v="5"/>
    <n v="5"/>
    <x v="3"/>
    <x v="1"/>
    <d v="2023-09-03T00:00:00"/>
  </r>
  <r>
    <s v="TXN_6708165"/>
    <x v="7"/>
    <n v="5"/>
    <n v="3"/>
    <n v="15"/>
    <x v="2"/>
    <x v="1"/>
    <d v="2023-10-19T00:00:00"/>
  </r>
  <r>
    <s v="TXN_4310629"/>
    <x v="1"/>
    <n v="3"/>
    <n v="3"/>
    <n v="9"/>
    <x v="0"/>
    <x v="0"/>
    <d v="2023-10-02T00:00:00"/>
  </r>
  <r>
    <s v="TXN_4650611"/>
    <x v="0"/>
    <n v="1"/>
    <n v="2"/>
    <n v="2"/>
    <x v="0"/>
    <x v="2"/>
    <d v="2023-10-14T00:00:00"/>
  </r>
  <r>
    <s v="TXN_7952232"/>
    <x v="8"/>
    <n v="4"/>
    <n v="1.5"/>
    <n v="6"/>
    <x v="1"/>
    <x v="2"/>
    <d v="2023-03-31T00:00:00"/>
  </r>
  <r>
    <s v="TXN_1593691"/>
    <x v="6"/>
    <n v="2"/>
    <n v="4"/>
    <n v="8"/>
    <x v="2"/>
    <x v="2"/>
    <d v="2023-03-11T00:00:00"/>
  </r>
  <r>
    <s v="TXN_9432007"/>
    <x v="2"/>
    <n v="4"/>
    <n v="1"/>
    <n v="4"/>
    <x v="2"/>
    <x v="2"/>
    <m/>
  </r>
  <r>
    <s v="TXN_3781198"/>
    <x v="1"/>
    <n v="3"/>
    <n v="3"/>
    <n v="9"/>
    <x v="3"/>
    <x v="1"/>
    <d v="2023-11-04T00:00:00"/>
  </r>
  <r>
    <s v="TXN_3585464"/>
    <x v="2"/>
    <n v="3"/>
    <n v="1"/>
    <n v="3"/>
    <x v="2"/>
    <x v="0"/>
    <d v="2023-09-12T00:00:00"/>
  </r>
  <r>
    <s v="TXN_8286164"/>
    <x v="4"/>
    <n v="1"/>
    <n v="4"/>
    <n v="4"/>
    <x v="2"/>
    <x v="1"/>
    <d v="2023-03-08T00:00:00"/>
  </r>
  <r>
    <s v="TXN_8851113"/>
    <x v="8"/>
    <n v="3"/>
    <n v="1.5"/>
    <n v="4.5"/>
    <x v="3"/>
    <x v="2"/>
    <d v="2023-12-23T00:00:00"/>
  </r>
  <r>
    <s v="TXN_9131136"/>
    <x v="7"/>
    <n v="2"/>
    <n v="3"/>
    <n v="6"/>
    <x v="0"/>
    <x v="2"/>
    <d v="2023-03-20T00:00:00"/>
  </r>
  <r>
    <s v="TXN_8872160"/>
    <x v="3"/>
    <n v="5"/>
    <n v="5"/>
    <n v="25"/>
    <x v="3"/>
    <x v="2"/>
    <m/>
  </r>
  <r>
    <s v="TXN_1449065"/>
    <x v="3"/>
    <n v="2"/>
    <n v="5"/>
    <n v="10"/>
    <x v="1"/>
    <x v="2"/>
    <d v="2023-10-03T00:00:00"/>
  </r>
  <r>
    <s v="TXN_1230311"/>
    <x v="7"/>
    <n v="3"/>
    <n v="3"/>
    <n v="9"/>
    <x v="3"/>
    <x v="2"/>
    <d v="2023-08-14T00:00:00"/>
  </r>
  <r>
    <s v="TXN_2325484"/>
    <x v="3"/>
    <n v="1"/>
    <n v="5"/>
    <n v="5"/>
    <x v="3"/>
    <x v="0"/>
    <d v="2023-08-16T00:00:00"/>
  </r>
  <r>
    <s v="TXN_2647425"/>
    <x v="7"/>
    <n v="4"/>
    <n v="3"/>
    <n v="12"/>
    <x v="0"/>
    <x v="2"/>
    <d v="2023-07-30T00:00:00"/>
  </r>
  <r>
    <s v="TXN_5525916"/>
    <x v="0"/>
    <n v="2"/>
    <n v="2"/>
    <n v="4"/>
    <x v="1"/>
    <x v="0"/>
    <d v="2023-03-02T00:00:00"/>
  </r>
  <r>
    <s v="TXN_4297979"/>
    <x v="0"/>
    <n v="1"/>
    <n v="2"/>
    <n v="2"/>
    <x v="3"/>
    <x v="1"/>
    <d v="2023-08-14T00:00:00"/>
  </r>
  <r>
    <s v="TXN_1686323"/>
    <x v="4"/>
    <n v="4"/>
    <n v="4"/>
    <n v="16"/>
    <x v="3"/>
    <x v="1"/>
    <d v="2023-11-30T00:00:00"/>
  </r>
  <r>
    <s v="TXN_5373154"/>
    <x v="1"/>
    <n v="3"/>
    <n v="3"/>
    <n v="9"/>
    <x v="3"/>
    <x v="2"/>
    <d v="2023-04-06T00:00:00"/>
  </r>
  <r>
    <s v="TXN_6225571"/>
    <x v="4"/>
    <n v="2"/>
    <n v="4"/>
    <n v="8"/>
    <x v="0"/>
    <x v="0"/>
    <d v="2023-09-13T00:00:00"/>
  </r>
  <r>
    <s v="TXN_9772556"/>
    <x v="0"/>
    <n v="5"/>
    <n v="2"/>
    <n v="10"/>
    <x v="2"/>
    <x v="2"/>
    <d v="2023-10-20T00:00:00"/>
  </r>
  <r>
    <s v="TXN_3033598"/>
    <x v="6"/>
    <n v="5"/>
    <n v="4"/>
    <n v="20"/>
    <x v="1"/>
    <x v="0"/>
    <d v="2023-03-12T00:00:00"/>
  </r>
  <r>
    <s v="TXN_4382956"/>
    <x v="5"/>
    <n v="4"/>
    <n v="1.5"/>
    <n v="6"/>
    <x v="0"/>
    <x v="2"/>
    <d v="2023-11-16T00:00:00"/>
  </r>
  <r>
    <s v="TXN_8117583"/>
    <x v="3"/>
    <n v="1"/>
    <n v="5"/>
    <n v="5"/>
    <x v="1"/>
    <x v="1"/>
    <d v="2023-02-25T00:00:00"/>
  </r>
  <r>
    <s v="TXN_1101527"/>
    <x v="4"/>
    <n v="5"/>
    <n v="4"/>
    <n v="20"/>
    <x v="3"/>
    <x v="2"/>
    <d v="2023-04-20T00:00:00"/>
  </r>
  <r>
    <s v="TXN_2118759"/>
    <x v="0"/>
    <n v="2"/>
    <n v="2"/>
    <n v="4"/>
    <x v="3"/>
    <x v="2"/>
    <d v="2023-08-07T00:00:00"/>
  </r>
  <r>
    <s v="TXN_7603948"/>
    <x v="1"/>
    <n v="3"/>
    <n v="3"/>
    <n v="9"/>
    <x v="0"/>
    <x v="2"/>
    <d v="2023-01-28T00:00:00"/>
  </r>
  <r>
    <s v="TXN_5519424"/>
    <x v="8"/>
    <n v="2"/>
    <n v="1.5"/>
    <n v="3"/>
    <x v="3"/>
    <x v="2"/>
    <d v="2023-09-23T00:00:00"/>
  </r>
  <r>
    <s v="TXN_3483911"/>
    <x v="3"/>
    <n v="1"/>
    <n v="5"/>
    <n v="5"/>
    <x v="3"/>
    <x v="0"/>
    <d v="2023-07-10T00:00:00"/>
  </r>
  <r>
    <s v="TXN_5447967"/>
    <x v="4"/>
    <n v="2"/>
    <n v="4"/>
    <n v="8"/>
    <x v="0"/>
    <x v="2"/>
    <d v="2023-06-06T00:00:00"/>
  </r>
  <r>
    <s v="TXN_2893987"/>
    <x v="1"/>
    <n v="4"/>
    <n v="3"/>
    <n v="12"/>
    <x v="2"/>
    <x v="0"/>
    <d v="2023-05-31T00:00:00"/>
  </r>
  <r>
    <s v="TXN_5120215"/>
    <x v="0"/>
    <n v="2"/>
    <n v="2"/>
    <n v="4"/>
    <x v="3"/>
    <x v="2"/>
    <d v="2023-10-29T00:00:00"/>
  </r>
  <r>
    <s v="TXN_4417257"/>
    <x v="3"/>
    <n v="5"/>
    <n v="5"/>
    <n v="25"/>
    <x v="3"/>
    <x v="0"/>
    <d v="2023-05-06T00:00:00"/>
  </r>
  <r>
    <s v="TXN_2871592"/>
    <x v="2"/>
    <n v="4"/>
    <n v="1"/>
    <n v="4"/>
    <x v="1"/>
    <x v="1"/>
    <d v="2023-08-07T00:00:00"/>
  </r>
  <r>
    <s v="TXN_8283199"/>
    <x v="7"/>
    <n v="3"/>
    <n v="3"/>
    <n v="9"/>
    <x v="3"/>
    <x v="0"/>
    <d v="2023-01-23T00:00:00"/>
  </r>
  <r>
    <s v="TXN_1571874"/>
    <x v="1"/>
    <n v="1"/>
    <n v="3"/>
    <n v="3"/>
    <x v="3"/>
    <x v="2"/>
    <d v="2023-07-10T00:00:00"/>
  </r>
  <r>
    <s v="TXN_8059782"/>
    <x v="1"/>
    <n v="5"/>
    <n v="3"/>
    <n v="15"/>
    <x v="2"/>
    <x v="0"/>
    <m/>
  </r>
  <r>
    <s v="TXN_6534833"/>
    <x v="3"/>
    <n v="4"/>
    <n v="5"/>
    <n v="20"/>
    <x v="3"/>
    <x v="1"/>
    <d v="2023-12-14T00:00:00"/>
  </r>
  <r>
    <s v="TXN_6027500"/>
    <x v="4"/>
    <n v="4"/>
    <n v="4"/>
    <n v="16"/>
    <x v="2"/>
    <x v="2"/>
    <d v="2023-09-22T00:00:00"/>
  </r>
  <r>
    <s v="TXN_7029944"/>
    <x v="2"/>
    <n v="2"/>
    <n v="1"/>
    <n v="2"/>
    <x v="1"/>
    <x v="0"/>
    <d v="2023-04-17T00:00:00"/>
  </r>
  <r>
    <s v="TXN_3075169"/>
    <x v="6"/>
    <n v="2"/>
    <n v="4"/>
    <n v="8"/>
    <x v="0"/>
    <x v="1"/>
    <d v="2023-06-25T00:00:00"/>
  </r>
  <r>
    <s v="TXN_9791421"/>
    <x v="6"/>
    <n v="1"/>
    <n v="4"/>
    <n v="4"/>
    <x v="1"/>
    <x v="0"/>
    <d v="2023-07-15T00:00:00"/>
  </r>
  <r>
    <s v="TXN_6359031"/>
    <x v="0"/>
    <n v="1"/>
    <n v="2"/>
    <n v="2"/>
    <x v="2"/>
    <x v="2"/>
    <d v="2023-02-28T00:00:00"/>
  </r>
  <r>
    <s v="TXN_8236432"/>
    <x v="3"/>
    <n v="1"/>
    <n v="5"/>
    <n v="5"/>
    <x v="2"/>
    <x v="2"/>
    <d v="2023-12-04T00:00:00"/>
  </r>
  <r>
    <s v="TXN_7359566"/>
    <x v="0"/>
    <n v="1"/>
    <n v="2"/>
    <n v="2"/>
    <x v="1"/>
    <x v="1"/>
    <d v="2023-04-06T00:00:00"/>
  </r>
  <r>
    <s v="TXN_4813580"/>
    <x v="6"/>
    <n v="3"/>
    <n v="4"/>
    <n v="12"/>
    <x v="3"/>
    <x v="0"/>
    <d v="2023-04-15T00:00:00"/>
  </r>
  <r>
    <s v="TXN_9940829"/>
    <x v="4"/>
    <n v="3"/>
    <n v="4"/>
    <n v="12"/>
    <x v="2"/>
    <x v="1"/>
    <d v="2023-04-04T00:00:00"/>
  </r>
  <r>
    <s v="TXN_4583957"/>
    <x v="2"/>
    <n v="2"/>
    <n v="1"/>
    <n v="2"/>
    <x v="0"/>
    <x v="0"/>
    <d v="2023-10-08T00:00:00"/>
  </r>
  <r>
    <s v="TXN_8187222"/>
    <x v="0"/>
    <n v="4"/>
    <n v="2"/>
    <n v="8"/>
    <x v="0"/>
    <x v="2"/>
    <d v="2023-03-08T00:00:00"/>
  </r>
  <r>
    <s v="TXN_1298084"/>
    <x v="5"/>
    <n v="2"/>
    <n v="1.5"/>
    <n v="3"/>
    <x v="0"/>
    <x v="0"/>
    <d v="2023-01-02T00:00:00"/>
  </r>
  <r>
    <s v="TXN_4403699"/>
    <x v="5"/>
    <n v="1"/>
    <n v="1"/>
    <n v="1"/>
    <x v="0"/>
    <x v="2"/>
    <d v="2023-08-19T00:00:00"/>
  </r>
  <r>
    <s v="TXN_5639908"/>
    <x v="8"/>
    <n v="3"/>
    <n v="1.5"/>
    <n v="4.5"/>
    <x v="2"/>
    <x v="1"/>
    <m/>
  </r>
  <r>
    <s v="TXN_9005782"/>
    <x v="8"/>
    <n v="4"/>
    <n v="1.5"/>
    <n v="6"/>
    <x v="2"/>
    <x v="1"/>
    <d v="2023-06-18T00:00:00"/>
  </r>
  <r>
    <s v="TXN_5083311"/>
    <x v="6"/>
    <n v="4"/>
    <n v="4"/>
    <n v="16"/>
    <x v="3"/>
    <x v="2"/>
    <d v="2023-04-30T00:00:00"/>
  </r>
  <r>
    <s v="TXN_4325098"/>
    <x v="5"/>
    <n v="5"/>
    <n v="3"/>
    <n v="15"/>
    <x v="2"/>
    <x v="0"/>
    <m/>
  </r>
  <r>
    <s v="TXN_8847610"/>
    <x v="7"/>
    <n v="3"/>
    <n v="3"/>
    <n v="9"/>
    <x v="3"/>
    <x v="0"/>
    <d v="2023-12-06T00:00:00"/>
  </r>
  <r>
    <s v="TXN_9817102"/>
    <x v="0"/>
    <n v="3"/>
    <n v="2"/>
    <n v="6"/>
    <x v="0"/>
    <x v="1"/>
    <d v="2023-02-22T00:00:00"/>
  </r>
  <r>
    <s v="TXN_5566774"/>
    <x v="8"/>
    <n v="3"/>
    <n v="1.5"/>
    <n v="4.5"/>
    <x v="2"/>
    <x v="1"/>
    <d v="2023-03-29T00:00:00"/>
  </r>
  <r>
    <s v="TXN_5555790"/>
    <x v="8"/>
    <n v="5"/>
    <n v="1.5"/>
    <n v="7.5"/>
    <x v="0"/>
    <x v="1"/>
    <d v="2023-02-19T00:00:00"/>
  </r>
  <r>
    <s v="TXN_3575713"/>
    <x v="5"/>
    <n v="1"/>
    <n v="1.5"/>
    <n v="1.5"/>
    <x v="1"/>
    <x v="0"/>
    <d v="2023-02-18T00:00:00"/>
  </r>
  <r>
    <s v="TXN_5811955"/>
    <x v="3"/>
    <n v="2"/>
    <n v="5"/>
    <n v="10"/>
    <x v="0"/>
    <x v="0"/>
    <d v="2023-06-29T00:00:00"/>
  </r>
  <r>
    <s v="TXN_3737378"/>
    <x v="4"/>
    <n v="1"/>
    <n v="4"/>
    <n v="4"/>
    <x v="1"/>
    <x v="2"/>
    <m/>
  </r>
  <r>
    <s v="TXN_5406762"/>
    <x v="3"/>
    <n v="4"/>
    <n v="5"/>
    <n v="20"/>
    <x v="0"/>
    <x v="2"/>
    <d v="2023-09-12T00:00:00"/>
  </r>
  <r>
    <s v="TXN_3039985"/>
    <x v="2"/>
    <n v="5"/>
    <n v="1"/>
    <n v="5"/>
    <x v="3"/>
    <x v="1"/>
    <d v="2023-04-08T00:00:00"/>
  </r>
  <r>
    <s v="TXN_1424056"/>
    <x v="4"/>
    <n v="1"/>
    <n v="4"/>
    <n v="4"/>
    <x v="1"/>
    <x v="2"/>
    <d v="2023-07-31T00:00:00"/>
  </r>
  <r>
    <s v="TXN_1193221"/>
    <x v="8"/>
    <n v="3"/>
    <n v="1.5"/>
    <n v="4.5"/>
    <x v="0"/>
    <x v="1"/>
    <d v="2023-10-21T00:00:00"/>
  </r>
  <r>
    <s v="TXN_8610501"/>
    <x v="6"/>
    <n v="5"/>
    <n v="4"/>
    <n v="20"/>
    <x v="1"/>
    <x v="2"/>
    <d v="2023-09-29T00:00:00"/>
  </r>
  <r>
    <s v="TXN_9587445"/>
    <x v="0"/>
    <n v="4"/>
    <n v="2"/>
    <n v="8"/>
    <x v="2"/>
    <x v="1"/>
    <d v="2023-08-24T00:00:00"/>
  </r>
  <r>
    <s v="TXN_3694901"/>
    <x v="2"/>
    <n v="2"/>
    <n v="1"/>
    <n v="2"/>
    <x v="2"/>
    <x v="1"/>
    <d v="2023-08-16T00:00:00"/>
  </r>
  <r>
    <s v="TXN_5749454"/>
    <x v="7"/>
    <n v="4"/>
    <n v="3"/>
    <n v="12"/>
    <x v="3"/>
    <x v="0"/>
    <d v="2023-12-04T00:00:00"/>
  </r>
  <r>
    <s v="TXN_8356048"/>
    <x v="5"/>
    <n v="5"/>
    <n v="4"/>
    <n v="20"/>
    <x v="1"/>
    <x v="0"/>
    <d v="2023-06-05T00:00:00"/>
  </r>
  <r>
    <s v="TXN_3480278"/>
    <x v="4"/>
    <n v="4"/>
    <n v="4"/>
    <n v="16"/>
    <x v="3"/>
    <x v="1"/>
    <d v="2023-12-26T00:00:00"/>
  </r>
  <r>
    <s v="TXN_9252414"/>
    <x v="8"/>
    <n v="1"/>
    <n v="1.5"/>
    <n v="1.5"/>
    <x v="2"/>
    <x v="1"/>
    <d v="2023-11-13T00:00:00"/>
  </r>
  <r>
    <s v="TXN_3010103"/>
    <x v="5"/>
    <n v="5"/>
    <n v="4"/>
    <n v="20"/>
    <x v="2"/>
    <x v="2"/>
    <d v="2023-02-14T00:00:00"/>
  </r>
  <r>
    <s v="TXN_6699408"/>
    <x v="2"/>
    <n v="5"/>
    <n v="1"/>
    <n v="5"/>
    <x v="1"/>
    <x v="0"/>
    <d v="2023-12-22T00:00:00"/>
  </r>
  <r>
    <s v="TXN_6400351"/>
    <x v="7"/>
    <n v="2"/>
    <n v="3"/>
    <n v="6"/>
    <x v="3"/>
    <x v="0"/>
    <d v="2023-08-11T00:00:00"/>
  </r>
  <r>
    <s v="TXN_1559512"/>
    <x v="7"/>
    <n v="5"/>
    <n v="3"/>
    <n v="15"/>
    <x v="0"/>
    <x v="2"/>
    <d v="2023-11-28T00:00:00"/>
  </r>
  <r>
    <s v="TXN_6091543"/>
    <x v="0"/>
    <n v="3"/>
    <n v="2"/>
    <n v="6"/>
    <x v="2"/>
    <x v="1"/>
    <d v="2023-07-04T00:00:00"/>
  </r>
  <r>
    <s v="TXN_2842641"/>
    <x v="1"/>
    <n v="1"/>
    <n v="3"/>
    <n v="3"/>
    <x v="2"/>
    <x v="1"/>
    <d v="2023-06-11T00:00:00"/>
  </r>
  <r>
    <s v="TXN_8875043"/>
    <x v="3"/>
    <n v="4"/>
    <n v="5"/>
    <n v="20"/>
    <x v="3"/>
    <x v="2"/>
    <d v="2023-02-21T00:00:00"/>
  </r>
  <r>
    <s v="TXN_8212783"/>
    <x v="3"/>
    <n v="3"/>
    <n v="5"/>
    <n v="15"/>
    <x v="0"/>
    <x v="1"/>
    <d v="2023-03-30T00:00:00"/>
  </r>
  <r>
    <s v="TXN_2653400"/>
    <x v="4"/>
    <n v="1"/>
    <n v="4"/>
    <n v="4"/>
    <x v="1"/>
    <x v="2"/>
    <m/>
  </r>
  <r>
    <s v="TXN_7343062"/>
    <x v="6"/>
    <n v="5"/>
    <n v="4"/>
    <n v="20"/>
    <x v="3"/>
    <x v="1"/>
    <d v="2023-08-11T00:00:00"/>
  </r>
  <r>
    <s v="TXN_2535099"/>
    <x v="6"/>
    <n v="5"/>
    <n v="4"/>
    <n v="20"/>
    <x v="0"/>
    <x v="1"/>
    <d v="2023-02-10T00:00:00"/>
  </r>
  <r>
    <s v="TXN_2951148"/>
    <x v="6"/>
    <n v="4"/>
    <n v="4"/>
    <n v="16"/>
    <x v="1"/>
    <x v="1"/>
    <d v="2023-02-21T00:00:00"/>
  </r>
  <r>
    <s v="TXN_1294101"/>
    <x v="8"/>
    <n v="5"/>
    <n v="1.5"/>
    <n v="7.5"/>
    <x v="3"/>
    <x v="0"/>
    <d v="2023-03-31T00:00:00"/>
  </r>
  <r>
    <s v="TXN_5579227"/>
    <x v="4"/>
    <n v="4"/>
    <n v="4"/>
    <n v="16"/>
    <x v="3"/>
    <x v="2"/>
    <d v="2023-06-22T00:00:00"/>
  </r>
  <r>
    <s v="TXN_8534360"/>
    <x v="7"/>
    <n v="5"/>
    <n v="3"/>
    <n v="15"/>
    <x v="2"/>
    <x v="2"/>
    <d v="2023-02-15T00:00:00"/>
  </r>
  <r>
    <s v="TXN_4336247"/>
    <x v="0"/>
    <n v="5"/>
    <n v="2"/>
    <n v="10"/>
    <x v="3"/>
    <x v="0"/>
    <d v="2023-03-03T00:00:00"/>
  </r>
  <r>
    <s v="TXN_7101384"/>
    <x v="0"/>
    <n v="1"/>
    <n v="2"/>
    <n v="2"/>
    <x v="2"/>
    <x v="2"/>
    <d v="2023-04-23T00:00:00"/>
  </r>
  <r>
    <s v="TXN_1356599"/>
    <x v="2"/>
    <n v="2"/>
    <n v="1"/>
    <n v="2"/>
    <x v="1"/>
    <x v="0"/>
    <d v="2023-12-14T00:00:00"/>
  </r>
  <r>
    <s v="TXN_4568452"/>
    <x v="2"/>
    <n v="3"/>
    <n v="1"/>
    <n v="3"/>
    <x v="3"/>
    <x v="1"/>
    <d v="2023-01-14T00:00:00"/>
  </r>
  <r>
    <s v="TXN_5036856"/>
    <x v="0"/>
    <n v="5"/>
    <n v="2"/>
    <n v="10"/>
    <x v="1"/>
    <x v="1"/>
    <d v="2023-03-27T00:00:00"/>
  </r>
  <r>
    <s v="TXN_6927392"/>
    <x v="3"/>
    <n v="3"/>
    <n v="5"/>
    <n v="15"/>
    <x v="3"/>
    <x v="1"/>
    <m/>
  </r>
  <r>
    <s v="TXN_5167925"/>
    <x v="7"/>
    <n v="1"/>
    <n v="3"/>
    <n v="3"/>
    <x v="2"/>
    <x v="2"/>
    <d v="2023-09-11T00:00:00"/>
  </r>
  <r>
    <s v="TXN_1345440"/>
    <x v="3"/>
    <n v="5"/>
    <n v="5"/>
    <n v="25"/>
    <x v="1"/>
    <x v="2"/>
    <d v="2023-06-20T00:00:00"/>
  </r>
  <r>
    <s v="TXN_8043218"/>
    <x v="3"/>
    <n v="2"/>
    <n v="5"/>
    <n v="10"/>
    <x v="1"/>
    <x v="1"/>
    <d v="2023-10-23T00:00:00"/>
  </r>
  <r>
    <s v="TXN_4026277"/>
    <x v="8"/>
    <n v="3"/>
    <n v="1.5"/>
    <n v="4.5"/>
    <x v="3"/>
    <x v="1"/>
    <d v="2023-08-27T00:00:00"/>
  </r>
  <r>
    <s v="TXN_4991731"/>
    <x v="8"/>
    <n v="1"/>
    <n v="1.5"/>
    <n v="1.5"/>
    <x v="3"/>
    <x v="0"/>
    <d v="2023-11-07T00:00:00"/>
  </r>
  <r>
    <s v="TXN_6196052"/>
    <x v="4"/>
    <n v="5"/>
    <n v="4"/>
    <n v="20"/>
    <x v="1"/>
    <x v="0"/>
    <d v="2023-04-07T00:00:00"/>
  </r>
  <r>
    <s v="TXN_9563024"/>
    <x v="2"/>
    <n v="3"/>
    <n v="1"/>
    <n v="3"/>
    <x v="3"/>
    <x v="1"/>
    <d v="2023-09-27T00:00:00"/>
  </r>
  <r>
    <s v="TXN_8326905"/>
    <x v="0"/>
    <n v="5"/>
    <n v="2"/>
    <n v="10"/>
    <x v="2"/>
    <x v="0"/>
    <d v="2023-03-10T00:00:00"/>
  </r>
  <r>
    <s v="TXN_3474333"/>
    <x v="5"/>
    <n v="3"/>
    <n v="3"/>
    <n v="9"/>
    <x v="0"/>
    <x v="0"/>
    <d v="2023-01-13T00:00:00"/>
  </r>
  <r>
    <s v="TXN_9918597"/>
    <x v="4"/>
    <n v="4"/>
    <n v="4"/>
    <n v="16"/>
    <x v="3"/>
    <x v="1"/>
    <d v="2023-10-17T00:00:00"/>
  </r>
  <r>
    <s v="TXN_3460926"/>
    <x v="7"/>
    <n v="3"/>
    <n v="3"/>
    <n v="9"/>
    <x v="3"/>
    <x v="0"/>
    <d v="2023-03-25T00:00:00"/>
  </r>
  <r>
    <s v="TXN_2671272"/>
    <x v="4"/>
    <n v="1"/>
    <n v="4"/>
    <n v="4"/>
    <x v="3"/>
    <x v="2"/>
    <d v="2023-02-13T00:00:00"/>
  </r>
  <r>
    <s v="TXN_8437157"/>
    <x v="4"/>
    <n v="4"/>
    <n v="4"/>
    <n v="16"/>
    <x v="0"/>
    <x v="2"/>
    <d v="2023-02-09T00:00:00"/>
  </r>
  <r>
    <s v="TXN_3401287"/>
    <x v="5"/>
    <n v="3"/>
    <n v="4"/>
    <n v="12"/>
    <x v="1"/>
    <x v="2"/>
    <d v="2023-02-12T00:00:00"/>
  </r>
  <r>
    <s v="TXN_7309365"/>
    <x v="1"/>
    <n v="2"/>
    <n v="3"/>
    <n v="6"/>
    <x v="1"/>
    <x v="2"/>
    <d v="2023-08-31T00:00:00"/>
  </r>
  <r>
    <s v="TXN_2175096"/>
    <x v="5"/>
    <n v="1"/>
    <n v="1.5"/>
    <n v="1.5"/>
    <x v="2"/>
    <x v="1"/>
    <d v="2023-02-25T00:00:00"/>
  </r>
  <r>
    <s v="TXN_8872997"/>
    <x v="6"/>
    <n v="4"/>
    <n v="4"/>
    <n v="16"/>
    <x v="0"/>
    <x v="1"/>
    <d v="2023-01-31T00:00:00"/>
  </r>
  <r>
    <s v="TXN_8425085"/>
    <x v="7"/>
    <n v="1"/>
    <n v="3"/>
    <n v="3"/>
    <x v="0"/>
    <x v="2"/>
    <d v="2023-12-23T00:00:00"/>
  </r>
  <r>
    <s v="TXN_3237919"/>
    <x v="6"/>
    <n v="1"/>
    <n v="4"/>
    <n v="4"/>
    <x v="2"/>
    <x v="2"/>
    <d v="2023-02-04T00:00:00"/>
  </r>
  <r>
    <s v="TXN_4713643"/>
    <x v="0"/>
    <n v="5"/>
    <n v="2"/>
    <n v="10"/>
    <x v="2"/>
    <x v="2"/>
    <d v="2023-08-10T00:00:00"/>
  </r>
  <r>
    <s v="TXN_4806003"/>
    <x v="2"/>
    <n v="5"/>
    <n v="1"/>
    <n v="5"/>
    <x v="0"/>
    <x v="2"/>
    <d v="2023-08-06T00:00:00"/>
  </r>
  <r>
    <s v="TXN_9089797"/>
    <x v="0"/>
    <n v="1"/>
    <n v="2"/>
    <n v="2"/>
    <x v="0"/>
    <x v="0"/>
    <d v="2023-09-19T00:00:00"/>
  </r>
  <r>
    <s v="TXN_5449092"/>
    <x v="7"/>
    <n v="4"/>
    <n v="3"/>
    <n v="12"/>
    <x v="2"/>
    <x v="2"/>
    <d v="2023-06-11T00:00:00"/>
  </r>
  <r>
    <s v="TXN_6097144"/>
    <x v="7"/>
    <n v="5"/>
    <n v="3"/>
    <n v="15"/>
    <x v="2"/>
    <x v="0"/>
    <d v="2023-01-27T00:00:00"/>
  </r>
  <r>
    <s v="TXN_6483589"/>
    <x v="7"/>
    <n v="3"/>
    <n v="3"/>
    <n v="9"/>
    <x v="3"/>
    <x v="2"/>
    <d v="2023-10-13T00:00:00"/>
  </r>
  <r>
    <s v="TXN_8516055"/>
    <x v="5"/>
    <n v="5"/>
    <n v="4"/>
    <n v="20"/>
    <x v="0"/>
    <x v="0"/>
    <d v="2023-04-17T00:00:00"/>
  </r>
  <r>
    <s v="TXN_5430694"/>
    <x v="3"/>
    <n v="5"/>
    <n v="5"/>
    <n v="25"/>
    <x v="2"/>
    <x v="2"/>
    <d v="2023-08-24T00:00:00"/>
  </r>
  <r>
    <s v="TXN_3024493"/>
    <x v="4"/>
    <n v="1"/>
    <n v="4"/>
    <n v="4"/>
    <x v="0"/>
    <x v="1"/>
    <m/>
  </r>
  <r>
    <s v="TXN_2078232"/>
    <x v="8"/>
    <n v="1"/>
    <n v="1.5"/>
    <n v="1.5"/>
    <x v="2"/>
    <x v="2"/>
    <d v="2023-06-11T00:00:00"/>
  </r>
  <r>
    <s v="TXN_7551689"/>
    <x v="2"/>
    <n v="5"/>
    <n v="1"/>
    <n v="5"/>
    <x v="1"/>
    <x v="2"/>
    <d v="2023-09-16T00:00:00"/>
  </r>
  <r>
    <s v="TXN_8408103"/>
    <x v="6"/>
    <n v="5"/>
    <n v="4"/>
    <n v="20"/>
    <x v="2"/>
    <x v="0"/>
    <d v="2023-06-01T00:00:00"/>
  </r>
  <r>
    <s v="TXN_5862795"/>
    <x v="3"/>
    <n v="2"/>
    <n v="5"/>
    <n v="10"/>
    <x v="3"/>
    <x v="2"/>
    <d v="2023-02-25T00:00:00"/>
  </r>
  <r>
    <s v="TXN_9348801"/>
    <x v="1"/>
    <n v="1"/>
    <n v="3"/>
    <n v="3"/>
    <x v="2"/>
    <x v="2"/>
    <d v="2023-11-29T00:00:00"/>
  </r>
  <r>
    <s v="TXN_8688565"/>
    <x v="4"/>
    <n v="5"/>
    <n v="4"/>
    <n v="20"/>
    <x v="3"/>
    <x v="2"/>
    <d v="2023-05-23T00:00:00"/>
  </r>
  <r>
    <s v="TXN_3067195"/>
    <x v="3"/>
    <n v="3"/>
    <n v="5"/>
    <n v="15"/>
    <x v="1"/>
    <x v="2"/>
    <d v="2023-12-03T00:00:00"/>
  </r>
  <r>
    <s v="TXN_2710603"/>
    <x v="4"/>
    <n v="5"/>
    <n v="4"/>
    <n v="20"/>
    <x v="2"/>
    <x v="0"/>
    <d v="2023-02-02T00:00:00"/>
  </r>
  <r>
    <s v="TXN_8978004"/>
    <x v="0"/>
    <n v="2"/>
    <n v="2"/>
    <n v="4"/>
    <x v="3"/>
    <x v="1"/>
    <d v="2023-04-01T00:00:00"/>
  </r>
  <r>
    <s v="TXN_9679889"/>
    <x v="6"/>
    <n v="3"/>
    <n v="4"/>
    <n v="12"/>
    <x v="0"/>
    <x v="1"/>
    <d v="2023-06-18T00:00:00"/>
  </r>
  <r>
    <s v="TXN_9818163"/>
    <x v="8"/>
    <n v="2"/>
    <n v="1.5"/>
    <n v="3"/>
    <x v="3"/>
    <x v="2"/>
    <d v="2023-10-23T00:00:00"/>
  </r>
  <r>
    <s v="TXN_7010020"/>
    <x v="1"/>
    <n v="5"/>
    <n v="3"/>
    <n v="15"/>
    <x v="2"/>
    <x v="1"/>
    <d v="2023-08-07T00:00:00"/>
  </r>
  <r>
    <s v="TXN_1712662"/>
    <x v="7"/>
    <n v="2"/>
    <n v="3"/>
    <n v="6"/>
    <x v="1"/>
    <x v="2"/>
    <d v="2023-05-31T00:00:00"/>
  </r>
  <r>
    <s v="TXN_4077799"/>
    <x v="1"/>
    <n v="4"/>
    <n v="3"/>
    <n v="12"/>
    <x v="3"/>
    <x v="0"/>
    <d v="2023-08-12T00:00:00"/>
  </r>
  <r>
    <s v="TXN_8225571"/>
    <x v="8"/>
    <n v="4"/>
    <n v="1.5"/>
    <n v="6"/>
    <x v="3"/>
    <x v="2"/>
    <d v="2023-01-17T00:00:00"/>
  </r>
  <r>
    <s v="TXN_3103520"/>
    <x v="1"/>
    <n v="3"/>
    <n v="3"/>
    <n v="9"/>
    <x v="2"/>
    <x v="2"/>
    <d v="2023-09-04T00:00:00"/>
  </r>
  <r>
    <s v="TXN_2084080"/>
    <x v="2"/>
    <n v="4"/>
    <n v="1"/>
    <n v="4"/>
    <x v="3"/>
    <x v="0"/>
    <d v="2023-09-22T00:00:00"/>
  </r>
  <r>
    <s v="TXN_2740398"/>
    <x v="2"/>
    <n v="4"/>
    <n v="1"/>
    <n v="4"/>
    <x v="3"/>
    <x v="1"/>
    <m/>
  </r>
  <r>
    <s v="TXN_8046057"/>
    <x v="0"/>
    <n v="1"/>
    <n v="2"/>
    <n v="2"/>
    <x v="0"/>
    <x v="1"/>
    <d v="2023-11-24T00:00:00"/>
  </r>
  <r>
    <s v="TXN_5832968"/>
    <x v="3"/>
    <n v="5"/>
    <n v="5"/>
    <n v="25"/>
    <x v="2"/>
    <x v="0"/>
    <d v="2023-06-05T00:00:00"/>
  </r>
  <r>
    <s v="TXN_6995665"/>
    <x v="8"/>
    <n v="2"/>
    <n v="1.5"/>
    <n v="3"/>
    <x v="2"/>
    <x v="2"/>
    <m/>
  </r>
  <r>
    <s v="TXN_3752448"/>
    <x v="1"/>
    <n v="5"/>
    <n v="3"/>
    <n v="15"/>
    <x v="3"/>
    <x v="0"/>
    <d v="2023-05-16T00:00:00"/>
  </r>
  <r>
    <s v="TXN_3842881"/>
    <x v="3"/>
    <n v="5"/>
    <n v="5"/>
    <n v="25"/>
    <x v="2"/>
    <x v="2"/>
    <d v="2023-01-25T00:00:00"/>
  </r>
  <r>
    <s v="TXN_4060160"/>
    <x v="0"/>
    <n v="4"/>
    <n v="2"/>
    <n v="8"/>
    <x v="2"/>
    <x v="1"/>
    <d v="2023-07-05T00:00:00"/>
  </r>
  <r>
    <s v="TXN_3847405"/>
    <x v="6"/>
    <n v="1"/>
    <n v="4"/>
    <n v="4"/>
    <x v="3"/>
    <x v="0"/>
    <d v="2023-06-15T00:00:00"/>
  </r>
  <r>
    <s v="TXN_5103644"/>
    <x v="1"/>
    <n v="4"/>
    <n v="3"/>
    <n v="12"/>
    <x v="0"/>
    <x v="0"/>
    <d v="2023-04-17T00:00:00"/>
  </r>
  <r>
    <s v="TXN_6846020"/>
    <x v="7"/>
    <n v="5"/>
    <n v="3"/>
    <n v="15"/>
    <x v="2"/>
    <x v="0"/>
    <d v="2023-05-03T00:00:00"/>
  </r>
  <r>
    <s v="TXN_7763764"/>
    <x v="2"/>
    <n v="2"/>
    <n v="1"/>
    <n v="2"/>
    <x v="2"/>
    <x v="1"/>
    <m/>
  </r>
  <r>
    <s v="TXN_4758849"/>
    <x v="1"/>
    <n v="2"/>
    <n v="3"/>
    <n v="6"/>
    <x v="2"/>
    <x v="2"/>
    <d v="2023-06-23T00:00:00"/>
  </r>
  <r>
    <s v="TXN_1034651"/>
    <x v="6"/>
    <n v="3"/>
    <n v="4"/>
    <n v="12"/>
    <x v="2"/>
    <x v="0"/>
    <d v="2023-07-06T00:00:00"/>
  </r>
  <r>
    <s v="TXN_4128921"/>
    <x v="3"/>
    <n v="4"/>
    <n v="5"/>
    <n v="20"/>
    <x v="2"/>
    <x v="0"/>
    <d v="2023-09-11T00:00:00"/>
  </r>
  <r>
    <s v="TXN_8925566"/>
    <x v="8"/>
    <n v="2"/>
    <n v="1.5"/>
    <n v="3"/>
    <x v="3"/>
    <x v="1"/>
    <d v="2023-08-07T00:00:00"/>
  </r>
  <r>
    <s v="TXN_1679800"/>
    <x v="4"/>
    <n v="4"/>
    <n v="4"/>
    <n v="16"/>
    <x v="1"/>
    <x v="1"/>
    <d v="2023-10-17T00:00:00"/>
  </r>
  <r>
    <s v="TXN_3785678"/>
    <x v="8"/>
    <n v="1"/>
    <n v="1.5"/>
    <n v="1.5"/>
    <x v="0"/>
    <x v="0"/>
    <d v="2023-03-13T00:00:00"/>
  </r>
  <r>
    <s v="TXN_1056256"/>
    <x v="1"/>
    <n v="4"/>
    <n v="3"/>
    <n v="12"/>
    <x v="2"/>
    <x v="1"/>
    <d v="2023-12-04T00:00:00"/>
  </r>
  <r>
    <s v="TXN_8712303"/>
    <x v="5"/>
    <n v="2"/>
    <n v="3"/>
    <n v="6"/>
    <x v="0"/>
    <x v="0"/>
    <d v="2023-08-14T00:00:00"/>
  </r>
  <r>
    <s v="TXN_2289122"/>
    <x v="4"/>
    <n v="4"/>
    <n v="4"/>
    <n v="16"/>
    <x v="1"/>
    <x v="1"/>
    <d v="2023-08-20T00:00:00"/>
  </r>
  <r>
    <s v="TXN_2988434"/>
    <x v="7"/>
    <n v="1"/>
    <n v="3"/>
    <n v="3"/>
    <x v="3"/>
    <x v="1"/>
    <d v="2023-12-09T00:00:00"/>
  </r>
  <r>
    <s v="TXN_1197536"/>
    <x v="3"/>
    <n v="3"/>
    <n v="5"/>
    <n v="15"/>
    <x v="2"/>
    <x v="0"/>
    <d v="2023-10-02T00:00:00"/>
  </r>
  <r>
    <s v="TXN_7327362"/>
    <x v="0"/>
    <n v="5"/>
    <n v="2"/>
    <n v="10"/>
    <x v="0"/>
    <x v="1"/>
    <d v="2023-06-29T00:00:00"/>
  </r>
  <r>
    <s v="TXN_5628251"/>
    <x v="1"/>
    <n v="4"/>
    <n v="3"/>
    <n v="12"/>
    <x v="0"/>
    <x v="2"/>
    <d v="2023-11-14T00:00:00"/>
  </r>
  <r>
    <s v="TXN_2687748"/>
    <x v="7"/>
    <n v="3"/>
    <n v="3"/>
    <n v="9"/>
    <x v="2"/>
    <x v="0"/>
    <d v="2023-02-26T00:00:00"/>
  </r>
  <r>
    <s v="TXN_8309656"/>
    <x v="6"/>
    <n v="3"/>
    <n v="4"/>
    <n v="12"/>
    <x v="2"/>
    <x v="0"/>
    <d v="2023-01-04T00:00:00"/>
  </r>
  <r>
    <s v="TXN_7597276"/>
    <x v="4"/>
    <n v="4"/>
    <n v="4"/>
    <n v="16"/>
    <x v="3"/>
    <x v="2"/>
    <d v="2023-05-01T00:00:00"/>
  </r>
  <r>
    <s v="TXN_4360906"/>
    <x v="6"/>
    <n v="2"/>
    <n v="4"/>
    <n v="8"/>
    <x v="2"/>
    <x v="1"/>
    <d v="2023-06-11T00:00:00"/>
  </r>
  <r>
    <s v="TXN_6000890"/>
    <x v="0"/>
    <n v="3"/>
    <n v="2"/>
    <n v="6"/>
    <x v="3"/>
    <x v="1"/>
    <d v="2023-01-06T00:00:00"/>
  </r>
  <r>
    <s v="TXN_8917565"/>
    <x v="0"/>
    <n v="1"/>
    <n v="2"/>
    <n v="2"/>
    <x v="1"/>
    <x v="2"/>
    <d v="2023-11-19T00:00:00"/>
  </r>
  <r>
    <s v="TXN_6264113"/>
    <x v="0"/>
    <n v="4"/>
    <n v="2"/>
    <n v="8"/>
    <x v="2"/>
    <x v="2"/>
    <d v="2023-12-02T00:00:00"/>
  </r>
  <r>
    <s v="TXN_3603434"/>
    <x v="0"/>
    <n v="5"/>
    <n v="2"/>
    <n v="10"/>
    <x v="2"/>
    <x v="1"/>
    <d v="2023-01-05T00:00:00"/>
  </r>
  <r>
    <s v="TXN_7976129"/>
    <x v="1"/>
    <n v="3"/>
    <n v="3"/>
    <n v="9"/>
    <x v="2"/>
    <x v="1"/>
    <d v="2023-03-03T00:00:00"/>
  </r>
  <r>
    <s v="TXN_7420434"/>
    <x v="0"/>
    <n v="4"/>
    <n v="2"/>
    <n v="8"/>
    <x v="0"/>
    <x v="0"/>
    <d v="2023-07-16T00:00:00"/>
  </r>
  <r>
    <s v="TXN_5818852"/>
    <x v="7"/>
    <n v="2"/>
    <n v="3"/>
    <n v="6"/>
    <x v="2"/>
    <x v="2"/>
    <d v="2023-03-04T00:00:00"/>
  </r>
  <r>
    <s v="TXN_9976598"/>
    <x v="7"/>
    <n v="4"/>
    <n v="3"/>
    <n v="12"/>
    <x v="2"/>
    <x v="0"/>
    <d v="2023-01-10T00:00:00"/>
  </r>
  <r>
    <s v="TXN_1556046"/>
    <x v="6"/>
    <n v="4"/>
    <n v="4"/>
    <n v="16"/>
    <x v="0"/>
    <x v="0"/>
    <d v="2023-04-09T00:00:00"/>
  </r>
  <r>
    <s v="TXN_7129511"/>
    <x v="0"/>
    <n v="5"/>
    <n v="2"/>
    <n v="10"/>
    <x v="1"/>
    <x v="0"/>
    <d v="2023-10-29T00:00:00"/>
  </r>
  <r>
    <s v="TXN_6324434"/>
    <x v="0"/>
    <n v="4"/>
    <n v="2"/>
    <n v="8"/>
    <x v="1"/>
    <x v="0"/>
    <d v="2023-12-04T00:00:00"/>
  </r>
  <r>
    <s v="TXN_2380352"/>
    <x v="8"/>
    <n v="3"/>
    <n v="1.5"/>
    <n v="4.5"/>
    <x v="3"/>
    <x v="2"/>
    <d v="2023-11-03T00:00:00"/>
  </r>
  <r>
    <s v="TXN_6455325"/>
    <x v="7"/>
    <n v="4"/>
    <n v="3"/>
    <n v="12"/>
    <x v="0"/>
    <x v="1"/>
    <d v="2023-01-05T00:00:00"/>
  </r>
  <r>
    <s v="TXN_6682253"/>
    <x v="8"/>
    <n v="5"/>
    <n v="1.5"/>
    <n v="7.5"/>
    <x v="1"/>
    <x v="1"/>
    <d v="2023-02-17T00:00:00"/>
  </r>
  <r>
    <s v="TXN_8220657"/>
    <x v="5"/>
    <n v="2"/>
    <n v="1.5"/>
    <n v="3"/>
    <x v="1"/>
    <x v="2"/>
    <d v="2023-08-13T00:00:00"/>
  </r>
  <r>
    <s v="TXN_7819240"/>
    <x v="4"/>
    <n v="5"/>
    <n v="4"/>
    <n v="20"/>
    <x v="1"/>
    <x v="1"/>
    <d v="2023-03-06T00:00:00"/>
  </r>
  <r>
    <s v="TXN_4451380"/>
    <x v="2"/>
    <n v="3"/>
    <n v="1"/>
    <n v="3"/>
    <x v="3"/>
    <x v="1"/>
    <d v="2023-07-10T00:00:00"/>
  </r>
  <r>
    <s v="TXN_2482298"/>
    <x v="3"/>
    <n v="2"/>
    <n v="5"/>
    <n v="10"/>
    <x v="2"/>
    <x v="0"/>
    <d v="2023-06-15T00:00:00"/>
  </r>
  <r>
    <s v="TXN_2606750"/>
    <x v="8"/>
    <n v="3"/>
    <n v="1.5"/>
    <n v="4.5"/>
    <x v="1"/>
    <x v="2"/>
    <d v="2023-06-20T00:00:00"/>
  </r>
  <r>
    <s v="TXN_4493874"/>
    <x v="2"/>
    <n v="5"/>
    <n v="1"/>
    <n v="5"/>
    <x v="2"/>
    <x v="1"/>
    <d v="2023-11-19T00:00:00"/>
  </r>
  <r>
    <s v="TXN_2705302"/>
    <x v="3"/>
    <n v="2"/>
    <n v="5"/>
    <n v="10"/>
    <x v="0"/>
    <x v="2"/>
    <d v="2023-01-18T00:00:00"/>
  </r>
  <r>
    <s v="TXN_3706167"/>
    <x v="6"/>
    <n v="5"/>
    <n v="4"/>
    <n v="20"/>
    <x v="3"/>
    <x v="0"/>
    <d v="2023-10-02T00:00:00"/>
  </r>
  <r>
    <s v="TXN_7414587"/>
    <x v="8"/>
    <n v="3"/>
    <n v="1.5"/>
    <n v="4.5"/>
    <x v="1"/>
    <x v="0"/>
    <d v="2023-03-22T00:00:00"/>
  </r>
  <r>
    <s v="TXN_3360649"/>
    <x v="2"/>
    <n v="2"/>
    <n v="1"/>
    <n v="2"/>
    <x v="2"/>
    <x v="0"/>
    <d v="2023-09-10T00:00:00"/>
  </r>
  <r>
    <s v="TXN_6132245"/>
    <x v="3"/>
    <n v="2"/>
    <n v="5"/>
    <n v="10"/>
    <x v="3"/>
    <x v="2"/>
    <d v="2023-06-01T00:00:00"/>
  </r>
  <r>
    <s v="TXN_2633322"/>
    <x v="3"/>
    <n v="4"/>
    <n v="5"/>
    <n v="20"/>
    <x v="3"/>
    <x v="2"/>
    <d v="2023-01-15T00:00:00"/>
  </r>
  <r>
    <s v="TXN_9910333"/>
    <x v="1"/>
    <n v="2"/>
    <n v="3"/>
    <n v="6"/>
    <x v="2"/>
    <x v="1"/>
    <d v="2023-09-15T00:00:00"/>
  </r>
  <r>
    <s v="TXN_7321479"/>
    <x v="1"/>
    <n v="1"/>
    <n v="3"/>
    <n v="3"/>
    <x v="2"/>
    <x v="2"/>
    <d v="2023-10-31T00:00:00"/>
  </r>
  <r>
    <s v="TXN_4315166"/>
    <x v="6"/>
    <n v="2"/>
    <n v="4"/>
    <n v="8"/>
    <x v="3"/>
    <x v="0"/>
    <d v="2023-06-10T00:00:00"/>
  </r>
  <r>
    <s v="TXN_7843112"/>
    <x v="2"/>
    <n v="4"/>
    <n v="1"/>
    <n v="4"/>
    <x v="2"/>
    <x v="2"/>
    <d v="2023-01-25T00:00:00"/>
  </r>
  <r>
    <s v="TXN_2879791"/>
    <x v="6"/>
    <n v="1"/>
    <n v="4"/>
    <n v="4"/>
    <x v="2"/>
    <x v="2"/>
    <d v="2023-07-10T00:00:00"/>
  </r>
  <r>
    <s v="TXN_2503128"/>
    <x v="1"/>
    <n v="1"/>
    <n v="3"/>
    <n v="3"/>
    <x v="1"/>
    <x v="1"/>
    <d v="2023-01-12T00:00:00"/>
  </r>
  <r>
    <s v="TXN_3091574"/>
    <x v="2"/>
    <n v="5"/>
    <n v="1"/>
    <n v="5"/>
    <x v="2"/>
    <x v="1"/>
    <d v="2023-07-29T00:00:00"/>
  </r>
  <r>
    <s v="TXN_2371763"/>
    <x v="6"/>
    <n v="4"/>
    <n v="4"/>
    <n v="16"/>
    <x v="1"/>
    <x v="2"/>
    <d v="2023-05-17T00:00:00"/>
  </r>
  <r>
    <s v="TXN_5726114"/>
    <x v="4"/>
    <n v="3"/>
    <n v="4"/>
    <n v="12"/>
    <x v="3"/>
    <x v="0"/>
    <d v="2023-07-14T00:00:00"/>
  </r>
  <r>
    <s v="TXN_1079844"/>
    <x v="3"/>
    <n v="2"/>
    <n v="5"/>
    <n v="10"/>
    <x v="3"/>
    <x v="2"/>
    <d v="2023-10-27T00:00:00"/>
  </r>
  <r>
    <s v="TXN_8726097"/>
    <x v="8"/>
    <n v="1"/>
    <n v="1.5"/>
    <n v="1.5"/>
    <x v="3"/>
    <x v="0"/>
    <m/>
  </r>
  <r>
    <s v="TXN_1633337"/>
    <x v="3"/>
    <n v="5"/>
    <n v="5"/>
    <n v="25"/>
    <x v="0"/>
    <x v="2"/>
    <d v="2023-06-29T00:00:00"/>
  </r>
  <r>
    <s v="TXN_5222176"/>
    <x v="2"/>
    <n v="4"/>
    <n v="1"/>
    <n v="4"/>
    <x v="2"/>
    <x v="1"/>
    <d v="2023-01-11T00:00:00"/>
  </r>
  <r>
    <s v="TXN_7480940"/>
    <x v="0"/>
    <n v="2"/>
    <n v="2"/>
    <n v="4"/>
    <x v="1"/>
    <x v="1"/>
    <d v="2023-01-25T00:00:00"/>
  </r>
  <r>
    <s v="TXN_2437508"/>
    <x v="3"/>
    <n v="2"/>
    <n v="5"/>
    <n v="10"/>
    <x v="2"/>
    <x v="0"/>
    <d v="2023-11-20T00:00:00"/>
  </r>
  <r>
    <s v="TXN_7445500"/>
    <x v="3"/>
    <n v="4"/>
    <n v="5"/>
    <n v="20"/>
    <x v="1"/>
    <x v="1"/>
    <m/>
  </r>
  <r>
    <s v="TXN_5036614"/>
    <x v="4"/>
    <n v="4"/>
    <n v="4"/>
    <n v="16"/>
    <x v="3"/>
    <x v="1"/>
    <d v="2023-10-10T00:00:00"/>
  </r>
  <r>
    <s v="TXN_9731164"/>
    <x v="3"/>
    <n v="1"/>
    <n v="5"/>
    <n v="5"/>
    <x v="1"/>
    <x v="2"/>
    <d v="2023-12-07T00:00:00"/>
  </r>
  <r>
    <s v="TXN_1417291"/>
    <x v="7"/>
    <n v="4"/>
    <n v="3"/>
    <n v="12"/>
    <x v="3"/>
    <x v="1"/>
    <d v="2023-05-11T00:00:00"/>
  </r>
  <r>
    <s v="TXN_9792093"/>
    <x v="6"/>
    <n v="1"/>
    <n v="4"/>
    <n v="4"/>
    <x v="2"/>
    <x v="1"/>
    <d v="2023-09-28T00:00:00"/>
  </r>
  <r>
    <s v="TXN_9989239"/>
    <x v="8"/>
    <n v="5"/>
    <n v="1.5"/>
    <n v="7.5"/>
    <x v="2"/>
    <x v="1"/>
    <d v="2023-04-28T00:00:00"/>
  </r>
  <r>
    <s v="TXN_6055570"/>
    <x v="8"/>
    <n v="3"/>
    <n v="1.5"/>
    <n v="4.5"/>
    <x v="1"/>
    <x v="2"/>
    <d v="2023-02-06T00:00:00"/>
  </r>
  <r>
    <s v="TXN_1231531"/>
    <x v="0"/>
    <n v="5"/>
    <n v="2"/>
    <n v="10"/>
    <x v="3"/>
    <x v="1"/>
    <d v="2023-07-24T00:00:00"/>
  </r>
  <r>
    <s v="TXN_8843108"/>
    <x v="7"/>
    <n v="5"/>
    <n v="3"/>
    <n v="15"/>
    <x v="2"/>
    <x v="2"/>
    <d v="2023-07-18T00:00:00"/>
  </r>
  <r>
    <s v="TXN_4643305"/>
    <x v="2"/>
    <n v="4"/>
    <n v="1"/>
    <n v="4"/>
    <x v="2"/>
    <x v="0"/>
    <d v="2023-04-12T00:00:00"/>
  </r>
  <r>
    <s v="TXN_8754977"/>
    <x v="6"/>
    <n v="3"/>
    <n v="4"/>
    <n v="12"/>
    <x v="3"/>
    <x v="1"/>
    <d v="2023-10-24T00:00:00"/>
  </r>
  <r>
    <s v="TXN_2052060"/>
    <x v="6"/>
    <n v="3"/>
    <n v="4"/>
    <n v="12"/>
    <x v="1"/>
    <x v="0"/>
    <d v="2023-11-07T00:00:00"/>
  </r>
  <r>
    <s v="TXN_1275124"/>
    <x v="0"/>
    <n v="3"/>
    <n v="2"/>
    <n v="6"/>
    <x v="2"/>
    <x v="2"/>
    <d v="2023-06-21T00:00:00"/>
  </r>
  <r>
    <s v="TXN_3534536"/>
    <x v="0"/>
    <n v="1"/>
    <n v="2"/>
    <n v="2"/>
    <x v="0"/>
    <x v="2"/>
    <d v="2023-02-02T00:00:00"/>
  </r>
  <r>
    <s v="TXN_1779679"/>
    <x v="0"/>
    <n v="5"/>
    <n v="2"/>
    <n v="10"/>
    <x v="2"/>
    <x v="1"/>
    <d v="2023-01-06T00:00:00"/>
  </r>
  <r>
    <s v="TXN_4583908"/>
    <x v="6"/>
    <n v="1"/>
    <n v="4"/>
    <n v="4"/>
    <x v="3"/>
    <x v="2"/>
    <d v="2023-06-04T00:00:00"/>
  </r>
  <r>
    <s v="TXN_6379692"/>
    <x v="2"/>
    <n v="5"/>
    <n v="1"/>
    <n v="5"/>
    <x v="3"/>
    <x v="0"/>
    <d v="2023-11-05T00:00:00"/>
  </r>
  <r>
    <s v="TXN_3999862"/>
    <x v="8"/>
    <n v="4"/>
    <n v="1.5"/>
    <n v="6"/>
    <x v="2"/>
    <x v="1"/>
    <d v="2023-07-11T00:00:00"/>
  </r>
  <r>
    <s v="TXN_7694326"/>
    <x v="0"/>
    <n v="5"/>
    <n v="2"/>
    <n v="10"/>
    <x v="2"/>
    <x v="2"/>
    <d v="2023-02-19T00:00:00"/>
  </r>
  <r>
    <s v="TXN_1171080"/>
    <x v="6"/>
    <n v="3"/>
    <n v="4"/>
    <n v="12"/>
    <x v="0"/>
    <x v="2"/>
    <d v="2023-07-29T00:00:00"/>
  </r>
  <r>
    <s v="TXN_5658895"/>
    <x v="7"/>
    <n v="2"/>
    <n v="3"/>
    <n v="6"/>
    <x v="1"/>
    <x v="2"/>
    <d v="2023-09-21T00:00:00"/>
  </r>
  <r>
    <s v="TXN_7704680"/>
    <x v="5"/>
    <n v="2"/>
    <n v="5"/>
    <n v="10"/>
    <x v="0"/>
    <x v="2"/>
    <d v="2023-08-06T00:00:00"/>
  </r>
  <r>
    <s v="TXN_6395070"/>
    <x v="4"/>
    <n v="4"/>
    <n v="4"/>
    <n v="16"/>
    <x v="0"/>
    <x v="2"/>
    <d v="2023-12-10T00:00:00"/>
  </r>
  <r>
    <s v="TXN_9576454"/>
    <x v="7"/>
    <n v="1"/>
    <n v="3"/>
    <n v="3"/>
    <x v="0"/>
    <x v="1"/>
    <d v="2023-09-23T00:00:00"/>
  </r>
  <r>
    <s v="TXN_7907259"/>
    <x v="1"/>
    <n v="1"/>
    <n v="3"/>
    <n v="3"/>
    <x v="3"/>
    <x v="0"/>
    <d v="2023-10-19T00:00:00"/>
  </r>
  <r>
    <s v="TXN_4487345"/>
    <x v="6"/>
    <n v="3"/>
    <n v="4"/>
    <n v="12"/>
    <x v="2"/>
    <x v="1"/>
    <d v="2023-05-10T00:00:00"/>
  </r>
  <r>
    <s v="TXN_5929341"/>
    <x v="7"/>
    <n v="2"/>
    <n v="3"/>
    <n v="6"/>
    <x v="2"/>
    <x v="0"/>
    <d v="2023-05-12T00:00:00"/>
  </r>
  <r>
    <s v="TXN_6021173"/>
    <x v="7"/>
    <n v="5"/>
    <n v="3"/>
    <n v="15"/>
    <x v="1"/>
    <x v="0"/>
    <d v="2023-12-16T00:00:00"/>
  </r>
  <r>
    <s v="TXN_6272473"/>
    <x v="0"/>
    <n v="4"/>
    <n v="2"/>
    <n v="8"/>
    <x v="1"/>
    <x v="0"/>
    <d v="2023-03-06T00:00:00"/>
  </r>
  <r>
    <s v="TXN_5243032"/>
    <x v="2"/>
    <n v="1"/>
    <n v="1"/>
    <n v="1"/>
    <x v="1"/>
    <x v="0"/>
    <d v="2023-08-24T00:00:00"/>
  </r>
  <r>
    <s v="TXN_5863411"/>
    <x v="2"/>
    <n v="3"/>
    <n v="1"/>
    <n v="3"/>
    <x v="3"/>
    <x v="1"/>
    <d v="2023-09-21T00:00:00"/>
  </r>
  <r>
    <s v="TXN_4087571"/>
    <x v="2"/>
    <n v="2"/>
    <n v="1"/>
    <n v="2"/>
    <x v="2"/>
    <x v="2"/>
    <d v="2023-11-24T00:00:00"/>
  </r>
  <r>
    <s v="TXN_7680197"/>
    <x v="2"/>
    <n v="5"/>
    <n v="1"/>
    <n v="5"/>
    <x v="1"/>
    <x v="0"/>
    <d v="2023-09-23T00:00:00"/>
  </r>
  <r>
    <s v="TXN_8773639"/>
    <x v="0"/>
    <n v="3"/>
    <n v="2"/>
    <n v="6"/>
    <x v="3"/>
    <x v="0"/>
    <d v="2023-02-20T00:00:00"/>
  </r>
  <r>
    <s v="TXN_5960979"/>
    <x v="0"/>
    <n v="5"/>
    <n v="2"/>
    <n v="10"/>
    <x v="3"/>
    <x v="1"/>
    <d v="2023-05-03T00:00:00"/>
  </r>
  <r>
    <s v="TXN_7894534"/>
    <x v="8"/>
    <n v="3"/>
    <n v="1.5"/>
    <n v="4.5"/>
    <x v="0"/>
    <x v="1"/>
    <d v="2023-03-16T00:00:00"/>
  </r>
  <r>
    <s v="TXN_4890770"/>
    <x v="0"/>
    <n v="4"/>
    <n v="2"/>
    <n v="8"/>
    <x v="2"/>
    <x v="0"/>
    <d v="2023-10-12T00:00:00"/>
  </r>
  <r>
    <s v="TXN_6079741"/>
    <x v="2"/>
    <n v="4"/>
    <n v="1"/>
    <n v="4"/>
    <x v="2"/>
    <x v="0"/>
    <d v="2023-01-02T00:00:00"/>
  </r>
  <r>
    <s v="TXN_4612930"/>
    <x v="7"/>
    <n v="2"/>
    <n v="3"/>
    <n v="6"/>
    <x v="2"/>
    <x v="2"/>
    <d v="2023-08-13T00:00:00"/>
  </r>
  <r>
    <s v="TXN_1124311"/>
    <x v="2"/>
    <n v="1"/>
    <n v="1"/>
    <n v="1"/>
    <x v="1"/>
    <x v="2"/>
    <d v="2023-05-05T00:00:00"/>
  </r>
  <r>
    <s v="TXN_6380636"/>
    <x v="0"/>
    <n v="5"/>
    <n v="2"/>
    <n v="10"/>
    <x v="2"/>
    <x v="2"/>
    <d v="2023-01-10T00:00:00"/>
  </r>
  <r>
    <s v="TXN_5720183"/>
    <x v="2"/>
    <n v="5"/>
    <n v="1"/>
    <n v="5"/>
    <x v="0"/>
    <x v="0"/>
    <d v="2023-05-30T00:00:00"/>
  </r>
  <r>
    <s v="TXN_6382322"/>
    <x v="8"/>
    <n v="3"/>
    <n v="1.5"/>
    <n v="4.5"/>
    <x v="3"/>
    <x v="1"/>
    <d v="2023-12-14T00:00:00"/>
  </r>
  <r>
    <s v="TXN_8119542"/>
    <x v="5"/>
    <n v="2"/>
    <n v="1"/>
    <n v="2"/>
    <x v="3"/>
    <x v="2"/>
    <d v="2023-12-12T00:00:00"/>
  </r>
  <r>
    <s v="TXN_1674042"/>
    <x v="0"/>
    <n v="5"/>
    <n v="2"/>
    <n v="10"/>
    <x v="3"/>
    <x v="2"/>
    <d v="2023-09-19T00:00:00"/>
  </r>
  <r>
    <s v="TXN_8398809"/>
    <x v="8"/>
    <n v="2"/>
    <n v="1.5"/>
    <n v="3"/>
    <x v="2"/>
    <x v="0"/>
    <d v="2023-11-25T00:00:00"/>
  </r>
  <r>
    <s v="TXN_7728415"/>
    <x v="8"/>
    <n v="5"/>
    <n v="1.5"/>
    <n v="7.5"/>
    <x v="0"/>
    <x v="1"/>
    <d v="2023-12-28T00:00:00"/>
  </r>
  <r>
    <s v="TXN_5285171"/>
    <x v="6"/>
    <n v="5"/>
    <n v="4"/>
    <n v="20"/>
    <x v="1"/>
    <x v="0"/>
    <d v="2023-12-11T00:00:00"/>
  </r>
  <r>
    <s v="TXN_2527007"/>
    <x v="4"/>
    <n v="1"/>
    <n v="4"/>
    <n v="4"/>
    <x v="3"/>
    <x v="2"/>
    <d v="2023-10-22T00:00:00"/>
  </r>
  <r>
    <s v="TXN_8331542"/>
    <x v="3"/>
    <n v="4"/>
    <n v="5"/>
    <n v="20"/>
    <x v="2"/>
    <x v="1"/>
    <d v="2023-12-23T00:00:00"/>
  </r>
  <r>
    <s v="TXN_2999220"/>
    <x v="4"/>
    <n v="4"/>
    <n v="4"/>
    <n v="16"/>
    <x v="3"/>
    <x v="0"/>
    <d v="2023-02-23T00:00:00"/>
  </r>
  <r>
    <s v="TXN_5108188"/>
    <x v="1"/>
    <n v="2"/>
    <n v="3"/>
    <n v="6"/>
    <x v="2"/>
    <x v="2"/>
    <d v="2023-08-25T00:00:00"/>
  </r>
  <r>
    <s v="TXN_6680963"/>
    <x v="6"/>
    <n v="2"/>
    <n v="4"/>
    <n v="8"/>
    <x v="0"/>
    <x v="0"/>
    <d v="2023-08-01T00:00:00"/>
  </r>
  <r>
    <s v="TXN_2308317"/>
    <x v="0"/>
    <n v="2"/>
    <n v="2"/>
    <n v="4"/>
    <x v="3"/>
    <x v="0"/>
    <d v="2023-11-13T00:00:00"/>
  </r>
  <r>
    <s v="TXN_8811902"/>
    <x v="8"/>
    <n v="5"/>
    <n v="1.5"/>
    <n v="7.5"/>
    <x v="0"/>
    <x v="2"/>
    <d v="2023-08-07T00:00:00"/>
  </r>
  <r>
    <s v="TXN_7349134"/>
    <x v="5"/>
    <n v="1"/>
    <n v="4"/>
    <n v="4"/>
    <x v="0"/>
    <x v="1"/>
    <d v="2023-05-28T00:00:00"/>
  </r>
  <r>
    <s v="TXN_1467546"/>
    <x v="2"/>
    <n v="3"/>
    <n v="1"/>
    <n v="3"/>
    <x v="2"/>
    <x v="0"/>
    <d v="2023-07-20T00:00:00"/>
  </r>
  <r>
    <s v="TXN_2276722"/>
    <x v="3"/>
    <n v="2"/>
    <n v="5"/>
    <n v="10"/>
    <x v="1"/>
    <x v="0"/>
    <d v="2023-12-21T00:00:00"/>
  </r>
  <r>
    <s v="TXN_2519044"/>
    <x v="3"/>
    <n v="5"/>
    <n v="5"/>
    <n v="25"/>
    <x v="3"/>
    <x v="0"/>
    <d v="2023-05-20T00:00:00"/>
  </r>
  <r>
    <s v="TXN_2851147"/>
    <x v="3"/>
    <n v="2"/>
    <n v="5"/>
    <n v="10"/>
    <x v="3"/>
    <x v="1"/>
    <d v="2023-06-24T00:00:00"/>
  </r>
  <r>
    <s v="TXN_3349404"/>
    <x v="0"/>
    <n v="3"/>
    <n v="2"/>
    <n v="6"/>
    <x v="3"/>
    <x v="2"/>
    <d v="2023-01-31T00:00:00"/>
  </r>
  <r>
    <s v="TXN_7939011"/>
    <x v="7"/>
    <n v="5"/>
    <n v="3"/>
    <n v="15"/>
    <x v="2"/>
    <x v="1"/>
    <d v="2023-04-07T00:00:00"/>
  </r>
  <r>
    <s v="TXN_3877580"/>
    <x v="3"/>
    <n v="2"/>
    <n v="5"/>
    <n v="10"/>
    <x v="3"/>
    <x v="2"/>
    <d v="2023-05-30T00:00:00"/>
  </r>
  <r>
    <s v="TXN_5220523"/>
    <x v="7"/>
    <n v="3"/>
    <n v="3"/>
    <n v="9"/>
    <x v="1"/>
    <x v="0"/>
    <d v="2023-01-30T00:00:00"/>
  </r>
  <r>
    <s v="TXN_5934526"/>
    <x v="0"/>
    <n v="5"/>
    <n v="2"/>
    <n v="10"/>
    <x v="0"/>
    <x v="1"/>
    <d v="2023-05-27T00:00:00"/>
  </r>
  <r>
    <s v="TXN_8935939"/>
    <x v="8"/>
    <n v="3"/>
    <n v="1.5"/>
    <n v="4.5"/>
    <x v="3"/>
    <x v="0"/>
    <d v="2023-03-27T00:00:00"/>
  </r>
  <r>
    <s v="TXN_3586935"/>
    <x v="3"/>
    <n v="5"/>
    <n v="5"/>
    <n v="25"/>
    <x v="1"/>
    <x v="2"/>
    <d v="2023-05-21T00:00:00"/>
  </r>
  <r>
    <s v="TXN_1781777"/>
    <x v="3"/>
    <n v="3"/>
    <n v="5"/>
    <n v="15"/>
    <x v="0"/>
    <x v="0"/>
    <d v="2023-10-26T00:00:00"/>
  </r>
  <r>
    <s v="TXN_6461461"/>
    <x v="7"/>
    <n v="1"/>
    <n v="3"/>
    <n v="3"/>
    <x v="2"/>
    <x v="1"/>
    <m/>
  </r>
  <r>
    <s v="TXN_1707251"/>
    <x v="6"/>
    <n v="2"/>
    <n v="4"/>
    <n v="8"/>
    <x v="3"/>
    <x v="0"/>
    <d v="2023-10-06T00:00:00"/>
  </r>
  <r>
    <s v="TXN_4493878"/>
    <x v="0"/>
    <n v="5"/>
    <n v="2"/>
    <n v="10"/>
    <x v="0"/>
    <x v="1"/>
    <d v="2023-03-11T00:00:00"/>
  </r>
  <r>
    <s v="TXN_2446874"/>
    <x v="7"/>
    <n v="4"/>
    <n v="3"/>
    <n v="12"/>
    <x v="0"/>
    <x v="2"/>
    <d v="2023-07-22T00:00:00"/>
  </r>
  <r>
    <s v="TXN_5747859"/>
    <x v="1"/>
    <n v="1"/>
    <n v="3"/>
    <n v="3"/>
    <x v="0"/>
    <x v="0"/>
    <d v="2023-03-13T00:00:00"/>
  </r>
  <r>
    <s v="TXN_8172333"/>
    <x v="2"/>
    <n v="4"/>
    <n v="1"/>
    <n v="4"/>
    <x v="0"/>
    <x v="2"/>
    <d v="2023-12-25T00:00:00"/>
  </r>
  <r>
    <s v="TXN_8600523"/>
    <x v="8"/>
    <n v="3"/>
    <n v="1.5"/>
    <n v="4.5"/>
    <x v="2"/>
    <x v="2"/>
    <d v="2023-12-29T00:00:00"/>
  </r>
  <r>
    <s v="TXN_7471753"/>
    <x v="4"/>
    <n v="5"/>
    <n v="4"/>
    <n v="20"/>
    <x v="1"/>
    <x v="1"/>
    <d v="2023-03-13T00:00:00"/>
  </r>
  <r>
    <s v="TXN_3884527"/>
    <x v="6"/>
    <n v="1"/>
    <n v="4"/>
    <n v="4"/>
    <x v="3"/>
    <x v="1"/>
    <d v="2023-06-06T00:00:00"/>
  </r>
  <r>
    <s v="TXN_9072517"/>
    <x v="4"/>
    <n v="2"/>
    <n v="4"/>
    <n v="8"/>
    <x v="0"/>
    <x v="0"/>
    <d v="2023-01-09T00:00:00"/>
  </r>
  <r>
    <s v="TXN_4378200"/>
    <x v="8"/>
    <n v="5"/>
    <n v="1.5"/>
    <n v="7.5"/>
    <x v="0"/>
    <x v="1"/>
    <d v="2023-09-04T00:00:00"/>
  </r>
  <r>
    <s v="TXN_3918998"/>
    <x v="0"/>
    <n v="5"/>
    <n v="2"/>
    <n v="10"/>
    <x v="3"/>
    <x v="0"/>
    <d v="2023-12-18T00:00:00"/>
  </r>
  <r>
    <s v="TXN_7674694"/>
    <x v="8"/>
    <n v="2"/>
    <n v="1.5"/>
    <n v="3"/>
    <x v="2"/>
    <x v="2"/>
    <d v="2023-03-30T00:00:00"/>
  </r>
  <r>
    <s v="TXN_3875049"/>
    <x v="8"/>
    <n v="2"/>
    <n v="1.5"/>
    <n v="3"/>
    <x v="3"/>
    <x v="0"/>
    <d v="2023-09-15T00:00:00"/>
  </r>
  <r>
    <s v="TXN_5400266"/>
    <x v="8"/>
    <n v="3"/>
    <n v="1.5"/>
    <n v="4.5"/>
    <x v="3"/>
    <x v="0"/>
    <d v="2023-06-14T00:00:00"/>
  </r>
  <r>
    <s v="TXN_2402978"/>
    <x v="2"/>
    <n v="3"/>
    <n v="1"/>
    <n v="3"/>
    <x v="0"/>
    <x v="1"/>
    <d v="2023-01-21T00:00:00"/>
  </r>
  <r>
    <s v="TXN_6188306"/>
    <x v="3"/>
    <n v="1"/>
    <n v="5"/>
    <n v="5"/>
    <x v="2"/>
    <x v="0"/>
    <d v="2023-10-26T00:00:00"/>
  </r>
  <r>
    <s v="TXN_1148874"/>
    <x v="2"/>
    <n v="1"/>
    <n v="1"/>
    <n v="1"/>
    <x v="0"/>
    <x v="1"/>
    <d v="2023-09-18T00:00:00"/>
  </r>
  <r>
    <s v="TXN_1888708"/>
    <x v="6"/>
    <n v="4"/>
    <n v="4"/>
    <n v="16"/>
    <x v="1"/>
    <x v="2"/>
    <d v="2023-08-17T00:00:00"/>
  </r>
  <r>
    <s v="TXN_8842592"/>
    <x v="2"/>
    <n v="5"/>
    <n v="1"/>
    <n v="5"/>
    <x v="2"/>
    <x v="2"/>
    <d v="2023-07-10T00:00:00"/>
  </r>
  <r>
    <s v="TXN_2761204"/>
    <x v="1"/>
    <n v="3"/>
    <n v="3"/>
    <n v="9"/>
    <x v="1"/>
    <x v="2"/>
    <d v="2023-07-14T00:00:00"/>
  </r>
  <r>
    <s v="TXN_9038745"/>
    <x v="4"/>
    <n v="3"/>
    <n v="4"/>
    <n v="12"/>
    <x v="2"/>
    <x v="0"/>
    <d v="2023-06-25T00:00:00"/>
  </r>
  <r>
    <s v="TXN_1374424"/>
    <x v="6"/>
    <n v="5"/>
    <n v="4"/>
    <n v="20"/>
    <x v="2"/>
    <x v="2"/>
    <d v="2023-04-24T00:00:00"/>
  </r>
  <r>
    <s v="TXN_7205840"/>
    <x v="3"/>
    <n v="3"/>
    <n v="5"/>
    <n v="15"/>
    <x v="2"/>
    <x v="2"/>
    <d v="2023-03-05T00:00:00"/>
  </r>
  <r>
    <s v="TXN_7714378"/>
    <x v="4"/>
    <n v="2"/>
    <n v="4"/>
    <n v="8"/>
    <x v="1"/>
    <x v="2"/>
    <d v="2023-08-10T00:00:00"/>
  </r>
  <r>
    <s v="TXN_7732813"/>
    <x v="8"/>
    <n v="2"/>
    <n v="1.5"/>
    <n v="3"/>
    <x v="0"/>
    <x v="0"/>
    <d v="2023-07-16T00:00:00"/>
  </r>
  <r>
    <s v="TXN_6718205"/>
    <x v="4"/>
    <n v="2"/>
    <n v="4"/>
    <n v="8"/>
    <x v="3"/>
    <x v="0"/>
    <d v="2023-06-30T00:00:00"/>
  </r>
  <r>
    <s v="TXN_8878429"/>
    <x v="1"/>
    <n v="5"/>
    <n v="3"/>
    <n v="15"/>
    <x v="3"/>
    <x v="1"/>
    <m/>
  </r>
  <r>
    <s v="TXN_6899576"/>
    <x v="3"/>
    <n v="2"/>
    <n v="5"/>
    <n v="10"/>
    <x v="3"/>
    <x v="0"/>
    <d v="2023-10-26T00:00:00"/>
  </r>
  <r>
    <s v="TXN_2761003"/>
    <x v="4"/>
    <n v="2"/>
    <n v="4"/>
    <n v="8"/>
    <x v="2"/>
    <x v="1"/>
    <d v="2023-11-08T00:00:00"/>
  </r>
  <r>
    <s v="TXN_6929413"/>
    <x v="8"/>
    <n v="1"/>
    <n v="1.5"/>
    <n v="1.5"/>
    <x v="3"/>
    <x v="2"/>
    <d v="2023-10-13T00:00:00"/>
  </r>
  <r>
    <s v="TXN_2350703"/>
    <x v="5"/>
    <n v="4"/>
    <n v="3"/>
    <n v="12"/>
    <x v="1"/>
    <x v="1"/>
    <d v="2023-08-20T00:00:00"/>
  </r>
  <r>
    <s v="TXN_1948437"/>
    <x v="4"/>
    <n v="2"/>
    <n v="4"/>
    <n v="8"/>
    <x v="2"/>
    <x v="0"/>
    <d v="2023-11-03T00:00:00"/>
  </r>
  <r>
    <s v="TXN_5901887"/>
    <x v="4"/>
    <n v="4"/>
    <n v="4"/>
    <n v="16"/>
    <x v="2"/>
    <x v="0"/>
    <d v="2023-08-31T00:00:00"/>
  </r>
  <r>
    <s v="TXN_1072232"/>
    <x v="6"/>
    <n v="1"/>
    <n v="4"/>
    <n v="4"/>
    <x v="3"/>
    <x v="1"/>
    <d v="2023-01-07T00:00:00"/>
  </r>
  <r>
    <s v="TXN_7469771"/>
    <x v="1"/>
    <n v="5"/>
    <n v="3"/>
    <n v="15"/>
    <x v="2"/>
    <x v="2"/>
    <d v="2023-12-09T00:00:00"/>
  </r>
  <r>
    <s v="TXN_7139053"/>
    <x v="3"/>
    <n v="4"/>
    <n v="5"/>
    <n v="20"/>
    <x v="3"/>
    <x v="0"/>
    <d v="2023-09-12T00:00:00"/>
  </r>
  <r>
    <s v="TXN_6028915"/>
    <x v="6"/>
    <n v="5"/>
    <n v="4"/>
    <n v="20"/>
    <x v="1"/>
    <x v="1"/>
    <d v="2023-12-24T00:00:00"/>
  </r>
  <r>
    <s v="TXN_3622194"/>
    <x v="1"/>
    <n v="1"/>
    <n v="3"/>
    <n v="3"/>
    <x v="3"/>
    <x v="2"/>
    <d v="2023-06-26T00:00:00"/>
  </r>
  <r>
    <s v="TXN_6431215"/>
    <x v="1"/>
    <n v="1"/>
    <n v="3"/>
    <n v="3"/>
    <x v="2"/>
    <x v="2"/>
    <d v="2023-08-27T00:00:00"/>
  </r>
  <r>
    <s v="TXN_4385240"/>
    <x v="2"/>
    <n v="4"/>
    <n v="1"/>
    <n v="4"/>
    <x v="1"/>
    <x v="0"/>
    <d v="2023-02-10T00:00:00"/>
  </r>
  <r>
    <s v="TXN_3840523"/>
    <x v="5"/>
    <n v="2"/>
    <n v="4"/>
    <n v="8"/>
    <x v="0"/>
    <x v="2"/>
    <d v="2023-12-27T00:00:00"/>
  </r>
  <r>
    <s v="TXN_5697778"/>
    <x v="1"/>
    <n v="3"/>
    <n v="3"/>
    <n v="9"/>
    <x v="1"/>
    <x v="2"/>
    <d v="2023-03-08T00:00:00"/>
  </r>
  <r>
    <s v="TXN_1749299"/>
    <x v="4"/>
    <n v="2"/>
    <n v="4"/>
    <n v="8"/>
    <x v="2"/>
    <x v="2"/>
    <d v="2023-10-28T00:00:00"/>
  </r>
  <r>
    <s v="TXN_6806024"/>
    <x v="7"/>
    <n v="2"/>
    <n v="3"/>
    <n v="6"/>
    <x v="0"/>
    <x v="1"/>
    <d v="2023-04-14T00:00:00"/>
  </r>
  <r>
    <s v="TXN_8352365"/>
    <x v="0"/>
    <n v="5"/>
    <n v="2"/>
    <n v="10"/>
    <x v="2"/>
    <x v="0"/>
    <d v="2023-08-10T00:00:00"/>
  </r>
  <r>
    <s v="TXN_7143535"/>
    <x v="2"/>
    <n v="2"/>
    <n v="1"/>
    <n v="2"/>
    <x v="2"/>
    <x v="2"/>
    <d v="2023-05-21T00:00:00"/>
  </r>
  <r>
    <s v="TXN_5090839"/>
    <x v="6"/>
    <n v="5"/>
    <n v="4"/>
    <n v="20"/>
    <x v="1"/>
    <x v="2"/>
    <d v="2023-03-06T00:00:00"/>
  </r>
  <r>
    <s v="TXN_5743619"/>
    <x v="3"/>
    <n v="5"/>
    <n v="5"/>
    <n v="25"/>
    <x v="3"/>
    <x v="0"/>
    <d v="2023-11-07T00:00:00"/>
  </r>
  <r>
    <s v="TXN_8785432"/>
    <x v="2"/>
    <n v="2"/>
    <n v="1"/>
    <n v="2"/>
    <x v="1"/>
    <x v="2"/>
    <d v="2023-08-14T00:00:00"/>
  </r>
  <r>
    <s v="TXN_1086324"/>
    <x v="1"/>
    <n v="3"/>
    <n v="3"/>
    <n v="9"/>
    <x v="2"/>
    <x v="1"/>
    <d v="2023-11-25T00:00:00"/>
  </r>
  <r>
    <s v="TXN_8888599"/>
    <x v="6"/>
    <n v="5"/>
    <n v="4"/>
    <n v="20"/>
    <x v="2"/>
    <x v="2"/>
    <m/>
  </r>
  <r>
    <s v="TXN_6361309"/>
    <x v="1"/>
    <n v="5"/>
    <n v="3"/>
    <n v="15"/>
    <x v="2"/>
    <x v="0"/>
    <m/>
  </r>
  <r>
    <s v="TXN_8211146"/>
    <x v="6"/>
    <n v="5"/>
    <n v="4"/>
    <n v="20"/>
    <x v="3"/>
    <x v="0"/>
    <d v="2023-04-30T00:00:00"/>
  </r>
  <r>
    <s v="TXN_5826333"/>
    <x v="2"/>
    <n v="1"/>
    <n v="1"/>
    <n v="1"/>
    <x v="1"/>
    <x v="2"/>
    <d v="2023-05-14T00:00:00"/>
  </r>
  <r>
    <s v="TXN_1555314"/>
    <x v="6"/>
    <n v="1"/>
    <n v="4"/>
    <n v="4"/>
    <x v="2"/>
    <x v="0"/>
    <d v="2023-02-25T00:00:00"/>
  </r>
  <r>
    <s v="TXN_4611673"/>
    <x v="4"/>
    <n v="5"/>
    <n v="4"/>
    <n v="20"/>
    <x v="3"/>
    <x v="2"/>
    <d v="2023-03-05T00:00:00"/>
  </r>
  <r>
    <s v="TXN_8839045"/>
    <x v="1"/>
    <n v="2"/>
    <n v="3"/>
    <n v="6"/>
    <x v="2"/>
    <x v="1"/>
    <d v="2023-06-13T00:00:00"/>
  </r>
  <r>
    <s v="TXN_5183249"/>
    <x v="6"/>
    <n v="1"/>
    <n v="4"/>
    <n v="4"/>
    <x v="2"/>
    <x v="1"/>
    <d v="2023-07-02T00:00:00"/>
  </r>
  <r>
    <s v="TXN_5104848"/>
    <x v="8"/>
    <n v="2"/>
    <n v="1.5"/>
    <n v="3"/>
    <x v="2"/>
    <x v="0"/>
    <d v="2023-01-22T00:00:00"/>
  </r>
  <r>
    <s v="TXN_9943917"/>
    <x v="6"/>
    <n v="3"/>
    <n v="4"/>
    <n v="12"/>
    <x v="0"/>
    <x v="1"/>
    <d v="2023-01-16T00:00:00"/>
  </r>
  <r>
    <s v="TXN_2490461"/>
    <x v="3"/>
    <n v="4"/>
    <n v="5"/>
    <n v="20"/>
    <x v="2"/>
    <x v="2"/>
    <d v="2023-09-22T00:00:00"/>
  </r>
  <r>
    <s v="TXN_5852244"/>
    <x v="1"/>
    <n v="2"/>
    <n v="3"/>
    <n v="6"/>
    <x v="0"/>
    <x v="0"/>
    <d v="2023-10-15T00:00:00"/>
  </r>
  <r>
    <s v="TXN_9874775"/>
    <x v="8"/>
    <n v="1"/>
    <n v="1.5"/>
    <n v="1.5"/>
    <x v="1"/>
    <x v="2"/>
    <d v="2023-09-02T00:00:00"/>
  </r>
  <r>
    <s v="TXN_2586215"/>
    <x v="7"/>
    <n v="2"/>
    <n v="3"/>
    <n v="6"/>
    <x v="3"/>
    <x v="2"/>
    <d v="2023-03-23T00:00:00"/>
  </r>
  <r>
    <s v="TXN_7704229"/>
    <x v="0"/>
    <n v="4"/>
    <n v="2"/>
    <n v="8"/>
    <x v="1"/>
    <x v="2"/>
    <d v="2023-07-15T00:00:00"/>
  </r>
  <r>
    <s v="TXN_5444860"/>
    <x v="8"/>
    <n v="2"/>
    <n v="1.5"/>
    <n v="3"/>
    <x v="3"/>
    <x v="2"/>
    <d v="2023-04-28T00:00:00"/>
  </r>
  <r>
    <s v="TXN_9391494"/>
    <x v="0"/>
    <n v="1"/>
    <n v="2"/>
    <n v="2"/>
    <x v="2"/>
    <x v="2"/>
    <d v="2023-12-17T00:00:00"/>
  </r>
  <r>
    <s v="TXN_3557583"/>
    <x v="4"/>
    <n v="5"/>
    <n v="4"/>
    <n v="20"/>
    <x v="0"/>
    <x v="2"/>
    <d v="2023-07-26T00:00:00"/>
  </r>
  <r>
    <s v="TXN_8739878"/>
    <x v="5"/>
    <n v="1"/>
    <n v="3"/>
    <n v="3"/>
    <x v="2"/>
    <x v="2"/>
    <d v="2023-09-27T00:00:00"/>
  </r>
  <r>
    <s v="TXN_5386352"/>
    <x v="5"/>
    <n v="1"/>
    <n v="4"/>
    <n v="4"/>
    <x v="0"/>
    <x v="2"/>
    <d v="2023-01-18T00:00:00"/>
  </r>
  <r>
    <s v="TXN_8321887"/>
    <x v="5"/>
    <n v="5"/>
    <n v="1"/>
    <n v="5"/>
    <x v="2"/>
    <x v="2"/>
    <d v="2023-03-21T00:00:00"/>
  </r>
  <r>
    <s v="TXN_3995266"/>
    <x v="6"/>
    <n v="1"/>
    <n v="4"/>
    <n v="4"/>
    <x v="0"/>
    <x v="1"/>
    <d v="2023-04-21T00:00:00"/>
  </r>
  <r>
    <s v="TXN_7326974"/>
    <x v="1"/>
    <n v="4"/>
    <n v="3"/>
    <n v="12"/>
    <x v="0"/>
    <x v="2"/>
    <d v="2023-12-31T00:00:00"/>
  </r>
  <r>
    <s v="TXN_7277750"/>
    <x v="1"/>
    <n v="2"/>
    <n v="3"/>
    <n v="6"/>
    <x v="2"/>
    <x v="2"/>
    <d v="2023-09-29T00:00:00"/>
  </r>
  <r>
    <s v="TXN_8075323"/>
    <x v="6"/>
    <n v="1"/>
    <n v="4"/>
    <n v="4"/>
    <x v="3"/>
    <x v="2"/>
    <d v="2023-04-18T00:00:00"/>
  </r>
  <r>
    <s v="TXN_4831345"/>
    <x v="6"/>
    <n v="5"/>
    <n v="4"/>
    <n v="20"/>
    <x v="2"/>
    <x v="1"/>
    <d v="2023-05-10T00:00:00"/>
  </r>
  <r>
    <s v="TXN_6301984"/>
    <x v="7"/>
    <n v="5"/>
    <n v="3"/>
    <n v="15"/>
    <x v="2"/>
    <x v="0"/>
    <m/>
  </r>
  <r>
    <s v="TXN_1456374"/>
    <x v="2"/>
    <n v="5"/>
    <n v="1"/>
    <n v="5"/>
    <x v="1"/>
    <x v="2"/>
    <d v="2023-02-15T00:00:00"/>
  </r>
  <r>
    <s v="TXN_3263746"/>
    <x v="0"/>
    <n v="1"/>
    <n v="2"/>
    <n v="2"/>
    <x v="1"/>
    <x v="0"/>
    <d v="2023-11-14T00:00:00"/>
  </r>
  <r>
    <s v="TXN_2268203"/>
    <x v="3"/>
    <n v="3"/>
    <n v="5"/>
    <n v="15"/>
    <x v="2"/>
    <x v="2"/>
    <m/>
  </r>
  <r>
    <s v="TXN_9502077"/>
    <x v="4"/>
    <n v="3"/>
    <n v="4"/>
    <n v="12"/>
    <x v="2"/>
    <x v="2"/>
    <d v="2023-12-21T00:00:00"/>
  </r>
  <r>
    <s v="TXN_4994052"/>
    <x v="0"/>
    <n v="4"/>
    <n v="2"/>
    <n v="8"/>
    <x v="2"/>
    <x v="0"/>
    <m/>
  </r>
  <r>
    <s v="TXN_1671480"/>
    <x v="2"/>
    <n v="5"/>
    <n v="1"/>
    <n v="5"/>
    <x v="2"/>
    <x v="2"/>
    <d v="2023-01-06T00:00:00"/>
  </r>
  <r>
    <s v="TXN_7430227"/>
    <x v="1"/>
    <n v="3"/>
    <n v="3"/>
    <n v="9"/>
    <x v="1"/>
    <x v="1"/>
    <d v="2023-07-24T00:00:00"/>
  </r>
  <r>
    <s v="TXN_1516182"/>
    <x v="2"/>
    <n v="1"/>
    <n v="1"/>
    <n v="1"/>
    <x v="2"/>
    <x v="2"/>
    <d v="2023-06-18T00:00:00"/>
  </r>
  <r>
    <s v="TXN_8807199"/>
    <x v="3"/>
    <n v="5"/>
    <n v="5"/>
    <n v="25"/>
    <x v="0"/>
    <x v="2"/>
    <d v="2023-05-30T00:00:00"/>
  </r>
  <r>
    <s v="TXN_8700466"/>
    <x v="0"/>
    <n v="4"/>
    <n v="2"/>
    <n v="8"/>
    <x v="3"/>
    <x v="1"/>
    <d v="2023-04-29T00:00:00"/>
  </r>
  <r>
    <s v="TXN_2190325"/>
    <x v="6"/>
    <n v="4"/>
    <n v="4"/>
    <n v="16"/>
    <x v="0"/>
    <x v="1"/>
    <d v="2023-03-10T00:00:00"/>
  </r>
  <r>
    <s v="TXN_4150495"/>
    <x v="2"/>
    <n v="2"/>
    <n v="1"/>
    <n v="2"/>
    <x v="1"/>
    <x v="2"/>
    <d v="2023-04-12T00:00:00"/>
  </r>
  <r>
    <s v="TXN_3794410"/>
    <x v="1"/>
    <n v="4"/>
    <n v="3"/>
    <n v="12"/>
    <x v="0"/>
    <x v="2"/>
    <d v="2023-12-06T00:00:00"/>
  </r>
  <r>
    <s v="TXN_5677869"/>
    <x v="7"/>
    <n v="5"/>
    <n v="3"/>
    <n v="15"/>
    <x v="1"/>
    <x v="1"/>
    <d v="2023-11-19T00:00:00"/>
  </r>
  <r>
    <s v="TXN_3436462"/>
    <x v="3"/>
    <n v="2"/>
    <n v="5"/>
    <n v="10"/>
    <x v="0"/>
    <x v="1"/>
    <d v="2023-06-29T00:00:00"/>
  </r>
  <r>
    <s v="TXN_7493740"/>
    <x v="1"/>
    <n v="1"/>
    <n v="3"/>
    <n v="3"/>
    <x v="2"/>
    <x v="2"/>
    <d v="2023-05-18T00:00:00"/>
  </r>
  <r>
    <s v="TXN_7388752"/>
    <x v="3"/>
    <n v="1"/>
    <n v="5"/>
    <n v="5"/>
    <x v="0"/>
    <x v="0"/>
    <d v="2023-08-28T00:00:00"/>
  </r>
  <r>
    <s v="TXN_9448209"/>
    <x v="6"/>
    <n v="3"/>
    <n v="4"/>
    <n v="12"/>
    <x v="1"/>
    <x v="1"/>
    <m/>
  </r>
  <r>
    <s v="TXN_8655424"/>
    <x v="2"/>
    <n v="2"/>
    <n v="1"/>
    <n v="2"/>
    <x v="2"/>
    <x v="1"/>
    <d v="2023-11-26T00:00:00"/>
  </r>
  <r>
    <s v="TXN_9720012"/>
    <x v="4"/>
    <n v="5"/>
    <n v="4"/>
    <n v="20"/>
    <x v="1"/>
    <x v="1"/>
    <d v="2023-09-25T00:00:00"/>
  </r>
  <r>
    <s v="TXN_6609572"/>
    <x v="5"/>
    <n v="4"/>
    <n v="4"/>
    <n v="16"/>
    <x v="1"/>
    <x v="1"/>
    <d v="2023-06-15T00:00:00"/>
  </r>
  <r>
    <s v="TXN_9390188"/>
    <x v="8"/>
    <n v="1"/>
    <n v="1.5"/>
    <n v="1.5"/>
    <x v="2"/>
    <x v="0"/>
    <d v="2023-06-20T00:00:00"/>
  </r>
  <r>
    <s v="TXN_1952465"/>
    <x v="1"/>
    <n v="2"/>
    <n v="3"/>
    <n v="6"/>
    <x v="2"/>
    <x v="0"/>
    <d v="2023-06-11T00:00:00"/>
  </r>
  <r>
    <s v="TXN_7605154"/>
    <x v="7"/>
    <n v="5"/>
    <n v="3"/>
    <n v="15"/>
    <x v="1"/>
    <x v="1"/>
    <d v="2023-09-09T00:00:00"/>
  </r>
  <r>
    <s v="TXN_2684400"/>
    <x v="0"/>
    <n v="3"/>
    <n v="2"/>
    <n v="6"/>
    <x v="2"/>
    <x v="1"/>
    <d v="2023-03-30T00:00:00"/>
  </r>
  <r>
    <s v="TXN_4702378"/>
    <x v="1"/>
    <n v="2"/>
    <n v="3"/>
    <n v="6"/>
    <x v="1"/>
    <x v="2"/>
    <d v="2023-08-28T00:00:00"/>
  </r>
  <r>
    <s v="TXN_6312755"/>
    <x v="6"/>
    <n v="2"/>
    <n v="4"/>
    <n v="8"/>
    <x v="0"/>
    <x v="2"/>
    <d v="2023-02-11T00:00:00"/>
  </r>
  <r>
    <s v="TXN_7584025"/>
    <x v="8"/>
    <n v="4"/>
    <n v="1.5"/>
    <n v="6"/>
    <x v="2"/>
    <x v="1"/>
    <d v="2023-09-18T00:00:00"/>
  </r>
  <r>
    <s v="TXN_7533540"/>
    <x v="6"/>
    <n v="5"/>
    <n v="4"/>
    <n v="20"/>
    <x v="2"/>
    <x v="1"/>
    <d v="2023-11-01T00:00:00"/>
  </r>
  <r>
    <s v="TXN_4425164"/>
    <x v="7"/>
    <n v="4"/>
    <n v="3"/>
    <n v="12"/>
    <x v="2"/>
    <x v="2"/>
    <d v="2023-01-13T00:00:00"/>
  </r>
  <r>
    <s v="TXN_4325648"/>
    <x v="7"/>
    <n v="3"/>
    <n v="3"/>
    <n v="9"/>
    <x v="3"/>
    <x v="0"/>
    <d v="2023-05-04T00:00:00"/>
  </r>
  <r>
    <s v="TXN_7151374"/>
    <x v="8"/>
    <n v="4"/>
    <n v="1.5"/>
    <n v="6"/>
    <x v="0"/>
    <x v="1"/>
    <d v="2023-07-30T00:00:00"/>
  </r>
  <r>
    <s v="TXN_6413250"/>
    <x v="3"/>
    <n v="4"/>
    <n v="5"/>
    <n v="20"/>
    <x v="1"/>
    <x v="2"/>
    <d v="2023-12-02T00:00:00"/>
  </r>
  <r>
    <s v="TXN_6496506"/>
    <x v="7"/>
    <n v="1"/>
    <n v="3"/>
    <n v="3"/>
    <x v="3"/>
    <x v="1"/>
    <d v="2023-01-11T00:00:00"/>
  </r>
  <r>
    <s v="TXN_2695546"/>
    <x v="8"/>
    <n v="1"/>
    <n v="1.5"/>
    <n v="1.5"/>
    <x v="0"/>
    <x v="0"/>
    <d v="2023-08-26T00:00:00"/>
  </r>
  <r>
    <s v="TXN_4823513"/>
    <x v="2"/>
    <n v="5"/>
    <n v="1"/>
    <n v="5"/>
    <x v="1"/>
    <x v="0"/>
    <d v="2023-07-02T00:00:00"/>
  </r>
  <r>
    <s v="TXN_8960347"/>
    <x v="4"/>
    <n v="3"/>
    <n v="4"/>
    <n v="12"/>
    <x v="1"/>
    <x v="1"/>
    <m/>
  </r>
  <r>
    <s v="TXN_3222677"/>
    <x v="6"/>
    <n v="1"/>
    <n v="4"/>
    <n v="4"/>
    <x v="3"/>
    <x v="0"/>
    <d v="2023-12-16T00:00:00"/>
  </r>
  <r>
    <s v="TXN_9942517"/>
    <x v="0"/>
    <n v="4"/>
    <n v="2"/>
    <n v="8"/>
    <x v="3"/>
    <x v="1"/>
    <d v="2023-04-29T00:00:00"/>
  </r>
  <r>
    <s v="TXN_8735418"/>
    <x v="0"/>
    <n v="5"/>
    <n v="2"/>
    <n v="10"/>
    <x v="3"/>
    <x v="0"/>
    <d v="2023-03-03T00:00:00"/>
  </r>
  <r>
    <s v="TXN_7799794"/>
    <x v="5"/>
    <n v="4"/>
    <n v="1"/>
    <n v="4"/>
    <x v="3"/>
    <x v="1"/>
    <d v="2023-08-22T00:00:00"/>
  </r>
  <r>
    <s v="TXN_6347670"/>
    <x v="8"/>
    <n v="2"/>
    <n v="1.5"/>
    <n v="3"/>
    <x v="3"/>
    <x v="1"/>
    <d v="2023-06-24T00:00:00"/>
  </r>
  <r>
    <s v="TXN_9180345"/>
    <x v="6"/>
    <n v="4"/>
    <n v="4"/>
    <n v="16"/>
    <x v="3"/>
    <x v="2"/>
    <d v="2023-06-13T00:00:00"/>
  </r>
  <r>
    <s v="TXN_9632482"/>
    <x v="1"/>
    <n v="2"/>
    <n v="3"/>
    <n v="6"/>
    <x v="0"/>
    <x v="2"/>
    <d v="2023-08-27T00:00:00"/>
  </r>
  <r>
    <s v="TXN_4642770"/>
    <x v="8"/>
    <n v="4"/>
    <n v="1.5"/>
    <n v="6"/>
    <x v="2"/>
    <x v="2"/>
    <d v="2023-09-22T00:00:00"/>
  </r>
  <r>
    <s v="TXN_5356324"/>
    <x v="4"/>
    <n v="1"/>
    <n v="4"/>
    <n v="4"/>
    <x v="2"/>
    <x v="2"/>
    <d v="2023-02-26T00:00:00"/>
  </r>
  <r>
    <s v="TXN_5148730"/>
    <x v="1"/>
    <n v="1"/>
    <n v="3"/>
    <n v="3"/>
    <x v="1"/>
    <x v="2"/>
    <d v="2023-12-12T00:00:00"/>
  </r>
  <r>
    <s v="TXN_8848847"/>
    <x v="2"/>
    <n v="3"/>
    <n v="1"/>
    <n v="3"/>
    <x v="1"/>
    <x v="0"/>
    <d v="2023-08-15T00:00:00"/>
  </r>
  <r>
    <s v="TXN_3686848"/>
    <x v="8"/>
    <n v="3"/>
    <n v="1.5"/>
    <n v="4.5"/>
    <x v="2"/>
    <x v="2"/>
    <d v="2023-04-06T00:00:00"/>
  </r>
  <r>
    <s v="TXN_2328896"/>
    <x v="4"/>
    <n v="4"/>
    <n v="4"/>
    <n v="16"/>
    <x v="1"/>
    <x v="2"/>
    <d v="2023-10-20T00:00:00"/>
  </r>
  <r>
    <s v="TXN_6361856"/>
    <x v="2"/>
    <n v="5"/>
    <n v="1"/>
    <n v="5"/>
    <x v="2"/>
    <x v="2"/>
    <d v="2023-05-11T00:00:00"/>
  </r>
  <r>
    <s v="TXN_5942011"/>
    <x v="8"/>
    <n v="1"/>
    <n v="1.5"/>
    <n v="1.5"/>
    <x v="1"/>
    <x v="2"/>
    <d v="2023-10-08T00:00:00"/>
  </r>
  <r>
    <s v="TXN_7137364"/>
    <x v="3"/>
    <n v="5"/>
    <n v="5"/>
    <n v="25"/>
    <x v="1"/>
    <x v="2"/>
    <d v="2023-08-09T00:00:00"/>
  </r>
  <r>
    <s v="TXN_9904042"/>
    <x v="5"/>
    <n v="4"/>
    <n v="4"/>
    <n v="16"/>
    <x v="0"/>
    <x v="2"/>
    <d v="2023-06-09T00:00:00"/>
  </r>
  <r>
    <s v="TXN_1510406"/>
    <x v="5"/>
    <n v="3"/>
    <n v="5"/>
    <n v="15"/>
    <x v="2"/>
    <x v="1"/>
    <d v="2023-01-12T00:00:00"/>
  </r>
  <r>
    <s v="TXN_8176812"/>
    <x v="6"/>
    <n v="5"/>
    <n v="4"/>
    <n v="20"/>
    <x v="3"/>
    <x v="2"/>
    <d v="2023-06-21T00:00:00"/>
  </r>
  <r>
    <s v="TXN_1360872"/>
    <x v="0"/>
    <n v="2"/>
    <n v="2"/>
    <n v="4"/>
    <x v="0"/>
    <x v="1"/>
    <d v="2023-11-04T00:00:00"/>
  </r>
  <r>
    <s v="TXN_4413776"/>
    <x v="0"/>
    <n v="5"/>
    <n v="2"/>
    <n v="10"/>
    <x v="1"/>
    <x v="0"/>
    <d v="2023-07-21T00:00:00"/>
  </r>
  <r>
    <s v="TXN_1811953"/>
    <x v="2"/>
    <n v="2"/>
    <n v="1"/>
    <n v="2"/>
    <x v="2"/>
    <x v="2"/>
    <d v="2023-06-26T00:00:00"/>
  </r>
  <r>
    <s v="TXN_9382596"/>
    <x v="4"/>
    <n v="5"/>
    <n v="4"/>
    <n v="20"/>
    <x v="0"/>
    <x v="0"/>
    <d v="2023-11-18T00:00:00"/>
  </r>
  <r>
    <s v="TXN_9480564"/>
    <x v="2"/>
    <n v="4"/>
    <n v="1"/>
    <n v="4"/>
    <x v="1"/>
    <x v="1"/>
    <d v="2023-06-12T00:00:00"/>
  </r>
  <r>
    <s v="TXN_1094479"/>
    <x v="1"/>
    <n v="3"/>
    <n v="3"/>
    <n v="9"/>
    <x v="2"/>
    <x v="1"/>
    <d v="2023-06-08T00:00:00"/>
  </r>
  <r>
    <s v="TXN_8301190"/>
    <x v="0"/>
    <n v="1"/>
    <n v="2"/>
    <n v="2"/>
    <x v="1"/>
    <x v="0"/>
    <d v="2023-04-01T00:00:00"/>
  </r>
  <r>
    <s v="TXN_7653946"/>
    <x v="4"/>
    <n v="4"/>
    <n v="4"/>
    <n v="16"/>
    <x v="1"/>
    <x v="2"/>
    <d v="2023-09-19T00:00:00"/>
  </r>
  <r>
    <s v="TXN_1348274"/>
    <x v="1"/>
    <n v="5"/>
    <n v="3"/>
    <n v="15"/>
    <x v="2"/>
    <x v="2"/>
    <d v="2023-11-14T00:00:00"/>
  </r>
  <r>
    <s v="TXN_2855149"/>
    <x v="6"/>
    <n v="2"/>
    <n v="4"/>
    <n v="8"/>
    <x v="1"/>
    <x v="1"/>
    <d v="2023-07-16T00:00:00"/>
  </r>
  <r>
    <s v="TXN_9320167"/>
    <x v="7"/>
    <n v="5"/>
    <n v="3"/>
    <n v="15"/>
    <x v="0"/>
    <x v="2"/>
    <d v="2023-11-12T00:00:00"/>
  </r>
  <r>
    <s v="TXN_1135215"/>
    <x v="6"/>
    <n v="3"/>
    <n v="4"/>
    <n v="12"/>
    <x v="2"/>
    <x v="1"/>
    <d v="2023-04-10T00:00:00"/>
  </r>
  <r>
    <s v="TXN_6158518"/>
    <x v="2"/>
    <n v="5"/>
    <n v="1"/>
    <n v="5"/>
    <x v="1"/>
    <x v="2"/>
    <d v="2023-09-28T00:00:00"/>
  </r>
  <r>
    <s v="TXN_5734442"/>
    <x v="2"/>
    <n v="4"/>
    <n v="1"/>
    <n v="4"/>
    <x v="0"/>
    <x v="0"/>
    <d v="2023-10-01T00:00:00"/>
  </r>
  <r>
    <s v="TXN_5748083"/>
    <x v="3"/>
    <n v="2"/>
    <n v="5"/>
    <n v="10"/>
    <x v="2"/>
    <x v="0"/>
    <d v="2023-04-08T00:00:00"/>
  </r>
  <r>
    <s v="TXN_1804335"/>
    <x v="7"/>
    <n v="3"/>
    <n v="3"/>
    <n v="9"/>
    <x v="0"/>
    <x v="2"/>
    <d v="2023-10-05T00:00:00"/>
  </r>
  <r>
    <s v="TXN_3644269"/>
    <x v="2"/>
    <n v="5"/>
    <n v="1"/>
    <n v="5"/>
    <x v="0"/>
    <x v="0"/>
    <d v="2023-09-26T00:00:00"/>
  </r>
  <r>
    <s v="TXN_5611239"/>
    <x v="5"/>
    <n v="4"/>
    <n v="1"/>
    <n v="4"/>
    <x v="1"/>
    <x v="0"/>
    <d v="2023-11-18T00:00:00"/>
  </r>
  <r>
    <s v="TXN_4020100"/>
    <x v="2"/>
    <n v="1"/>
    <n v="1"/>
    <n v="1"/>
    <x v="1"/>
    <x v="1"/>
    <d v="2023-08-09T00:00:00"/>
  </r>
  <r>
    <s v="TXN_1643870"/>
    <x v="3"/>
    <n v="4"/>
    <n v="5"/>
    <n v="20"/>
    <x v="3"/>
    <x v="0"/>
    <d v="2023-10-07T00:00:00"/>
  </r>
  <r>
    <s v="TXN_4734216"/>
    <x v="3"/>
    <n v="3"/>
    <n v="5"/>
    <n v="15"/>
    <x v="3"/>
    <x v="1"/>
    <d v="2023-11-30T00:00:00"/>
  </r>
  <r>
    <s v="TXN_4060538"/>
    <x v="1"/>
    <n v="2"/>
    <n v="3"/>
    <n v="6"/>
    <x v="3"/>
    <x v="0"/>
    <d v="2023-09-08T00:00:00"/>
  </r>
  <r>
    <s v="TXN_4788388"/>
    <x v="1"/>
    <n v="3"/>
    <n v="3"/>
    <n v="9"/>
    <x v="2"/>
    <x v="2"/>
    <d v="2023-06-29T00:00:00"/>
  </r>
  <r>
    <s v="TXN_9348280"/>
    <x v="5"/>
    <n v="2"/>
    <n v="4"/>
    <n v="8"/>
    <x v="0"/>
    <x v="1"/>
    <d v="2023-03-28T00:00:00"/>
  </r>
  <r>
    <s v="TXN_5173628"/>
    <x v="8"/>
    <n v="3"/>
    <n v="1.5"/>
    <n v="4.5"/>
    <x v="2"/>
    <x v="0"/>
    <d v="2023-05-30T00:00:00"/>
  </r>
  <r>
    <s v="TXN_9040196"/>
    <x v="7"/>
    <n v="3"/>
    <n v="3"/>
    <n v="9"/>
    <x v="1"/>
    <x v="2"/>
    <d v="2023-06-28T00:00:00"/>
  </r>
  <r>
    <s v="TXN_1853983"/>
    <x v="8"/>
    <n v="1"/>
    <n v="1.5"/>
    <n v="1.5"/>
    <x v="1"/>
    <x v="1"/>
    <d v="2023-12-04T00:00:00"/>
  </r>
  <r>
    <s v="TXN_6154823"/>
    <x v="5"/>
    <n v="5"/>
    <n v="4"/>
    <n v="20"/>
    <x v="3"/>
    <x v="0"/>
    <d v="2023-11-16T00:00:00"/>
  </r>
  <r>
    <s v="TXN_1936915"/>
    <x v="3"/>
    <n v="3"/>
    <n v="5"/>
    <n v="15"/>
    <x v="3"/>
    <x v="1"/>
    <d v="2023-01-24T00:00:00"/>
  </r>
  <r>
    <s v="TXN_8693747"/>
    <x v="4"/>
    <n v="4"/>
    <n v="4"/>
    <n v="16"/>
    <x v="3"/>
    <x v="2"/>
    <d v="2023-02-13T00:00:00"/>
  </r>
  <r>
    <s v="TXN_2911864"/>
    <x v="2"/>
    <n v="3"/>
    <n v="1"/>
    <n v="3"/>
    <x v="3"/>
    <x v="0"/>
    <d v="2023-03-21T00:00:00"/>
  </r>
  <r>
    <s v="TXN_2336921"/>
    <x v="7"/>
    <n v="3"/>
    <n v="3"/>
    <n v="9"/>
    <x v="3"/>
    <x v="0"/>
    <d v="2023-05-01T00:00:00"/>
  </r>
  <r>
    <s v="TXN_3275800"/>
    <x v="0"/>
    <n v="3"/>
    <n v="2"/>
    <n v="6"/>
    <x v="2"/>
    <x v="0"/>
    <d v="2023-05-27T00:00:00"/>
  </r>
  <r>
    <s v="TXN_6472656"/>
    <x v="8"/>
    <n v="3"/>
    <n v="1.5"/>
    <n v="4.5"/>
    <x v="1"/>
    <x v="0"/>
    <d v="2023-11-25T00:00:00"/>
  </r>
  <r>
    <s v="TXN_3494191"/>
    <x v="4"/>
    <n v="2"/>
    <n v="4"/>
    <n v="8"/>
    <x v="0"/>
    <x v="1"/>
    <d v="2023-01-08T00:00:00"/>
  </r>
  <r>
    <s v="TXN_4177717"/>
    <x v="2"/>
    <n v="1"/>
    <n v="1"/>
    <n v="1"/>
    <x v="2"/>
    <x v="2"/>
    <d v="2023-01-07T00:00:00"/>
  </r>
  <r>
    <s v="TXN_7313328"/>
    <x v="7"/>
    <n v="1"/>
    <n v="3"/>
    <n v="3"/>
    <x v="2"/>
    <x v="0"/>
    <d v="2023-01-03T00:00:00"/>
  </r>
  <r>
    <s v="TXN_4019047"/>
    <x v="5"/>
    <n v="2"/>
    <n v="2"/>
    <n v="4"/>
    <x v="2"/>
    <x v="2"/>
    <d v="2023-09-14T00:00:00"/>
  </r>
  <r>
    <s v="TXN_6832697"/>
    <x v="3"/>
    <n v="3"/>
    <n v="5"/>
    <n v="15"/>
    <x v="0"/>
    <x v="0"/>
    <d v="2023-01-21T00:00:00"/>
  </r>
  <r>
    <s v="TXN_2919225"/>
    <x v="0"/>
    <n v="4"/>
    <n v="2"/>
    <n v="8"/>
    <x v="0"/>
    <x v="0"/>
    <d v="2023-02-14T00:00:00"/>
  </r>
  <r>
    <s v="TXN_4937344"/>
    <x v="6"/>
    <n v="1"/>
    <n v="4"/>
    <n v="4"/>
    <x v="0"/>
    <x v="1"/>
    <d v="2023-02-12T00:00:00"/>
  </r>
  <r>
    <s v="TXN_6444366"/>
    <x v="0"/>
    <n v="1"/>
    <n v="2"/>
    <n v="2"/>
    <x v="3"/>
    <x v="2"/>
    <d v="2023-08-19T00:00:00"/>
  </r>
  <r>
    <s v="TXN_7448158"/>
    <x v="1"/>
    <n v="2"/>
    <n v="3"/>
    <n v="6"/>
    <x v="3"/>
    <x v="0"/>
    <d v="2023-09-28T00:00:00"/>
  </r>
  <r>
    <s v="TXN_7630601"/>
    <x v="8"/>
    <n v="1"/>
    <n v="1.5"/>
    <n v="1.5"/>
    <x v="2"/>
    <x v="0"/>
    <d v="2023-08-22T00:00:00"/>
  </r>
  <r>
    <s v="TXN_7366807"/>
    <x v="3"/>
    <n v="3"/>
    <n v="5"/>
    <n v="15"/>
    <x v="2"/>
    <x v="2"/>
    <d v="2023-10-22T00:00:00"/>
  </r>
  <r>
    <s v="TXN_5762127"/>
    <x v="0"/>
    <n v="2"/>
    <n v="2"/>
    <n v="4"/>
    <x v="2"/>
    <x v="0"/>
    <d v="2023-11-10T00:00:00"/>
  </r>
  <r>
    <s v="TXN_1856153"/>
    <x v="0"/>
    <n v="5"/>
    <n v="2"/>
    <n v="10"/>
    <x v="0"/>
    <x v="2"/>
    <d v="2023-12-02T00:00:00"/>
  </r>
  <r>
    <s v="TXN_4908458"/>
    <x v="8"/>
    <n v="4"/>
    <n v="1.5"/>
    <n v="6"/>
    <x v="2"/>
    <x v="2"/>
    <d v="2023-10-06T00:00:00"/>
  </r>
  <r>
    <s v="TXN_4214066"/>
    <x v="7"/>
    <n v="2"/>
    <n v="3"/>
    <n v="6"/>
    <x v="2"/>
    <x v="1"/>
    <d v="2023-07-23T00:00:00"/>
  </r>
  <r>
    <s v="TXN_8252793"/>
    <x v="2"/>
    <n v="4"/>
    <n v="1"/>
    <n v="4"/>
    <x v="3"/>
    <x v="2"/>
    <d v="2023-07-28T00:00:00"/>
  </r>
  <r>
    <s v="TXN_1313643"/>
    <x v="1"/>
    <n v="4"/>
    <n v="3"/>
    <n v="12"/>
    <x v="2"/>
    <x v="2"/>
    <d v="2023-02-11T00:00:00"/>
  </r>
  <r>
    <s v="TXN_2941227"/>
    <x v="2"/>
    <n v="3"/>
    <n v="1"/>
    <n v="3"/>
    <x v="1"/>
    <x v="1"/>
    <d v="2023-08-29T00:00:00"/>
  </r>
  <r>
    <s v="TXN_1206585"/>
    <x v="8"/>
    <n v="2"/>
    <n v="1.5"/>
    <n v="3"/>
    <x v="1"/>
    <x v="2"/>
    <d v="2023-06-29T00:00:00"/>
  </r>
  <r>
    <s v="TXN_9580673"/>
    <x v="7"/>
    <n v="2"/>
    <n v="3"/>
    <n v="6"/>
    <x v="2"/>
    <x v="1"/>
    <d v="2023-06-25T00:00:00"/>
  </r>
  <r>
    <s v="TXN_9874192"/>
    <x v="4"/>
    <n v="3"/>
    <n v="4"/>
    <n v="12"/>
    <x v="2"/>
    <x v="2"/>
    <d v="2023-11-30T00:00:00"/>
  </r>
  <r>
    <s v="TXN_4475487"/>
    <x v="4"/>
    <n v="3"/>
    <n v="4"/>
    <n v="12"/>
    <x v="1"/>
    <x v="1"/>
    <d v="2023-06-01T00:00:00"/>
  </r>
  <r>
    <s v="TXN_8876663"/>
    <x v="3"/>
    <n v="2"/>
    <n v="5"/>
    <n v="10"/>
    <x v="3"/>
    <x v="0"/>
    <d v="2023-03-23T00:00:00"/>
  </r>
  <r>
    <s v="TXN_3858126"/>
    <x v="4"/>
    <n v="2"/>
    <n v="4"/>
    <n v="8"/>
    <x v="2"/>
    <x v="1"/>
    <d v="2023-08-25T00:00:00"/>
  </r>
  <r>
    <s v="TXN_3524464"/>
    <x v="4"/>
    <n v="4"/>
    <n v="4"/>
    <n v="16"/>
    <x v="0"/>
    <x v="0"/>
    <d v="2023-08-31T00:00:00"/>
  </r>
  <r>
    <s v="TXN_6242107"/>
    <x v="0"/>
    <n v="3"/>
    <n v="2"/>
    <n v="6"/>
    <x v="1"/>
    <x v="2"/>
    <d v="2023-11-14T00:00:00"/>
  </r>
  <r>
    <s v="TXN_2352246"/>
    <x v="4"/>
    <n v="4"/>
    <n v="4"/>
    <n v="16"/>
    <x v="0"/>
    <x v="0"/>
    <d v="2023-06-20T00:00:00"/>
  </r>
  <r>
    <s v="TXN_9523335"/>
    <x v="2"/>
    <n v="4"/>
    <n v="1"/>
    <n v="4"/>
    <x v="0"/>
    <x v="2"/>
    <d v="2023-01-29T00:00:00"/>
  </r>
  <r>
    <s v="TXN_4475412"/>
    <x v="6"/>
    <n v="3"/>
    <n v="4"/>
    <n v="12"/>
    <x v="2"/>
    <x v="2"/>
    <d v="2023-10-31T00:00:00"/>
  </r>
  <r>
    <s v="TXN_2656162"/>
    <x v="0"/>
    <n v="1"/>
    <n v="2"/>
    <n v="2"/>
    <x v="3"/>
    <x v="1"/>
    <d v="2023-04-11T00:00:00"/>
  </r>
  <r>
    <s v="TXN_7517241"/>
    <x v="6"/>
    <n v="2"/>
    <n v="4"/>
    <n v="8"/>
    <x v="2"/>
    <x v="2"/>
    <d v="2023-01-18T00:00:00"/>
  </r>
  <r>
    <s v="TXN_6243134"/>
    <x v="8"/>
    <n v="2"/>
    <n v="1.5"/>
    <n v="3"/>
    <x v="3"/>
    <x v="2"/>
    <m/>
  </r>
  <r>
    <s v="TXN_2435218"/>
    <x v="5"/>
    <n v="5"/>
    <n v="2"/>
    <n v="10"/>
    <x v="2"/>
    <x v="1"/>
    <d v="2023-05-02T00:00:00"/>
  </r>
  <r>
    <s v="TXN_9022617"/>
    <x v="0"/>
    <n v="1"/>
    <n v="2"/>
    <n v="2"/>
    <x v="0"/>
    <x v="1"/>
    <d v="2023-01-23T00:00:00"/>
  </r>
  <r>
    <s v="TXN_1031802"/>
    <x v="2"/>
    <n v="4"/>
    <n v="1"/>
    <n v="4"/>
    <x v="2"/>
    <x v="2"/>
    <d v="2023-06-27T00:00:00"/>
  </r>
  <r>
    <s v="TXN_2346296"/>
    <x v="1"/>
    <n v="4"/>
    <n v="3"/>
    <n v="12"/>
    <x v="3"/>
    <x v="2"/>
    <d v="2023-10-04T00:00:00"/>
  </r>
  <r>
    <s v="TXN_8219210"/>
    <x v="4"/>
    <n v="5"/>
    <n v="4"/>
    <n v="20"/>
    <x v="1"/>
    <x v="2"/>
    <d v="2023-01-12T00:00:00"/>
  </r>
  <r>
    <s v="TXN_4541981"/>
    <x v="4"/>
    <n v="4"/>
    <n v="4"/>
    <n v="16"/>
    <x v="0"/>
    <x v="1"/>
    <d v="2023-01-14T00:00:00"/>
  </r>
  <r>
    <s v="TXN_8522571"/>
    <x v="7"/>
    <n v="2"/>
    <n v="3"/>
    <n v="6"/>
    <x v="0"/>
    <x v="0"/>
    <d v="2023-09-19T00:00:00"/>
  </r>
  <r>
    <s v="TXN_6752476"/>
    <x v="8"/>
    <n v="4"/>
    <n v="1.5"/>
    <n v="6"/>
    <x v="2"/>
    <x v="0"/>
    <d v="2023-08-28T00:00:00"/>
  </r>
  <r>
    <s v="TXN_1894142"/>
    <x v="6"/>
    <n v="4"/>
    <n v="4"/>
    <n v="16"/>
    <x v="1"/>
    <x v="1"/>
    <d v="2023-09-13T00:00:00"/>
  </r>
  <r>
    <s v="TXN_3766378"/>
    <x v="5"/>
    <n v="1"/>
    <n v="3"/>
    <n v="3"/>
    <x v="1"/>
    <x v="0"/>
    <d v="2023-08-18T00:00:00"/>
  </r>
  <r>
    <s v="TXN_8885727"/>
    <x v="8"/>
    <n v="2"/>
    <n v="1.5"/>
    <n v="3"/>
    <x v="1"/>
    <x v="0"/>
    <d v="2023-10-05T00:00:00"/>
  </r>
  <r>
    <s v="TXN_1422305"/>
    <x v="6"/>
    <n v="4"/>
    <n v="4"/>
    <n v="16"/>
    <x v="2"/>
    <x v="1"/>
    <d v="2023-03-09T00:00:00"/>
  </r>
  <r>
    <s v="TXN_4625165"/>
    <x v="3"/>
    <n v="3"/>
    <n v="5"/>
    <n v="15"/>
    <x v="0"/>
    <x v="2"/>
    <d v="2023-03-02T00:00:00"/>
  </r>
  <r>
    <s v="TXN_1804132"/>
    <x v="4"/>
    <n v="3"/>
    <n v="4"/>
    <n v="12"/>
    <x v="2"/>
    <x v="1"/>
    <m/>
  </r>
  <r>
    <s v="TXN_9323215"/>
    <x v="2"/>
    <n v="3"/>
    <n v="1"/>
    <n v="3"/>
    <x v="2"/>
    <x v="2"/>
    <d v="2023-01-27T00:00:00"/>
  </r>
  <r>
    <s v="TXN_6824743"/>
    <x v="6"/>
    <n v="2"/>
    <n v="4"/>
    <n v="8"/>
    <x v="3"/>
    <x v="0"/>
    <d v="2023-11-08T00:00:00"/>
  </r>
  <r>
    <s v="TXN_9384397"/>
    <x v="6"/>
    <n v="2"/>
    <n v="4"/>
    <n v="8"/>
    <x v="1"/>
    <x v="2"/>
    <d v="2023-10-31T00:00:00"/>
  </r>
  <r>
    <s v="TXN_1034067"/>
    <x v="4"/>
    <n v="3"/>
    <n v="4"/>
    <n v="12"/>
    <x v="3"/>
    <x v="2"/>
    <d v="2023-01-07T00:00:00"/>
  </r>
  <r>
    <s v="TXN_3265085"/>
    <x v="2"/>
    <n v="5"/>
    <n v="1"/>
    <n v="5"/>
    <x v="2"/>
    <x v="1"/>
    <d v="2023-09-05T00:00:00"/>
  </r>
  <r>
    <s v="TXN_3061498"/>
    <x v="3"/>
    <n v="5"/>
    <n v="5"/>
    <n v="25"/>
    <x v="2"/>
    <x v="2"/>
    <d v="2023-11-14T00:00:00"/>
  </r>
  <r>
    <s v="TXN_6206792"/>
    <x v="8"/>
    <n v="4"/>
    <n v="1.5"/>
    <n v="6"/>
    <x v="0"/>
    <x v="2"/>
    <d v="2023-10-13T00:00:00"/>
  </r>
  <r>
    <s v="TXN_7374304"/>
    <x v="8"/>
    <n v="5"/>
    <n v="1.5"/>
    <n v="7.5"/>
    <x v="3"/>
    <x v="1"/>
    <d v="2023-05-10T00:00:00"/>
  </r>
  <r>
    <s v="TXN_9447946"/>
    <x v="4"/>
    <n v="2"/>
    <n v="4"/>
    <n v="8"/>
    <x v="0"/>
    <x v="1"/>
    <d v="2023-10-21T00:00:00"/>
  </r>
  <r>
    <s v="TXN_2102561"/>
    <x v="5"/>
    <n v="2"/>
    <n v="1"/>
    <n v="2"/>
    <x v="2"/>
    <x v="1"/>
    <d v="2023-04-05T00:00:00"/>
  </r>
  <r>
    <s v="TXN_5649995"/>
    <x v="8"/>
    <n v="2"/>
    <n v="1.5"/>
    <n v="3"/>
    <x v="2"/>
    <x v="0"/>
    <m/>
  </r>
  <r>
    <s v="TXN_8223689"/>
    <x v="3"/>
    <n v="5"/>
    <n v="5"/>
    <n v="25"/>
    <x v="3"/>
    <x v="1"/>
    <d v="2023-09-08T00:00:00"/>
  </r>
  <r>
    <s v="TXN_3207254"/>
    <x v="1"/>
    <n v="1"/>
    <n v="3"/>
    <n v="3"/>
    <x v="2"/>
    <x v="0"/>
    <d v="2023-04-25T00:00:00"/>
  </r>
  <r>
    <s v="TXN_2579242"/>
    <x v="7"/>
    <n v="5"/>
    <n v="3"/>
    <n v="15"/>
    <x v="2"/>
    <x v="1"/>
    <d v="2023-09-11T00:00:00"/>
  </r>
  <r>
    <s v="TXN_2187911"/>
    <x v="0"/>
    <n v="3"/>
    <n v="2"/>
    <n v="6"/>
    <x v="0"/>
    <x v="0"/>
    <d v="2023-04-20T00:00:00"/>
  </r>
  <r>
    <s v="TXN_2594056"/>
    <x v="3"/>
    <n v="4"/>
    <n v="5"/>
    <n v="20"/>
    <x v="1"/>
    <x v="2"/>
    <d v="2023-03-11T00:00:00"/>
  </r>
  <r>
    <s v="TXN_6591736"/>
    <x v="0"/>
    <n v="4"/>
    <n v="2"/>
    <n v="8"/>
    <x v="2"/>
    <x v="0"/>
    <d v="2023-06-21T00:00:00"/>
  </r>
  <r>
    <s v="TXN_1267753"/>
    <x v="5"/>
    <n v="3"/>
    <n v="1.5"/>
    <n v="4.5"/>
    <x v="0"/>
    <x v="2"/>
    <d v="2023-06-28T00:00:00"/>
  </r>
  <r>
    <s v="TXN_4615235"/>
    <x v="1"/>
    <n v="4"/>
    <n v="3"/>
    <n v="12"/>
    <x v="1"/>
    <x v="2"/>
    <d v="2023-01-08T00:00:00"/>
  </r>
  <r>
    <s v="TXN_4824519"/>
    <x v="4"/>
    <n v="5"/>
    <n v="4"/>
    <n v="20"/>
    <x v="2"/>
    <x v="2"/>
    <d v="2023-12-27T00:00:00"/>
  </r>
  <r>
    <s v="TXN_4677415"/>
    <x v="1"/>
    <n v="2"/>
    <n v="3"/>
    <n v="6"/>
    <x v="3"/>
    <x v="2"/>
    <d v="2023-12-12T00:00:00"/>
  </r>
  <r>
    <s v="TXN_3548788"/>
    <x v="3"/>
    <n v="4"/>
    <n v="5"/>
    <n v="20"/>
    <x v="3"/>
    <x v="2"/>
    <d v="2023-02-22T00:00:00"/>
  </r>
  <r>
    <s v="TXN_2503245"/>
    <x v="6"/>
    <n v="3"/>
    <n v="4"/>
    <n v="12"/>
    <x v="2"/>
    <x v="0"/>
    <d v="2023-04-15T00:00:00"/>
  </r>
  <r>
    <s v="TXN_8855046"/>
    <x v="7"/>
    <n v="3"/>
    <n v="3"/>
    <n v="9"/>
    <x v="2"/>
    <x v="0"/>
    <d v="2023-12-05T00:00:00"/>
  </r>
  <r>
    <s v="TXN_9287659"/>
    <x v="5"/>
    <n v="1"/>
    <n v="3"/>
    <n v="3"/>
    <x v="2"/>
    <x v="1"/>
    <d v="2023-05-13T00:00:00"/>
  </r>
  <r>
    <s v="TXN_2417402"/>
    <x v="6"/>
    <n v="3"/>
    <n v="4"/>
    <n v="12"/>
    <x v="3"/>
    <x v="2"/>
    <d v="2023-05-09T00:00:00"/>
  </r>
  <r>
    <s v="TXN_6266017"/>
    <x v="2"/>
    <n v="4"/>
    <n v="1"/>
    <n v="4"/>
    <x v="2"/>
    <x v="1"/>
    <d v="2023-09-28T00:00:00"/>
  </r>
  <r>
    <s v="TXN_4619018"/>
    <x v="1"/>
    <n v="5"/>
    <n v="3"/>
    <n v="15"/>
    <x v="3"/>
    <x v="2"/>
    <d v="2023-12-19T00:00:00"/>
  </r>
  <r>
    <s v="TXN_8352748"/>
    <x v="5"/>
    <n v="5"/>
    <n v="4"/>
    <n v="20"/>
    <x v="1"/>
    <x v="1"/>
    <d v="2023-05-01T00:00:00"/>
  </r>
  <r>
    <s v="TXN_2221447"/>
    <x v="2"/>
    <n v="1"/>
    <n v="1"/>
    <n v="1"/>
    <x v="0"/>
    <x v="1"/>
    <d v="2023-12-06T00:00:00"/>
  </r>
  <r>
    <s v="TXN_3564954"/>
    <x v="4"/>
    <n v="4"/>
    <n v="4"/>
    <n v="16"/>
    <x v="1"/>
    <x v="2"/>
    <d v="2023-03-09T00:00:00"/>
  </r>
  <r>
    <s v="TXN_8464222"/>
    <x v="1"/>
    <n v="4"/>
    <n v="3"/>
    <n v="12"/>
    <x v="1"/>
    <x v="1"/>
    <d v="2023-08-17T00:00:00"/>
  </r>
  <r>
    <s v="TXN_6815753"/>
    <x v="2"/>
    <n v="4"/>
    <n v="1"/>
    <n v="4"/>
    <x v="3"/>
    <x v="0"/>
    <d v="2023-10-27T00:00:00"/>
  </r>
  <r>
    <s v="TXN_6738716"/>
    <x v="1"/>
    <n v="5"/>
    <n v="3"/>
    <n v="15"/>
    <x v="2"/>
    <x v="0"/>
    <d v="2023-04-21T00:00:00"/>
  </r>
  <r>
    <s v="TXN_9477892"/>
    <x v="1"/>
    <n v="3"/>
    <n v="3"/>
    <n v="9"/>
    <x v="0"/>
    <x v="2"/>
    <d v="2023-08-21T00:00:00"/>
  </r>
  <r>
    <s v="TXN_9894270"/>
    <x v="2"/>
    <n v="4"/>
    <n v="1"/>
    <n v="4"/>
    <x v="0"/>
    <x v="1"/>
    <m/>
  </r>
  <r>
    <s v="TXN_3136701"/>
    <x v="5"/>
    <n v="2"/>
    <n v="4"/>
    <n v="8"/>
    <x v="2"/>
    <x v="1"/>
    <d v="2023-12-18T00:00:00"/>
  </r>
  <r>
    <s v="TXN_4644671"/>
    <x v="0"/>
    <n v="3"/>
    <n v="2"/>
    <n v="6"/>
    <x v="2"/>
    <x v="2"/>
    <d v="2023-04-20T00:00:00"/>
  </r>
  <r>
    <s v="TXN_1634534"/>
    <x v="7"/>
    <n v="5"/>
    <n v="3"/>
    <n v="15"/>
    <x v="2"/>
    <x v="2"/>
    <d v="2023-12-03T00:00:00"/>
  </r>
  <r>
    <s v="TXN_7809121"/>
    <x v="1"/>
    <n v="4"/>
    <n v="3"/>
    <n v="12"/>
    <x v="2"/>
    <x v="2"/>
    <d v="2023-05-15T00:00:00"/>
  </r>
  <r>
    <s v="TXN_1350239"/>
    <x v="4"/>
    <n v="5"/>
    <n v="4"/>
    <n v="20"/>
    <x v="1"/>
    <x v="2"/>
    <d v="2023-11-18T00:00:00"/>
  </r>
  <r>
    <s v="TXN_5145906"/>
    <x v="8"/>
    <n v="4"/>
    <n v="1.5"/>
    <n v="6"/>
    <x v="2"/>
    <x v="2"/>
    <d v="2023-01-30T00:00:00"/>
  </r>
  <r>
    <s v="TXN_9603912"/>
    <x v="7"/>
    <n v="5"/>
    <n v="3"/>
    <n v="15"/>
    <x v="2"/>
    <x v="2"/>
    <d v="2023-12-23T00:00:00"/>
  </r>
  <r>
    <s v="TXN_1205610"/>
    <x v="5"/>
    <n v="2"/>
    <n v="1"/>
    <n v="2"/>
    <x v="2"/>
    <x v="1"/>
    <d v="2023-07-19T00:00:00"/>
  </r>
  <r>
    <s v="TXN_8969428"/>
    <x v="3"/>
    <n v="3"/>
    <n v="5"/>
    <n v="15"/>
    <x v="2"/>
    <x v="0"/>
    <d v="2023-03-08T00:00:00"/>
  </r>
  <r>
    <s v="TXN_5269634"/>
    <x v="1"/>
    <n v="5"/>
    <n v="3"/>
    <n v="15"/>
    <x v="3"/>
    <x v="1"/>
    <d v="2023-04-07T00:00:00"/>
  </r>
  <r>
    <s v="TXN_3043982"/>
    <x v="6"/>
    <n v="5"/>
    <n v="4"/>
    <n v="20"/>
    <x v="1"/>
    <x v="1"/>
    <d v="2023-01-10T00:00:00"/>
  </r>
  <r>
    <s v="TXN_6310896"/>
    <x v="6"/>
    <n v="1"/>
    <n v="4"/>
    <n v="4"/>
    <x v="2"/>
    <x v="1"/>
    <d v="2023-05-01T00:00:00"/>
  </r>
  <r>
    <s v="TXN_5496282"/>
    <x v="4"/>
    <n v="2"/>
    <n v="4"/>
    <n v="8"/>
    <x v="2"/>
    <x v="2"/>
    <d v="2023-03-03T00:00:00"/>
  </r>
  <r>
    <s v="TXN_3947201"/>
    <x v="2"/>
    <n v="5"/>
    <n v="1"/>
    <n v="5"/>
    <x v="2"/>
    <x v="0"/>
    <d v="2023-06-17T00:00:00"/>
  </r>
  <r>
    <s v="TXN_3666951"/>
    <x v="7"/>
    <n v="2"/>
    <n v="3"/>
    <n v="6"/>
    <x v="2"/>
    <x v="1"/>
    <d v="2023-01-06T00:00:00"/>
  </r>
  <r>
    <s v="TXN_7254494"/>
    <x v="0"/>
    <n v="5"/>
    <n v="2"/>
    <n v="10"/>
    <x v="0"/>
    <x v="0"/>
    <d v="2023-03-16T00:00:00"/>
  </r>
  <r>
    <s v="TXN_3157867"/>
    <x v="5"/>
    <n v="2"/>
    <n v="5"/>
    <n v="10"/>
    <x v="2"/>
    <x v="0"/>
    <d v="2023-11-02T00:00:00"/>
  </r>
  <r>
    <s v="TXN_6164035"/>
    <x v="2"/>
    <n v="1"/>
    <n v="1"/>
    <n v="1"/>
    <x v="0"/>
    <x v="0"/>
    <d v="2023-03-30T00:00:00"/>
  </r>
  <r>
    <s v="TXN_6234838"/>
    <x v="7"/>
    <n v="5"/>
    <n v="3"/>
    <n v="15"/>
    <x v="2"/>
    <x v="1"/>
    <d v="2023-10-30T00:00:00"/>
  </r>
  <r>
    <s v="TXN_5671075"/>
    <x v="8"/>
    <n v="5"/>
    <n v="1.5"/>
    <n v="7.5"/>
    <x v="1"/>
    <x v="1"/>
    <d v="2023-12-25T00:00:00"/>
  </r>
  <r>
    <s v="TXN_5004986"/>
    <x v="6"/>
    <n v="3"/>
    <n v="4"/>
    <n v="12"/>
    <x v="3"/>
    <x v="2"/>
    <d v="2023-01-23T00:00:00"/>
  </r>
  <r>
    <s v="TXN_4856575"/>
    <x v="3"/>
    <n v="3"/>
    <n v="5"/>
    <n v="15"/>
    <x v="3"/>
    <x v="1"/>
    <d v="2023-09-10T00:00:00"/>
  </r>
  <r>
    <s v="TXN_6064400"/>
    <x v="6"/>
    <n v="5"/>
    <n v="4"/>
    <n v="20"/>
    <x v="2"/>
    <x v="2"/>
    <d v="2023-07-06T00:00:00"/>
  </r>
  <r>
    <s v="TXN_8512136"/>
    <x v="7"/>
    <n v="1"/>
    <n v="3"/>
    <n v="3"/>
    <x v="1"/>
    <x v="0"/>
    <d v="2023-08-26T00:00:00"/>
  </r>
  <r>
    <s v="TXN_1868529"/>
    <x v="5"/>
    <n v="1"/>
    <n v="5"/>
    <n v="5"/>
    <x v="0"/>
    <x v="2"/>
    <d v="2023-01-25T00:00:00"/>
  </r>
  <r>
    <s v="TXN_3129441"/>
    <x v="7"/>
    <n v="3"/>
    <n v="3"/>
    <n v="9"/>
    <x v="0"/>
    <x v="1"/>
    <d v="2023-05-31T00:00:00"/>
  </r>
  <r>
    <s v="TXN_1652596"/>
    <x v="4"/>
    <n v="5"/>
    <n v="4"/>
    <n v="20"/>
    <x v="3"/>
    <x v="2"/>
    <d v="2023-10-04T00:00:00"/>
  </r>
  <r>
    <s v="TXN_3487896"/>
    <x v="0"/>
    <n v="5"/>
    <n v="2"/>
    <n v="10"/>
    <x v="0"/>
    <x v="2"/>
    <d v="2023-01-09T00:00:00"/>
  </r>
  <r>
    <s v="TXN_1429858"/>
    <x v="2"/>
    <n v="4"/>
    <n v="1"/>
    <n v="4"/>
    <x v="0"/>
    <x v="2"/>
    <d v="2023-03-15T00:00:00"/>
  </r>
  <r>
    <s v="TXN_1721242"/>
    <x v="4"/>
    <n v="5"/>
    <n v="4"/>
    <n v="20"/>
    <x v="2"/>
    <x v="1"/>
    <d v="2023-11-23T00:00:00"/>
  </r>
  <r>
    <s v="TXN_3472707"/>
    <x v="6"/>
    <n v="2"/>
    <n v="4"/>
    <n v="8"/>
    <x v="1"/>
    <x v="0"/>
    <d v="2023-03-26T00:00:00"/>
  </r>
  <r>
    <s v="TXN_5348750"/>
    <x v="5"/>
    <n v="5"/>
    <n v="5"/>
    <n v="25"/>
    <x v="0"/>
    <x v="2"/>
    <d v="2023-07-15T00:00:00"/>
  </r>
  <r>
    <s v="TXN_3819085"/>
    <x v="6"/>
    <n v="1"/>
    <n v="4"/>
    <n v="4"/>
    <x v="2"/>
    <x v="0"/>
    <d v="2023-11-23T00:00:00"/>
  </r>
  <r>
    <s v="TXN_2181920"/>
    <x v="6"/>
    <n v="3"/>
    <n v="4"/>
    <n v="12"/>
    <x v="1"/>
    <x v="2"/>
    <d v="2023-02-11T00:00:00"/>
  </r>
  <r>
    <s v="TXN_1173155"/>
    <x v="0"/>
    <n v="1"/>
    <n v="2"/>
    <n v="2"/>
    <x v="1"/>
    <x v="1"/>
    <d v="2023-03-14T00:00:00"/>
  </r>
  <r>
    <s v="TXN_4913079"/>
    <x v="6"/>
    <n v="3"/>
    <n v="4"/>
    <n v="12"/>
    <x v="2"/>
    <x v="2"/>
    <d v="2023-08-19T00:00:00"/>
  </r>
  <r>
    <s v="TXN_1476711"/>
    <x v="8"/>
    <n v="2"/>
    <n v="1.5"/>
    <n v="3"/>
    <x v="2"/>
    <x v="2"/>
    <d v="2023-01-26T00:00:00"/>
  </r>
  <r>
    <s v="TXN_5341644"/>
    <x v="1"/>
    <n v="4"/>
    <n v="3"/>
    <n v="12"/>
    <x v="1"/>
    <x v="2"/>
    <d v="2023-01-24T00:00:00"/>
  </r>
  <r>
    <s v="TXN_4548274"/>
    <x v="7"/>
    <n v="5"/>
    <n v="3"/>
    <n v="15"/>
    <x v="3"/>
    <x v="2"/>
    <d v="2023-05-09T00:00:00"/>
  </r>
  <r>
    <s v="TXN_8008815"/>
    <x v="3"/>
    <n v="2"/>
    <n v="5"/>
    <n v="10"/>
    <x v="2"/>
    <x v="2"/>
    <d v="2023-03-16T00:00:00"/>
  </r>
  <r>
    <s v="TXN_3639760"/>
    <x v="1"/>
    <n v="5"/>
    <n v="3"/>
    <n v="15"/>
    <x v="0"/>
    <x v="0"/>
    <d v="2023-01-29T00:00:00"/>
  </r>
  <r>
    <s v="TXN_8159727"/>
    <x v="3"/>
    <n v="5"/>
    <n v="5"/>
    <n v="25"/>
    <x v="3"/>
    <x v="2"/>
    <d v="2023-04-24T00:00:00"/>
  </r>
  <r>
    <s v="TXN_5061028"/>
    <x v="2"/>
    <n v="1"/>
    <n v="1"/>
    <n v="1"/>
    <x v="0"/>
    <x v="0"/>
    <d v="2023-05-17T00:00:00"/>
  </r>
  <r>
    <s v="TXN_6962671"/>
    <x v="1"/>
    <n v="2"/>
    <n v="3"/>
    <n v="6"/>
    <x v="2"/>
    <x v="2"/>
    <d v="2023-01-20T00:00:00"/>
  </r>
  <r>
    <s v="TXN_4791072"/>
    <x v="0"/>
    <n v="3"/>
    <n v="2"/>
    <n v="6"/>
    <x v="2"/>
    <x v="2"/>
    <d v="2023-11-13T00:00:00"/>
  </r>
  <r>
    <s v="TXN_7263939"/>
    <x v="5"/>
    <n v="1"/>
    <n v="4"/>
    <n v="4"/>
    <x v="2"/>
    <x v="2"/>
    <d v="2023-08-08T00:00:00"/>
  </r>
  <r>
    <s v="TXN_4775791"/>
    <x v="4"/>
    <n v="4"/>
    <n v="4"/>
    <n v="16"/>
    <x v="0"/>
    <x v="2"/>
    <d v="2023-04-13T00:00:00"/>
  </r>
  <r>
    <s v="TXN_6724554"/>
    <x v="8"/>
    <n v="3"/>
    <n v="1.5"/>
    <n v="4.5"/>
    <x v="2"/>
    <x v="2"/>
    <d v="2023-03-22T00:00:00"/>
  </r>
  <r>
    <s v="TXN_6897608"/>
    <x v="0"/>
    <n v="2"/>
    <n v="2"/>
    <n v="4"/>
    <x v="0"/>
    <x v="0"/>
    <d v="2023-06-28T00:00:00"/>
  </r>
  <r>
    <s v="TXN_1481470"/>
    <x v="7"/>
    <n v="3"/>
    <n v="3"/>
    <n v="9"/>
    <x v="3"/>
    <x v="0"/>
    <m/>
  </r>
  <r>
    <s v="TXN_4226572"/>
    <x v="2"/>
    <n v="3"/>
    <n v="1"/>
    <n v="3"/>
    <x v="2"/>
    <x v="0"/>
    <d v="2023-05-16T00:00:00"/>
  </r>
  <r>
    <s v="TXN_6833530"/>
    <x v="7"/>
    <n v="4"/>
    <n v="3"/>
    <n v="12"/>
    <x v="2"/>
    <x v="1"/>
    <d v="2023-11-05T00:00:00"/>
  </r>
  <r>
    <s v="TXN_5752187"/>
    <x v="7"/>
    <n v="4"/>
    <n v="3"/>
    <n v="12"/>
    <x v="3"/>
    <x v="1"/>
    <m/>
  </r>
  <r>
    <s v="TXN_4321368"/>
    <x v="0"/>
    <n v="4"/>
    <n v="2"/>
    <n v="8"/>
    <x v="2"/>
    <x v="0"/>
    <d v="2023-12-09T00:00:00"/>
  </r>
  <r>
    <s v="TXN_3434549"/>
    <x v="6"/>
    <n v="5"/>
    <n v="4"/>
    <n v="20"/>
    <x v="0"/>
    <x v="0"/>
    <d v="2023-05-25T00:00:00"/>
  </r>
  <r>
    <s v="TXN_7918317"/>
    <x v="8"/>
    <n v="1"/>
    <n v="1.5"/>
    <n v="1.5"/>
    <x v="0"/>
    <x v="2"/>
    <d v="2023-07-27T00:00:00"/>
  </r>
  <r>
    <s v="TXN_3467985"/>
    <x v="6"/>
    <n v="3"/>
    <n v="4"/>
    <n v="12"/>
    <x v="1"/>
    <x v="0"/>
    <d v="2023-12-10T00:00:00"/>
  </r>
  <r>
    <s v="TXN_3526095"/>
    <x v="6"/>
    <n v="3"/>
    <n v="4"/>
    <n v="12"/>
    <x v="1"/>
    <x v="0"/>
    <d v="2023-08-30T00:00:00"/>
  </r>
  <r>
    <s v="TXN_8316915"/>
    <x v="2"/>
    <n v="5"/>
    <n v="1"/>
    <n v="5"/>
    <x v="3"/>
    <x v="1"/>
    <d v="2023-05-30T00:00:00"/>
  </r>
  <r>
    <s v="TXN_4876685"/>
    <x v="8"/>
    <n v="1"/>
    <n v="1.5"/>
    <n v="1.5"/>
    <x v="3"/>
    <x v="0"/>
    <d v="2023-07-14T00:00:00"/>
  </r>
  <r>
    <s v="TXN_7505290"/>
    <x v="3"/>
    <n v="4"/>
    <n v="5"/>
    <n v="20"/>
    <x v="3"/>
    <x v="0"/>
    <d v="2023-10-21T00:00:00"/>
  </r>
  <r>
    <s v="TXN_5709834"/>
    <x v="1"/>
    <n v="4"/>
    <n v="3"/>
    <n v="12"/>
    <x v="3"/>
    <x v="2"/>
    <d v="2023-03-24T00:00:00"/>
  </r>
  <r>
    <s v="TXN_9626624"/>
    <x v="4"/>
    <n v="3"/>
    <n v="4"/>
    <n v="12"/>
    <x v="1"/>
    <x v="1"/>
    <d v="2023-10-10T00:00:00"/>
  </r>
  <r>
    <s v="TXN_4563526"/>
    <x v="4"/>
    <n v="4"/>
    <n v="4"/>
    <n v="16"/>
    <x v="0"/>
    <x v="2"/>
    <d v="2023-06-30T00:00:00"/>
  </r>
  <r>
    <s v="TXN_5512533"/>
    <x v="0"/>
    <n v="4"/>
    <n v="2"/>
    <n v="8"/>
    <x v="3"/>
    <x v="2"/>
    <d v="2023-06-13T00:00:00"/>
  </r>
  <r>
    <s v="TXN_9399452"/>
    <x v="1"/>
    <n v="4"/>
    <n v="3"/>
    <n v="12"/>
    <x v="0"/>
    <x v="1"/>
    <d v="2023-12-03T00:00:00"/>
  </r>
  <r>
    <s v="TXN_3451212"/>
    <x v="1"/>
    <n v="3"/>
    <n v="3"/>
    <n v="9"/>
    <x v="2"/>
    <x v="2"/>
    <d v="2023-01-29T00:00:00"/>
  </r>
  <r>
    <s v="TXN_1934166"/>
    <x v="6"/>
    <n v="5"/>
    <n v="4"/>
    <n v="20"/>
    <x v="1"/>
    <x v="1"/>
    <d v="2023-03-06T00:00:00"/>
  </r>
  <r>
    <s v="TXN_5594695"/>
    <x v="1"/>
    <n v="3"/>
    <n v="3"/>
    <n v="9"/>
    <x v="0"/>
    <x v="1"/>
    <d v="2023-01-18T00:00:00"/>
  </r>
  <r>
    <s v="TXN_8379868"/>
    <x v="1"/>
    <n v="3"/>
    <n v="3"/>
    <n v="9"/>
    <x v="1"/>
    <x v="1"/>
    <d v="2023-01-16T00:00:00"/>
  </r>
  <r>
    <s v="TXN_3708535"/>
    <x v="0"/>
    <n v="5"/>
    <n v="2"/>
    <n v="10"/>
    <x v="2"/>
    <x v="1"/>
    <d v="2023-05-02T00:00:00"/>
  </r>
  <r>
    <s v="TXN_5299440"/>
    <x v="7"/>
    <n v="2"/>
    <n v="3"/>
    <n v="6"/>
    <x v="0"/>
    <x v="1"/>
    <d v="2023-10-21T00:00:00"/>
  </r>
  <r>
    <s v="TXN_4107706"/>
    <x v="3"/>
    <n v="1"/>
    <n v="5"/>
    <n v="5"/>
    <x v="2"/>
    <x v="1"/>
    <d v="2023-11-23T00:00:00"/>
  </r>
  <r>
    <s v="TXN_6059878"/>
    <x v="3"/>
    <n v="3"/>
    <n v="5"/>
    <n v="15"/>
    <x v="3"/>
    <x v="2"/>
    <d v="2023-01-23T00:00:00"/>
  </r>
  <r>
    <s v="TXN_6476204"/>
    <x v="5"/>
    <n v="5"/>
    <n v="4"/>
    <n v="20"/>
    <x v="2"/>
    <x v="0"/>
    <d v="2023-12-22T00:00:00"/>
  </r>
  <r>
    <s v="TXN_5777542"/>
    <x v="6"/>
    <n v="2"/>
    <n v="4"/>
    <n v="8"/>
    <x v="2"/>
    <x v="2"/>
    <d v="2023-10-22T00:00:00"/>
  </r>
  <r>
    <s v="TXN_3919225"/>
    <x v="1"/>
    <n v="2"/>
    <n v="3"/>
    <n v="6"/>
    <x v="1"/>
    <x v="1"/>
    <d v="2023-03-26T00:00:00"/>
  </r>
  <r>
    <s v="TXN_5598744"/>
    <x v="6"/>
    <n v="4"/>
    <n v="4"/>
    <n v="16"/>
    <x v="3"/>
    <x v="0"/>
    <d v="2023-10-17T00:00:00"/>
  </r>
  <r>
    <s v="TXN_7355326"/>
    <x v="2"/>
    <n v="1"/>
    <n v="1"/>
    <n v="1"/>
    <x v="2"/>
    <x v="2"/>
    <d v="2023-01-03T00:00:00"/>
  </r>
  <r>
    <s v="TXN_4071945"/>
    <x v="1"/>
    <n v="1"/>
    <n v="3"/>
    <n v="3"/>
    <x v="1"/>
    <x v="2"/>
    <d v="2023-07-17T00:00:00"/>
  </r>
  <r>
    <s v="TXN_6732096"/>
    <x v="4"/>
    <n v="2"/>
    <n v="4"/>
    <n v="8"/>
    <x v="2"/>
    <x v="1"/>
    <d v="2023-04-02T00:00:00"/>
  </r>
  <r>
    <s v="TXN_4392519"/>
    <x v="2"/>
    <n v="2"/>
    <n v="1"/>
    <n v="2"/>
    <x v="2"/>
    <x v="0"/>
    <d v="2023-09-20T00:00:00"/>
  </r>
  <r>
    <s v="TXN_1716710"/>
    <x v="0"/>
    <n v="2"/>
    <n v="2"/>
    <n v="4"/>
    <x v="2"/>
    <x v="2"/>
    <d v="2023-02-23T00:00:00"/>
  </r>
  <r>
    <s v="TXN_9550397"/>
    <x v="0"/>
    <n v="4"/>
    <n v="2"/>
    <n v="8"/>
    <x v="2"/>
    <x v="2"/>
    <m/>
  </r>
  <r>
    <s v="TXN_9655021"/>
    <x v="0"/>
    <n v="3"/>
    <n v="2"/>
    <n v="6"/>
    <x v="2"/>
    <x v="2"/>
    <d v="2023-04-22T00:00:00"/>
  </r>
  <r>
    <s v="TXN_3868402"/>
    <x v="0"/>
    <n v="3"/>
    <n v="2"/>
    <n v="6"/>
    <x v="1"/>
    <x v="1"/>
    <d v="2023-01-21T00:00:00"/>
  </r>
  <r>
    <s v="TXN_4624591"/>
    <x v="3"/>
    <n v="2"/>
    <n v="5"/>
    <n v="10"/>
    <x v="0"/>
    <x v="1"/>
    <d v="2023-08-03T00:00:00"/>
  </r>
  <r>
    <s v="TXN_9640865"/>
    <x v="2"/>
    <n v="2"/>
    <n v="1"/>
    <n v="2"/>
    <x v="1"/>
    <x v="0"/>
    <d v="2023-03-18T00:00:00"/>
  </r>
  <r>
    <s v="TXN_6456008"/>
    <x v="3"/>
    <n v="5"/>
    <n v="5"/>
    <n v="25"/>
    <x v="0"/>
    <x v="1"/>
    <d v="2023-03-26T00:00:00"/>
  </r>
  <r>
    <s v="TXN_9547654"/>
    <x v="2"/>
    <n v="2"/>
    <n v="1"/>
    <n v="2"/>
    <x v="2"/>
    <x v="1"/>
    <d v="2023-11-19T00:00:00"/>
  </r>
  <r>
    <s v="TXN_4986668"/>
    <x v="1"/>
    <n v="3"/>
    <n v="3"/>
    <n v="9"/>
    <x v="3"/>
    <x v="2"/>
    <d v="2023-11-30T00:00:00"/>
  </r>
  <r>
    <s v="TXN_6235329"/>
    <x v="3"/>
    <n v="2"/>
    <n v="5"/>
    <n v="10"/>
    <x v="3"/>
    <x v="1"/>
    <d v="2023-10-11T00:00:00"/>
  </r>
  <r>
    <s v="TXN_8536578"/>
    <x v="1"/>
    <n v="5"/>
    <n v="3"/>
    <n v="15"/>
    <x v="3"/>
    <x v="1"/>
    <d v="2023-11-11T00:00:00"/>
  </r>
  <r>
    <s v="TXN_4545512"/>
    <x v="0"/>
    <n v="1"/>
    <n v="2"/>
    <n v="2"/>
    <x v="2"/>
    <x v="0"/>
    <d v="2023-12-18T00:00:00"/>
  </r>
  <r>
    <s v="TXN_2156128"/>
    <x v="6"/>
    <n v="1"/>
    <n v="4"/>
    <n v="4"/>
    <x v="3"/>
    <x v="1"/>
    <d v="2023-07-21T00:00:00"/>
  </r>
  <r>
    <s v="TXN_9188172"/>
    <x v="7"/>
    <n v="3"/>
    <n v="3"/>
    <n v="9"/>
    <x v="3"/>
    <x v="1"/>
    <d v="2023-08-27T00:00:00"/>
  </r>
  <r>
    <s v="TXN_5893283"/>
    <x v="5"/>
    <n v="3"/>
    <n v="3"/>
    <n v="9"/>
    <x v="1"/>
    <x v="1"/>
    <d v="2023-08-15T00:00:00"/>
  </r>
  <r>
    <s v="TXN_6408024"/>
    <x v="2"/>
    <n v="3"/>
    <n v="1"/>
    <n v="3"/>
    <x v="2"/>
    <x v="1"/>
    <d v="2023-11-29T00:00:00"/>
  </r>
  <r>
    <s v="TXN_4788748"/>
    <x v="6"/>
    <n v="4"/>
    <n v="4"/>
    <n v="16"/>
    <x v="0"/>
    <x v="1"/>
    <d v="2023-04-30T00:00:00"/>
  </r>
  <r>
    <s v="TXN_6460409"/>
    <x v="3"/>
    <n v="3"/>
    <n v="5"/>
    <n v="15"/>
    <x v="1"/>
    <x v="2"/>
    <d v="2023-01-03T00:00:00"/>
  </r>
  <r>
    <s v="TXN_1067052"/>
    <x v="8"/>
    <n v="4"/>
    <n v="1.5"/>
    <n v="6"/>
    <x v="2"/>
    <x v="0"/>
    <d v="2023-02-18T00:00:00"/>
  </r>
  <r>
    <s v="TXN_8776634"/>
    <x v="7"/>
    <n v="5"/>
    <n v="3"/>
    <n v="15"/>
    <x v="2"/>
    <x v="1"/>
    <d v="2023-06-02T00:00:00"/>
  </r>
  <r>
    <s v="TXN_2534831"/>
    <x v="8"/>
    <n v="5"/>
    <n v="1.5"/>
    <n v="7.5"/>
    <x v="1"/>
    <x v="0"/>
    <d v="2023-08-19T00:00:00"/>
  </r>
  <r>
    <s v="TXN_9941872"/>
    <x v="3"/>
    <n v="3"/>
    <n v="5"/>
    <n v="15"/>
    <x v="2"/>
    <x v="2"/>
    <d v="2023-04-08T00:00:00"/>
  </r>
  <r>
    <s v="TXN_2055898"/>
    <x v="8"/>
    <n v="4"/>
    <n v="1.5"/>
    <n v="6"/>
    <x v="2"/>
    <x v="2"/>
    <d v="2023-12-01T00:00:00"/>
  </r>
  <r>
    <s v="TXN_2007418"/>
    <x v="4"/>
    <n v="4"/>
    <n v="4"/>
    <n v="16"/>
    <x v="1"/>
    <x v="2"/>
    <d v="2023-06-16T00:00:00"/>
  </r>
  <r>
    <s v="TXN_6451043"/>
    <x v="2"/>
    <n v="2"/>
    <n v="1"/>
    <n v="2"/>
    <x v="2"/>
    <x v="1"/>
    <d v="2023-02-06T00:00:00"/>
  </r>
  <r>
    <s v="TXN_2632916"/>
    <x v="7"/>
    <n v="3"/>
    <n v="3"/>
    <n v="9"/>
    <x v="0"/>
    <x v="2"/>
    <d v="2023-06-17T00:00:00"/>
  </r>
  <r>
    <s v="TXN_1926794"/>
    <x v="4"/>
    <n v="1"/>
    <n v="4"/>
    <n v="4"/>
    <x v="2"/>
    <x v="1"/>
    <d v="2023-01-14T00:00:00"/>
  </r>
  <r>
    <s v="TXN_3201783"/>
    <x v="7"/>
    <n v="3"/>
    <n v="3"/>
    <n v="9"/>
    <x v="2"/>
    <x v="2"/>
    <d v="2023-12-03T00:00:00"/>
  </r>
  <r>
    <s v="TXN_2374950"/>
    <x v="1"/>
    <n v="5"/>
    <n v="3"/>
    <n v="15"/>
    <x v="3"/>
    <x v="2"/>
    <d v="2023-04-28T00:00:00"/>
  </r>
  <r>
    <s v="TXN_5962196"/>
    <x v="4"/>
    <n v="2"/>
    <n v="4"/>
    <n v="8"/>
    <x v="1"/>
    <x v="0"/>
    <d v="2023-11-29T00:00:00"/>
  </r>
  <r>
    <s v="TXN_4342098"/>
    <x v="4"/>
    <n v="4"/>
    <n v="4"/>
    <n v="16"/>
    <x v="1"/>
    <x v="1"/>
    <d v="2023-05-24T00:00:00"/>
  </r>
  <r>
    <s v="TXN_7367134"/>
    <x v="4"/>
    <n v="4"/>
    <n v="4"/>
    <n v="16"/>
    <x v="3"/>
    <x v="2"/>
    <d v="2023-10-03T00:00:00"/>
  </r>
  <r>
    <s v="TXN_3651743"/>
    <x v="1"/>
    <n v="5"/>
    <n v="3"/>
    <n v="15"/>
    <x v="1"/>
    <x v="1"/>
    <d v="2023-04-24T00:00:00"/>
  </r>
  <r>
    <s v="TXN_4411007"/>
    <x v="2"/>
    <n v="5"/>
    <n v="1"/>
    <n v="5"/>
    <x v="3"/>
    <x v="0"/>
    <d v="2023-05-17T00:00:00"/>
  </r>
  <r>
    <s v="TXN_6026451"/>
    <x v="7"/>
    <n v="2"/>
    <n v="3"/>
    <n v="6"/>
    <x v="1"/>
    <x v="1"/>
    <d v="2023-11-06T00:00:00"/>
  </r>
  <r>
    <s v="TXN_5896413"/>
    <x v="0"/>
    <n v="3"/>
    <n v="2"/>
    <n v="6"/>
    <x v="1"/>
    <x v="1"/>
    <m/>
  </r>
  <r>
    <s v="TXN_5093312"/>
    <x v="2"/>
    <n v="4"/>
    <n v="1"/>
    <n v="4"/>
    <x v="0"/>
    <x v="0"/>
    <d v="2023-08-12T00:00:00"/>
  </r>
  <r>
    <s v="TXN_6685570"/>
    <x v="8"/>
    <n v="1"/>
    <n v="1.5"/>
    <n v="1.5"/>
    <x v="0"/>
    <x v="1"/>
    <d v="2023-03-14T00:00:00"/>
  </r>
  <r>
    <s v="TXN_7905853"/>
    <x v="2"/>
    <n v="4"/>
    <n v="1"/>
    <n v="4"/>
    <x v="3"/>
    <x v="2"/>
    <d v="2023-07-25T00:00:00"/>
  </r>
  <r>
    <s v="TXN_3020475"/>
    <x v="3"/>
    <n v="4"/>
    <n v="5"/>
    <n v="20"/>
    <x v="2"/>
    <x v="0"/>
    <d v="2023-09-13T00:00:00"/>
  </r>
  <r>
    <s v="TXN_7665695"/>
    <x v="8"/>
    <n v="3"/>
    <n v="1.5"/>
    <n v="4.5"/>
    <x v="2"/>
    <x v="1"/>
    <d v="2023-10-21T00:00:00"/>
  </r>
  <r>
    <s v="TXN_2355099"/>
    <x v="3"/>
    <n v="5"/>
    <n v="5"/>
    <n v="25"/>
    <x v="1"/>
    <x v="0"/>
    <d v="2023-03-18T00:00:00"/>
  </r>
  <r>
    <s v="TXN_6071866"/>
    <x v="8"/>
    <n v="4"/>
    <n v="1.5"/>
    <n v="6"/>
    <x v="2"/>
    <x v="2"/>
    <d v="2023-10-14T00:00:00"/>
  </r>
  <r>
    <s v="TXN_4548715"/>
    <x v="6"/>
    <n v="2"/>
    <n v="4"/>
    <n v="8"/>
    <x v="2"/>
    <x v="2"/>
    <d v="2023-02-16T00:00:00"/>
  </r>
  <r>
    <s v="TXN_8156272"/>
    <x v="3"/>
    <n v="2"/>
    <n v="5"/>
    <n v="10"/>
    <x v="1"/>
    <x v="1"/>
    <m/>
  </r>
  <r>
    <s v="TXN_8344035"/>
    <x v="4"/>
    <n v="2"/>
    <n v="4"/>
    <n v="8"/>
    <x v="1"/>
    <x v="2"/>
    <d v="2023-08-23T00:00:00"/>
  </r>
  <r>
    <s v="TXN_7332192"/>
    <x v="0"/>
    <n v="1"/>
    <n v="2"/>
    <n v="2"/>
    <x v="0"/>
    <x v="0"/>
    <d v="2023-11-17T00:00:00"/>
  </r>
  <r>
    <s v="TXN_4483944"/>
    <x v="7"/>
    <n v="4"/>
    <n v="3"/>
    <n v="12"/>
    <x v="2"/>
    <x v="1"/>
    <m/>
  </r>
  <r>
    <s v="TXN_4713356"/>
    <x v="4"/>
    <n v="5"/>
    <n v="4"/>
    <n v="20"/>
    <x v="2"/>
    <x v="1"/>
    <d v="2023-05-08T00:00:00"/>
  </r>
  <r>
    <s v="TXN_6400461"/>
    <x v="0"/>
    <n v="4"/>
    <n v="2"/>
    <n v="8"/>
    <x v="3"/>
    <x v="2"/>
    <d v="2023-01-18T00:00:00"/>
  </r>
  <r>
    <s v="TXN_9262504"/>
    <x v="4"/>
    <n v="3"/>
    <n v="4"/>
    <n v="12"/>
    <x v="0"/>
    <x v="2"/>
    <d v="2023-12-01T00:00:00"/>
  </r>
  <r>
    <s v="TXN_6225305"/>
    <x v="1"/>
    <n v="1"/>
    <n v="3"/>
    <n v="3"/>
    <x v="1"/>
    <x v="0"/>
    <d v="2023-05-05T00:00:00"/>
  </r>
  <r>
    <s v="TXN_1266278"/>
    <x v="4"/>
    <n v="1"/>
    <n v="4"/>
    <n v="4"/>
    <x v="2"/>
    <x v="0"/>
    <d v="2023-11-03T00:00:00"/>
  </r>
  <r>
    <s v="TXN_2607233"/>
    <x v="0"/>
    <n v="3"/>
    <n v="2"/>
    <n v="6"/>
    <x v="1"/>
    <x v="0"/>
    <m/>
  </r>
  <r>
    <s v="TXN_2797871"/>
    <x v="2"/>
    <n v="2"/>
    <n v="1"/>
    <n v="2"/>
    <x v="2"/>
    <x v="0"/>
    <d v="2023-09-21T00:00:00"/>
  </r>
  <r>
    <s v="TXN_6753977"/>
    <x v="8"/>
    <n v="3"/>
    <n v="1.5"/>
    <n v="4.5"/>
    <x v="2"/>
    <x v="1"/>
    <m/>
  </r>
  <r>
    <s v="TXN_4947561"/>
    <x v="3"/>
    <n v="3"/>
    <n v="5"/>
    <n v="15"/>
    <x v="2"/>
    <x v="0"/>
    <d v="2023-06-06T00:00:00"/>
  </r>
  <r>
    <s v="TXN_3881824"/>
    <x v="7"/>
    <n v="2"/>
    <n v="3"/>
    <n v="6"/>
    <x v="0"/>
    <x v="2"/>
    <d v="2023-12-30T00:00:00"/>
  </r>
  <r>
    <s v="TXN_7606965"/>
    <x v="7"/>
    <n v="5"/>
    <n v="3"/>
    <n v="15"/>
    <x v="3"/>
    <x v="1"/>
    <d v="2023-12-08T00:00:00"/>
  </r>
  <r>
    <s v="TXN_5516374"/>
    <x v="4"/>
    <n v="2"/>
    <n v="4"/>
    <n v="8"/>
    <x v="2"/>
    <x v="1"/>
    <d v="2023-07-25T00:00:00"/>
  </r>
  <r>
    <s v="TXN_8059034"/>
    <x v="0"/>
    <n v="1"/>
    <n v="2"/>
    <n v="2"/>
    <x v="3"/>
    <x v="2"/>
    <d v="2023-01-10T00:00:00"/>
  </r>
  <r>
    <s v="TXN_2238287"/>
    <x v="3"/>
    <n v="3"/>
    <n v="5"/>
    <n v="15"/>
    <x v="3"/>
    <x v="1"/>
    <d v="2023-05-22T00:00:00"/>
  </r>
  <r>
    <s v="TXN_2086896"/>
    <x v="5"/>
    <n v="4"/>
    <n v="3"/>
    <n v="12"/>
    <x v="1"/>
    <x v="0"/>
    <d v="2023-11-25T00:00:00"/>
  </r>
  <r>
    <s v="TXN_9667721"/>
    <x v="8"/>
    <n v="5"/>
    <n v="1.5"/>
    <n v="7.5"/>
    <x v="0"/>
    <x v="0"/>
    <d v="2023-04-29T00:00:00"/>
  </r>
  <r>
    <s v="TXN_6317991"/>
    <x v="2"/>
    <n v="5"/>
    <n v="1"/>
    <n v="5"/>
    <x v="3"/>
    <x v="1"/>
    <d v="2023-03-03T00:00:00"/>
  </r>
  <r>
    <s v="TXN_7866723"/>
    <x v="6"/>
    <n v="2"/>
    <n v="4"/>
    <n v="8"/>
    <x v="0"/>
    <x v="1"/>
    <d v="2023-03-26T00:00:00"/>
  </r>
  <r>
    <s v="TXN_7954064"/>
    <x v="5"/>
    <n v="5"/>
    <n v="3"/>
    <n v="15"/>
    <x v="0"/>
    <x v="1"/>
    <d v="2023-08-31T00:00:00"/>
  </r>
  <r>
    <s v="TXN_5251180"/>
    <x v="2"/>
    <n v="1"/>
    <n v="1"/>
    <n v="1"/>
    <x v="3"/>
    <x v="2"/>
    <d v="2023-06-25T00:00:00"/>
  </r>
  <r>
    <s v="TXN_5891724"/>
    <x v="3"/>
    <n v="5"/>
    <n v="5"/>
    <n v="25"/>
    <x v="0"/>
    <x v="2"/>
    <d v="2023-12-10T00:00:00"/>
  </r>
  <r>
    <s v="TXN_9564495"/>
    <x v="5"/>
    <n v="4"/>
    <n v="3"/>
    <n v="12"/>
    <x v="3"/>
    <x v="2"/>
    <d v="2023-08-01T00:00:00"/>
  </r>
  <r>
    <s v="TXN_5092646"/>
    <x v="4"/>
    <n v="2"/>
    <n v="4"/>
    <n v="8"/>
    <x v="2"/>
    <x v="0"/>
    <d v="2023-05-08T00:00:00"/>
  </r>
  <r>
    <s v="TXN_5261036"/>
    <x v="5"/>
    <n v="5"/>
    <n v="3"/>
    <n v="15"/>
    <x v="1"/>
    <x v="2"/>
    <d v="2023-10-03T00:00:00"/>
  </r>
  <r>
    <s v="TXN_2638434"/>
    <x v="7"/>
    <n v="5"/>
    <n v="3"/>
    <n v="15"/>
    <x v="0"/>
    <x v="1"/>
    <d v="2023-09-18T00:00:00"/>
  </r>
  <r>
    <s v="TXN_5651620"/>
    <x v="5"/>
    <n v="2"/>
    <n v="4"/>
    <n v="8"/>
    <x v="2"/>
    <x v="2"/>
    <d v="2023-05-16T00:00:00"/>
  </r>
  <r>
    <s v="TXN_5452210"/>
    <x v="8"/>
    <n v="5"/>
    <n v="1.5"/>
    <n v="7.5"/>
    <x v="3"/>
    <x v="1"/>
    <d v="2023-04-17T00:00:00"/>
  </r>
  <r>
    <s v="TXN_5337566"/>
    <x v="2"/>
    <n v="5"/>
    <n v="1"/>
    <n v="5"/>
    <x v="1"/>
    <x v="0"/>
    <d v="2023-03-08T00:00:00"/>
  </r>
  <r>
    <s v="TXN_3341779"/>
    <x v="8"/>
    <n v="3"/>
    <n v="1.5"/>
    <n v="4.5"/>
    <x v="1"/>
    <x v="0"/>
    <d v="2023-07-30T00:00:00"/>
  </r>
  <r>
    <s v="TXN_7977951"/>
    <x v="1"/>
    <n v="5"/>
    <n v="3"/>
    <n v="15"/>
    <x v="2"/>
    <x v="2"/>
    <d v="2023-12-22T00:00:00"/>
  </r>
  <r>
    <s v="TXN_8226985"/>
    <x v="0"/>
    <n v="2"/>
    <n v="2"/>
    <n v="4"/>
    <x v="2"/>
    <x v="2"/>
    <d v="2023-03-08T00:00:00"/>
  </r>
  <r>
    <s v="TXN_7604622"/>
    <x v="7"/>
    <n v="4"/>
    <n v="3"/>
    <n v="12"/>
    <x v="0"/>
    <x v="2"/>
    <d v="2023-12-22T00:00:00"/>
  </r>
  <r>
    <s v="TXN_6875870"/>
    <x v="3"/>
    <n v="5"/>
    <n v="5"/>
    <n v="25"/>
    <x v="2"/>
    <x v="2"/>
    <d v="2023-09-07T00:00:00"/>
  </r>
  <r>
    <s v="TXN_9086163"/>
    <x v="2"/>
    <n v="2"/>
    <n v="1"/>
    <n v="2"/>
    <x v="3"/>
    <x v="2"/>
    <d v="2023-07-31T00:00:00"/>
  </r>
  <r>
    <s v="TXN_5061600"/>
    <x v="7"/>
    <n v="3"/>
    <n v="3"/>
    <n v="9"/>
    <x v="2"/>
    <x v="1"/>
    <d v="2023-11-23T00:00:00"/>
  </r>
  <r>
    <s v="TXN_9987017"/>
    <x v="2"/>
    <n v="5"/>
    <n v="1"/>
    <n v="5"/>
    <x v="1"/>
    <x v="0"/>
    <d v="2023-03-14T00:00:00"/>
  </r>
  <r>
    <s v="TXN_6533576"/>
    <x v="3"/>
    <n v="5"/>
    <n v="5"/>
    <n v="25"/>
    <x v="1"/>
    <x v="1"/>
    <d v="2023-08-14T00:00:00"/>
  </r>
  <r>
    <s v="TXN_5229351"/>
    <x v="0"/>
    <n v="3"/>
    <n v="2"/>
    <n v="6"/>
    <x v="3"/>
    <x v="0"/>
    <d v="2023-08-14T00:00:00"/>
  </r>
  <r>
    <s v="TXN_5318263"/>
    <x v="4"/>
    <n v="1"/>
    <n v="4"/>
    <n v="4"/>
    <x v="0"/>
    <x v="0"/>
    <d v="2023-06-12T00:00:00"/>
  </r>
  <r>
    <s v="TXN_8866088"/>
    <x v="8"/>
    <n v="4"/>
    <n v="1.5"/>
    <n v="6"/>
    <x v="3"/>
    <x v="0"/>
    <d v="2023-07-11T00:00:00"/>
  </r>
  <r>
    <s v="TXN_1193930"/>
    <x v="0"/>
    <n v="1"/>
    <n v="2"/>
    <n v="2"/>
    <x v="1"/>
    <x v="2"/>
    <m/>
  </r>
  <r>
    <s v="TXN_2601923"/>
    <x v="1"/>
    <n v="4"/>
    <n v="3"/>
    <n v="12"/>
    <x v="1"/>
    <x v="0"/>
    <d v="2023-07-24T00:00:00"/>
  </r>
  <r>
    <s v="TXN_5884081"/>
    <x v="2"/>
    <m/>
    <n v="1"/>
    <m/>
    <x v="3"/>
    <x v="1"/>
    <d v="2023-07-05T00:00:00"/>
  </r>
  <r>
    <s v="TXN_5047792"/>
    <x v="3"/>
    <n v="1"/>
    <n v="5"/>
    <n v="5"/>
    <x v="2"/>
    <x v="2"/>
    <m/>
  </r>
  <r>
    <s v="TXN_7434172"/>
    <x v="2"/>
    <n v="2"/>
    <n v="1"/>
    <n v="2"/>
    <x v="3"/>
    <x v="0"/>
    <d v="2023-11-14T00:00:00"/>
  </r>
  <r>
    <s v="TXN_1849406"/>
    <x v="6"/>
    <n v="5"/>
    <n v="4"/>
    <n v="20"/>
    <x v="1"/>
    <x v="1"/>
    <d v="2023-11-30T00:00:00"/>
  </r>
  <r>
    <s v="TXN_8388462"/>
    <x v="4"/>
    <n v="2"/>
    <n v="4"/>
    <n v="8"/>
    <x v="2"/>
    <x v="0"/>
    <d v="2023-08-19T00:00:00"/>
  </r>
  <r>
    <s v="TXN_6289180"/>
    <x v="7"/>
    <n v="1"/>
    <n v="3"/>
    <n v="3"/>
    <x v="1"/>
    <x v="1"/>
    <d v="2023-03-14T00:00:00"/>
  </r>
  <r>
    <s v="TXN_3974663"/>
    <x v="7"/>
    <n v="3"/>
    <n v="3"/>
    <n v="9"/>
    <x v="1"/>
    <x v="0"/>
    <d v="2023-10-02T00:00:00"/>
  </r>
  <r>
    <s v="TXN_9041537"/>
    <x v="6"/>
    <n v="4"/>
    <n v="4"/>
    <n v="16"/>
    <x v="2"/>
    <x v="2"/>
    <d v="2023-08-28T00:00:00"/>
  </r>
  <r>
    <s v="TXN_2798069"/>
    <x v="5"/>
    <n v="5"/>
    <n v="1.5"/>
    <n v="7.5"/>
    <x v="3"/>
    <x v="2"/>
    <d v="2023-09-02T00:00:00"/>
  </r>
  <r>
    <s v="TXN_7601706"/>
    <x v="7"/>
    <n v="2"/>
    <n v="3"/>
    <n v="6"/>
    <x v="0"/>
    <x v="1"/>
    <d v="2023-11-15T00:00:00"/>
  </r>
  <r>
    <s v="TXN_6184247"/>
    <x v="5"/>
    <n v="1"/>
    <n v="3"/>
    <n v="3"/>
    <x v="2"/>
    <x v="2"/>
    <m/>
  </r>
  <r>
    <s v="TXN_3145515"/>
    <x v="4"/>
    <n v="4"/>
    <n v="4"/>
    <n v="16"/>
    <x v="1"/>
    <x v="2"/>
    <d v="2023-03-31T00:00:00"/>
  </r>
  <r>
    <s v="TXN_6711224"/>
    <x v="7"/>
    <n v="1"/>
    <n v="3"/>
    <n v="3"/>
    <x v="3"/>
    <x v="2"/>
    <d v="2023-03-26T00:00:00"/>
  </r>
  <r>
    <s v="TXN_4035164"/>
    <x v="7"/>
    <n v="5"/>
    <n v="3"/>
    <n v="15"/>
    <x v="2"/>
    <x v="1"/>
    <d v="2023-11-26T00:00:00"/>
  </r>
  <r>
    <s v="TXN_1815061"/>
    <x v="1"/>
    <n v="3"/>
    <n v="3"/>
    <n v="9"/>
    <x v="3"/>
    <x v="1"/>
    <d v="2023-01-20T00:00:00"/>
  </r>
  <r>
    <s v="TXN_9522690"/>
    <x v="2"/>
    <n v="4"/>
    <n v="1"/>
    <n v="4"/>
    <x v="0"/>
    <x v="1"/>
    <d v="2023-07-23T00:00:00"/>
  </r>
  <r>
    <s v="TXN_2858635"/>
    <x v="6"/>
    <n v="1"/>
    <n v="4"/>
    <n v="4"/>
    <x v="3"/>
    <x v="1"/>
    <d v="2023-09-28T00:00:00"/>
  </r>
  <r>
    <s v="TXN_5492825"/>
    <x v="5"/>
    <n v="2"/>
    <n v="5"/>
    <n v="10"/>
    <x v="2"/>
    <x v="1"/>
    <d v="2023-02-25T00:00:00"/>
  </r>
  <r>
    <s v="TXN_2083119"/>
    <x v="5"/>
    <n v="2"/>
    <n v="1"/>
    <n v="2"/>
    <x v="2"/>
    <x v="1"/>
    <d v="2023-06-11T00:00:00"/>
  </r>
  <r>
    <s v="TXN_7030681"/>
    <x v="7"/>
    <n v="1"/>
    <n v="3"/>
    <n v="3"/>
    <x v="1"/>
    <x v="2"/>
    <d v="2023-10-01T00:00:00"/>
  </r>
  <r>
    <s v="TXN_7738316"/>
    <x v="2"/>
    <n v="4"/>
    <n v="1"/>
    <n v="4"/>
    <x v="2"/>
    <x v="2"/>
    <d v="2023-02-04T00:00:00"/>
  </r>
  <r>
    <s v="TXN_6817358"/>
    <x v="4"/>
    <n v="2"/>
    <n v="4"/>
    <n v="8"/>
    <x v="0"/>
    <x v="2"/>
    <d v="2023-12-22T00:00:00"/>
  </r>
  <r>
    <s v="TXN_4430474"/>
    <x v="1"/>
    <n v="2"/>
    <n v="3"/>
    <n v="6"/>
    <x v="3"/>
    <x v="2"/>
    <d v="2023-06-08T00:00:00"/>
  </r>
  <r>
    <s v="TXN_2329938"/>
    <x v="6"/>
    <n v="3"/>
    <n v="4"/>
    <n v="12"/>
    <x v="0"/>
    <x v="2"/>
    <d v="2023-03-29T00:00:00"/>
  </r>
  <r>
    <s v="TXN_7020104"/>
    <x v="5"/>
    <n v="5"/>
    <n v="1.5"/>
    <n v="7.5"/>
    <x v="3"/>
    <x v="2"/>
    <d v="2023-01-23T00:00:00"/>
  </r>
  <r>
    <s v="TXN_3642052"/>
    <x v="1"/>
    <n v="1"/>
    <n v="3"/>
    <n v="3"/>
    <x v="2"/>
    <x v="0"/>
    <d v="2023-07-19T00:00:00"/>
  </r>
  <r>
    <s v="TXN_6655913"/>
    <x v="2"/>
    <n v="1"/>
    <n v="1"/>
    <n v="1"/>
    <x v="0"/>
    <x v="1"/>
    <d v="2023-04-02T00:00:00"/>
  </r>
  <r>
    <s v="TXN_1409029"/>
    <x v="6"/>
    <n v="1"/>
    <n v="4"/>
    <n v="4"/>
    <x v="1"/>
    <x v="2"/>
    <m/>
  </r>
  <r>
    <s v="TXN_1617594"/>
    <x v="6"/>
    <n v="1"/>
    <n v="4"/>
    <n v="4"/>
    <x v="2"/>
    <x v="1"/>
    <d v="2023-04-23T00:00:00"/>
  </r>
  <r>
    <s v="TXN_7136372"/>
    <x v="7"/>
    <n v="3"/>
    <n v="3"/>
    <n v="9"/>
    <x v="0"/>
    <x v="0"/>
    <d v="2023-09-22T00:00:00"/>
  </r>
  <r>
    <s v="TXN_7648238"/>
    <x v="2"/>
    <n v="1"/>
    <n v="1"/>
    <n v="1"/>
    <x v="1"/>
    <x v="2"/>
    <d v="2023-05-12T00:00:00"/>
  </r>
  <r>
    <s v="TXN_1277813"/>
    <x v="5"/>
    <n v="5"/>
    <n v="3"/>
    <n v="15"/>
    <x v="3"/>
    <x v="2"/>
    <d v="2023-09-11T00:00:00"/>
  </r>
  <r>
    <s v="TXN_7251969"/>
    <x v="2"/>
    <n v="2"/>
    <n v="1"/>
    <n v="2"/>
    <x v="2"/>
    <x v="1"/>
    <d v="2023-08-14T00:00:00"/>
  </r>
  <r>
    <s v="TXN_5790695"/>
    <x v="8"/>
    <n v="5"/>
    <n v="1.5"/>
    <n v="7.5"/>
    <x v="0"/>
    <x v="0"/>
    <d v="2023-04-24T00:00:00"/>
  </r>
  <r>
    <s v="TXN_7101802"/>
    <x v="0"/>
    <n v="4"/>
    <n v="2"/>
    <n v="8"/>
    <x v="2"/>
    <x v="2"/>
    <d v="2023-03-19T00:00:00"/>
  </r>
  <r>
    <s v="TXN_3277936"/>
    <x v="8"/>
    <n v="2"/>
    <n v="1.5"/>
    <n v="3"/>
    <x v="3"/>
    <x v="0"/>
    <d v="2023-06-21T00:00:00"/>
  </r>
  <r>
    <s v="TXN_3233221"/>
    <x v="1"/>
    <n v="5"/>
    <n v="3"/>
    <n v="15"/>
    <x v="2"/>
    <x v="0"/>
    <d v="2023-06-15T00:00:00"/>
  </r>
  <r>
    <s v="TXN_6200423"/>
    <x v="2"/>
    <n v="1"/>
    <n v="1"/>
    <n v="1"/>
    <x v="2"/>
    <x v="1"/>
    <d v="2023-02-03T00:00:00"/>
  </r>
  <r>
    <s v="TXN_1522176"/>
    <x v="4"/>
    <n v="1"/>
    <n v="4"/>
    <n v="4"/>
    <x v="3"/>
    <x v="0"/>
    <d v="2023-04-29T00:00:00"/>
  </r>
  <r>
    <s v="TXN_6728574"/>
    <x v="7"/>
    <n v="3"/>
    <n v="3"/>
    <n v="9"/>
    <x v="1"/>
    <x v="2"/>
    <d v="2023-05-24T00:00:00"/>
  </r>
  <r>
    <s v="TXN_6344738"/>
    <x v="5"/>
    <n v="4"/>
    <n v="5"/>
    <n v="20"/>
    <x v="0"/>
    <x v="0"/>
    <m/>
  </r>
  <r>
    <s v="TXN_5968705"/>
    <x v="6"/>
    <n v="3"/>
    <n v="4"/>
    <n v="12"/>
    <x v="0"/>
    <x v="0"/>
    <d v="2023-12-16T00:00:00"/>
  </r>
  <r>
    <s v="TXN_9657902"/>
    <x v="7"/>
    <n v="1"/>
    <n v="3"/>
    <n v="3"/>
    <x v="3"/>
    <x v="2"/>
    <d v="2023-10-30T00:00:00"/>
  </r>
  <r>
    <s v="TXN_8640383"/>
    <x v="7"/>
    <n v="2"/>
    <n v="3"/>
    <n v="6"/>
    <x v="2"/>
    <x v="2"/>
    <d v="2023-10-08T00:00:00"/>
  </r>
  <r>
    <s v="TXN_3889213"/>
    <x v="1"/>
    <n v="1"/>
    <n v="3"/>
    <n v="3"/>
    <x v="0"/>
    <x v="2"/>
    <d v="2023-10-13T00:00:00"/>
  </r>
  <r>
    <s v="TXN_2252244"/>
    <x v="7"/>
    <n v="2"/>
    <n v="3"/>
    <n v="6"/>
    <x v="0"/>
    <x v="2"/>
    <d v="2023-03-10T00:00:00"/>
  </r>
  <r>
    <s v="TXN_2561071"/>
    <x v="7"/>
    <n v="5"/>
    <n v="3"/>
    <n v="15"/>
    <x v="2"/>
    <x v="1"/>
    <d v="2023-01-30T00:00:00"/>
  </r>
  <r>
    <s v="TXN_6543164"/>
    <x v="8"/>
    <n v="2"/>
    <n v="1.5"/>
    <n v="3"/>
    <x v="3"/>
    <x v="2"/>
    <d v="2023-07-10T00:00:00"/>
  </r>
  <r>
    <s v="TXN_3209025"/>
    <x v="3"/>
    <n v="2"/>
    <n v="5"/>
    <n v="10"/>
    <x v="1"/>
    <x v="2"/>
    <d v="2023-10-12T00:00:00"/>
  </r>
  <r>
    <s v="TXN_9975079"/>
    <x v="4"/>
    <n v="2"/>
    <n v="4"/>
    <n v="8"/>
    <x v="1"/>
    <x v="2"/>
    <d v="2023-08-26T00:00:00"/>
  </r>
  <r>
    <s v="TXN_9618962"/>
    <x v="5"/>
    <n v="3"/>
    <n v="2"/>
    <n v="6"/>
    <x v="0"/>
    <x v="0"/>
    <d v="2023-11-08T00:00:00"/>
  </r>
  <r>
    <s v="TXN_5949517"/>
    <x v="5"/>
    <n v="5"/>
    <n v="4"/>
    <n v="20"/>
    <x v="3"/>
    <x v="1"/>
    <d v="2023-12-31T00:00:00"/>
  </r>
  <r>
    <s v="TXN_4103665"/>
    <x v="0"/>
    <n v="4"/>
    <n v="2"/>
    <n v="8"/>
    <x v="2"/>
    <x v="1"/>
    <d v="2023-04-30T00:00:00"/>
  </r>
  <r>
    <s v="TXN_8499618"/>
    <x v="1"/>
    <n v="2"/>
    <n v="3"/>
    <n v="6"/>
    <x v="2"/>
    <x v="2"/>
    <d v="2023-05-23T00:00:00"/>
  </r>
  <r>
    <s v="TXN_6183513"/>
    <x v="5"/>
    <n v="3"/>
    <n v="3"/>
    <n v="9"/>
    <x v="3"/>
    <x v="2"/>
    <d v="2023-12-22T00:00:00"/>
  </r>
  <r>
    <s v="TXN_3919672"/>
    <x v="2"/>
    <n v="2"/>
    <n v="1"/>
    <n v="2"/>
    <x v="0"/>
    <x v="2"/>
    <d v="2023-11-05T00:00:00"/>
  </r>
  <r>
    <s v="TXN_7592199"/>
    <x v="8"/>
    <n v="3"/>
    <n v="1.5"/>
    <n v="4.5"/>
    <x v="3"/>
    <x v="2"/>
    <d v="2023-09-14T00:00:00"/>
  </r>
  <r>
    <s v="TXN_8888249"/>
    <x v="0"/>
    <n v="5"/>
    <n v="2"/>
    <n v="10"/>
    <x v="2"/>
    <x v="2"/>
    <d v="2023-10-17T00:00:00"/>
  </r>
  <r>
    <s v="TXN_8494571"/>
    <x v="5"/>
    <n v="5"/>
    <n v="1"/>
    <n v="5"/>
    <x v="2"/>
    <x v="2"/>
    <d v="2023-02-06T00:00:00"/>
  </r>
  <r>
    <s v="TXN_7749759"/>
    <x v="8"/>
    <n v="1"/>
    <n v="1.5"/>
    <n v="1.5"/>
    <x v="3"/>
    <x v="1"/>
    <d v="2023-12-26T00:00:00"/>
  </r>
  <r>
    <s v="TXN_7556108"/>
    <x v="2"/>
    <n v="5"/>
    <n v="1"/>
    <n v="5"/>
    <x v="2"/>
    <x v="0"/>
    <d v="2023-01-17T00:00:00"/>
  </r>
  <r>
    <s v="TXN_9360886"/>
    <x v="6"/>
    <n v="1"/>
    <n v="4"/>
    <n v="4"/>
    <x v="2"/>
    <x v="2"/>
    <d v="2023-07-25T00:00:00"/>
  </r>
  <r>
    <s v="TXN_5303464"/>
    <x v="7"/>
    <n v="4"/>
    <n v="3"/>
    <n v="12"/>
    <x v="1"/>
    <x v="0"/>
    <d v="2023-10-26T00:00:00"/>
  </r>
  <r>
    <s v="TXN_5324330"/>
    <x v="3"/>
    <n v="3"/>
    <n v="5"/>
    <n v="15"/>
    <x v="3"/>
    <x v="0"/>
    <d v="2023-11-20T00:00:00"/>
  </r>
  <r>
    <s v="TXN_5862289"/>
    <x v="7"/>
    <n v="4"/>
    <n v="3"/>
    <n v="12"/>
    <x v="3"/>
    <x v="0"/>
    <d v="2023-01-05T00:00:00"/>
  </r>
  <r>
    <s v="TXN_8203190"/>
    <x v="8"/>
    <n v="2"/>
    <n v="1.5"/>
    <n v="3"/>
    <x v="2"/>
    <x v="1"/>
    <d v="2023-06-16T00:00:00"/>
  </r>
  <r>
    <s v="TXN_9699948"/>
    <x v="0"/>
    <n v="5"/>
    <n v="2"/>
    <n v="10"/>
    <x v="1"/>
    <x v="1"/>
    <d v="2023-04-18T00:00:00"/>
  </r>
  <r>
    <s v="TXN_8187087"/>
    <x v="0"/>
    <n v="3"/>
    <n v="2"/>
    <n v="6"/>
    <x v="3"/>
    <x v="0"/>
    <d v="2023-01-31T00:00:00"/>
  </r>
  <r>
    <s v="TXN_5409141"/>
    <x v="0"/>
    <n v="5"/>
    <n v="2"/>
    <n v="10"/>
    <x v="1"/>
    <x v="0"/>
    <d v="2023-02-02T00:00:00"/>
  </r>
  <r>
    <s v="TXN_9928409"/>
    <x v="6"/>
    <n v="4"/>
    <n v="4"/>
    <n v="16"/>
    <x v="0"/>
    <x v="2"/>
    <d v="2023-06-17T00:00:00"/>
  </r>
  <r>
    <s v="TXN_9882485"/>
    <x v="3"/>
    <n v="5"/>
    <n v="5"/>
    <n v="25"/>
    <x v="1"/>
    <x v="2"/>
    <m/>
  </r>
  <r>
    <s v="TXN_9952479"/>
    <x v="6"/>
    <n v="1"/>
    <n v="4"/>
    <n v="4"/>
    <x v="3"/>
    <x v="0"/>
    <d v="2023-12-06T00:00:00"/>
  </r>
  <r>
    <s v="TXN_7207901"/>
    <x v="4"/>
    <n v="2"/>
    <n v="4"/>
    <n v="8"/>
    <x v="3"/>
    <x v="1"/>
    <d v="2023-12-11T00:00:00"/>
  </r>
  <r>
    <s v="TXN_8899602"/>
    <x v="3"/>
    <n v="4"/>
    <n v="5"/>
    <n v="20"/>
    <x v="2"/>
    <x v="1"/>
    <m/>
  </r>
  <r>
    <s v="TXN_4321091"/>
    <x v="4"/>
    <n v="2"/>
    <n v="4"/>
    <n v="8"/>
    <x v="1"/>
    <x v="1"/>
    <d v="2023-06-15T00:00:00"/>
  </r>
  <r>
    <s v="TXN_2721997"/>
    <x v="1"/>
    <n v="3"/>
    <n v="3"/>
    <n v="9"/>
    <x v="2"/>
    <x v="0"/>
    <d v="2023-05-20T00:00:00"/>
  </r>
  <r>
    <s v="TXN_6738137"/>
    <x v="0"/>
    <n v="4"/>
    <n v="2"/>
    <n v="8"/>
    <x v="2"/>
    <x v="2"/>
    <d v="2023-07-20T00:00:00"/>
  </r>
  <r>
    <s v="TXN_5365699"/>
    <x v="6"/>
    <n v="5"/>
    <n v="4"/>
    <n v="20"/>
    <x v="2"/>
    <x v="2"/>
    <d v="2023-05-22T00:00:00"/>
  </r>
  <r>
    <s v="TXN_4807459"/>
    <x v="6"/>
    <n v="1"/>
    <n v="4"/>
    <n v="4"/>
    <x v="2"/>
    <x v="2"/>
    <d v="2023-08-11T00:00:00"/>
  </r>
  <r>
    <s v="TXN_2790608"/>
    <x v="7"/>
    <n v="1"/>
    <n v="3"/>
    <n v="3"/>
    <x v="1"/>
    <x v="1"/>
    <d v="2023-12-18T00:00:00"/>
  </r>
  <r>
    <s v="TXN_2035137"/>
    <x v="5"/>
    <n v="2"/>
    <n v="1.5"/>
    <n v="3"/>
    <x v="3"/>
    <x v="0"/>
    <d v="2023-03-12T00:00:00"/>
  </r>
  <r>
    <s v="TXN_7603919"/>
    <x v="5"/>
    <n v="2"/>
    <n v="1"/>
    <n v="2"/>
    <x v="2"/>
    <x v="2"/>
    <d v="2023-09-25T00:00:00"/>
  </r>
  <r>
    <s v="TXN_7429032"/>
    <x v="6"/>
    <n v="2"/>
    <n v="4"/>
    <n v="8"/>
    <x v="2"/>
    <x v="0"/>
    <d v="2023-08-18T00:00:00"/>
  </r>
  <r>
    <s v="TXN_5241723"/>
    <x v="0"/>
    <n v="3"/>
    <n v="2"/>
    <n v="6"/>
    <x v="1"/>
    <x v="2"/>
    <d v="2023-07-18T00:00:00"/>
  </r>
  <r>
    <s v="TXN_5151706"/>
    <x v="4"/>
    <n v="1"/>
    <n v="4"/>
    <n v="4"/>
    <x v="2"/>
    <x v="0"/>
    <d v="2023-03-01T00:00:00"/>
  </r>
  <r>
    <s v="TXN_6231475"/>
    <x v="3"/>
    <n v="2"/>
    <n v="5"/>
    <n v="10"/>
    <x v="0"/>
    <x v="1"/>
    <d v="2023-03-18T00:00:00"/>
  </r>
  <r>
    <s v="TXN_6144244"/>
    <x v="7"/>
    <n v="3"/>
    <n v="3"/>
    <n v="9"/>
    <x v="1"/>
    <x v="2"/>
    <d v="2023-01-08T00:00:00"/>
  </r>
  <r>
    <s v="TXN_3442435"/>
    <x v="5"/>
    <n v="2"/>
    <n v="4"/>
    <n v="8"/>
    <x v="3"/>
    <x v="1"/>
    <d v="2023-04-01T00:00:00"/>
  </r>
  <r>
    <s v="TXN_2631423"/>
    <x v="2"/>
    <n v="3"/>
    <n v="1"/>
    <n v="3"/>
    <x v="1"/>
    <x v="0"/>
    <d v="2023-01-07T00:00:00"/>
  </r>
  <r>
    <s v="TXN_1616810"/>
    <x v="5"/>
    <n v="2"/>
    <n v="1"/>
    <n v="2"/>
    <x v="2"/>
    <x v="1"/>
    <d v="2023-09-05T00:00:00"/>
  </r>
  <r>
    <s v="TXN_6505914"/>
    <x v="1"/>
    <n v="3"/>
    <n v="3"/>
    <n v="9"/>
    <x v="2"/>
    <x v="2"/>
    <d v="2023-01-27T00:00:00"/>
  </r>
  <r>
    <s v="TXN_1958614"/>
    <x v="4"/>
    <n v="2"/>
    <n v="4"/>
    <n v="8"/>
    <x v="3"/>
    <x v="2"/>
    <d v="2023-07-02T00:00:00"/>
  </r>
  <r>
    <s v="TXN_6890737"/>
    <x v="5"/>
    <n v="4"/>
    <n v="4"/>
    <n v="16"/>
    <x v="2"/>
    <x v="2"/>
    <d v="2023-05-22T00:00:00"/>
  </r>
  <r>
    <s v="TXN_6702416"/>
    <x v="1"/>
    <n v="1"/>
    <n v="3"/>
    <n v="3"/>
    <x v="2"/>
    <x v="2"/>
    <d v="2023-09-14T00:00:00"/>
  </r>
  <r>
    <s v="TXN_5649204"/>
    <x v="4"/>
    <n v="1"/>
    <n v="4"/>
    <n v="4"/>
    <x v="1"/>
    <x v="1"/>
    <d v="2023-03-05T00:00:00"/>
  </r>
  <r>
    <s v="TXN_4084177"/>
    <x v="5"/>
    <n v="3"/>
    <n v="1"/>
    <n v="3"/>
    <x v="0"/>
    <x v="1"/>
    <d v="2023-08-13T00:00:00"/>
  </r>
  <r>
    <s v="TXN_2066115"/>
    <x v="3"/>
    <n v="4"/>
    <n v="5"/>
    <n v="20"/>
    <x v="0"/>
    <x v="1"/>
    <d v="2023-08-18T00:00:00"/>
  </r>
  <r>
    <s v="TXN_5029643"/>
    <x v="5"/>
    <n v="2"/>
    <n v="1.5"/>
    <n v="3"/>
    <x v="3"/>
    <x v="1"/>
    <d v="2023-12-23T00:00:00"/>
  </r>
  <r>
    <s v="TXN_7986904"/>
    <x v="2"/>
    <n v="3"/>
    <n v="1"/>
    <n v="3"/>
    <x v="0"/>
    <x v="0"/>
    <d v="2023-08-11T00:00:00"/>
  </r>
  <r>
    <s v="TXN_4633457"/>
    <x v="3"/>
    <n v="1"/>
    <n v="5"/>
    <n v="5"/>
    <x v="0"/>
    <x v="0"/>
    <d v="2023-05-21T00:00:00"/>
  </r>
  <r>
    <s v="TXN_9368550"/>
    <x v="1"/>
    <n v="3"/>
    <n v="3"/>
    <n v="9"/>
    <x v="3"/>
    <x v="0"/>
    <d v="2023-09-26T00:00:00"/>
  </r>
  <r>
    <s v="TXN_8049058"/>
    <x v="1"/>
    <n v="2"/>
    <n v="3"/>
    <n v="6"/>
    <x v="1"/>
    <x v="2"/>
    <d v="2023-04-08T00:00:00"/>
  </r>
  <r>
    <s v="TXN_5131404"/>
    <x v="6"/>
    <n v="4"/>
    <n v="4"/>
    <n v="16"/>
    <x v="0"/>
    <x v="0"/>
    <d v="2023-06-18T00:00:00"/>
  </r>
  <r>
    <s v="TXN_3480562"/>
    <x v="0"/>
    <n v="5"/>
    <n v="2"/>
    <n v="10"/>
    <x v="2"/>
    <x v="2"/>
    <d v="2023-12-24T00:00:00"/>
  </r>
  <r>
    <s v="TXN_6219454"/>
    <x v="8"/>
    <n v="1"/>
    <n v="1.5"/>
    <n v="1.5"/>
    <x v="1"/>
    <x v="1"/>
    <d v="2023-11-14T00:00:00"/>
  </r>
  <r>
    <s v="TXN_2551378"/>
    <x v="8"/>
    <n v="2"/>
    <n v="1.5"/>
    <n v="3"/>
    <x v="2"/>
    <x v="0"/>
    <d v="2023-10-27T00:00:00"/>
  </r>
  <r>
    <s v="TXN_9024388"/>
    <x v="3"/>
    <n v="1"/>
    <n v="5"/>
    <n v="5"/>
    <x v="1"/>
    <x v="2"/>
    <d v="2023-02-27T00:00:00"/>
  </r>
  <r>
    <s v="TXN_3478329"/>
    <x v="8"/>
    <n v="3"/>
    <n v="1.5"/>
    <n v="4.5"/>
    <x v="3"/>
    <x v="1"/>
    <d v="2023-10-29T00:00:00"/>
  </r>
  <r>
    <s v="TXN_6308974"/>
    <x v="2"/>
    <n v="4"/>
    <n v="1"/>
    <n v="4"/>
    <x v="2"/>
    <x v="1"/>
    <d v="2023-10-02T00:00:00"/>
  </r>
  <r>
    <s v="TXN_5571904"/>
    <x v="3"/>
    <n v="5"/>
    <n v="5"/>
    <n v="25"/>
    <x v="3"/>
    <x v="0"/>
    <d v="2023-08-05T00:00:00"/>
  </r>
  <r>
    <s v="TXN_6979356"/>
    <x v="3"/>
    <n v="2"/>
    <n v="5"/>
    <n v="10"/>
    <x v="2"/>
    <x v="1"/>
    <d v="2023-09-21T00:00:00"/>
  </r>
  <r>
    <s v="TXN_9171458"/>
    <x v="1"/>
    <n v="2"/>
    <n v="3"/>
    <n v="6"/>
    <x v="2"/>
    <x v="2"/>
    <d v="2023-03-29T00:00:00"/>
  </r>
  <r>
    <s v="TXN_5537621"/>
    <x v="7"/>
    <n v="4"/>
    <n v="3"/>
    <n v="12"/>
    <x v="3"/>
    <x v="0"/>
    <d v="2023-02-28T00:00:00"/>
  </r>
  <r>
    <s v="TXN_9288156"/>
    <x v="0"/>
    <n v="3"/>
    <n v="2"/>
    <n v="6"/>
    <x v="2"/>
    <x v="2"/>
    <d v="2023-11-05T00:00:00"/>
  </r>
  <r>
    <s v="TXN_8626720"/>
    <x v="7"/>
    <n v="4"/>
    <n v="3"/>
    <n v="12"/>
    <x v="1"/>
    <x v="0"/>
    <d v="2023-06-02T00:00:00"/>
  </r>
  <r>
    <s v="TXN_9181129"/>
    <x v="6"/>
    <n v="5"/>
    <n v="4"/>
    <n v="20"/>
    <x v="3"/>
    <x v="1"/>
    <d v="2023-09-25T00:00:00"/>
  </r>
  <r>
    <s v="TXN_5908362"/>
    <x v="6"/>
    <n v="5"/>
    <n v="4"/>
    <n v="20"/>
    <x v="3"/>
    <x v="2"/>
    <d v="2023-10-03T00:00:00"/>
  </r>
  <r>
    <s v="TXN_2086841"/>
    <x v="3"/>
    <n v="4"/>
    <n v="5"/>
    <n v="20"/>
    <x v="0"/>
    <x v="1"/>
    <d v="2023-03-16T00:00:00"/>
  </r>
  <r>
    <s v="TXN_9944141"/>
    <x v="7"/>
    <n v="5"/>
    <n v="3"/>
    <n v="15"/>
    <x v="0"/>
    <x v="0"/>
    <d v="2023-07-18T00:00:00"/>
  </r>
  <r>
    <s v="TXN_2438638"/>
    <x v="1"/>
    <n v="2"/>
    <n v="3"/>
    <n v="6"/>
    <x v="0"/>
    <x v="0"/>
    <d v="2023-08-12T00:00:00"/>
  </r>
  <r>
    <s v="TXN_4644790"/>
    <x v="5"/>
    <n v="1"/>
    <n v="4"/>
    <n v="4"/>
    <x v="0"/>
    <x v="2"/>
    <d v="2023-09-19T00:00:00"/>
  </r>
  <r>
    <s v="TXN_9216933"/>
    <x v="2"/>
    <n v="4"/>
    <n v="1"/>
    <n v="4"/>
    <x v="2"/>
    <x v="2"/>
    <d v="2023-05-29T00:00:00"/>
  </r>
  <r>
    <s v="TXN_8308356"/>
    <x v="4"/>
    <n v="1"/>
    <n v="4"/>
    <n v="4"/>
    <x v="3"/>
    <x v="2"/>
    <d v="2023-11-21T00:00:00"/>
  </r>
  <r>
    <s v="TXN_7933500"/>
    <x v="8"/>
    <n v="3"/>
    <n v="1.5"/>
    <n v="4.5"/>
    <x v="2"/>
    <x v="1"/>
    <d v="2023-09-21T00:00:00"/>
  </r>
  <r>
    <s v="TXN_1602123"/>
    <x v="0"/>
    <n v="1"/>
    <n v="2"/>
    <n v="2"/>
    <x v="1"/>
    <x v="2"/>
    <d v="2023-04-11T00:00:00"/>
  </r>
  <r>
    <s v="TXN_3321395"/>
    <x v="8"/>
    <n v="1"/>
    <n v="1.5"/>
    <n v="1.5"/>
    <x v="3"/>
    <x v="0"/>
    <d v="2023-07-08T00:00:00"/>
  </r>
  <r>
    <s v="TXN_7563589"/>
    <x v="4"/>
    <n v="5"/>
    <n v="4"/>
    <n v="20"/>
    <x v="1"/>
    <x v="2"/>
    <d v="2023-09-19T00:00:00"/>
  </r>
  <r>
    <s v="TXN_7864482"/>
    <x v="6"/>
    <n v="1"/>
    <n v="4"/>
    <n v="4"/>
    <x v="0"/>
    <x v="0"/>
    <d v="2023-01-28T00:00:00"/>
  </r>
  <r>
    <s v="TXN_7942343"/>
    <x v="2"/>
    <n v="4"/>
    <n v="1"/>
    <n v="4"/>
    <x v="3"/>
    <x v="2"/>
    <d v="2023-06-15T00:00:00"/>
  </r>
  <r>
    <s v="TXN_1585329"/>
    <x v="4"/>
    <n v="4"/>
    <n v="4"/>
    <n v="16"/>
    <x v="0"/>
    <x v="2"/>
    <d v="2023-07-16T00:00:00"/>
  </r>
  <r>
    <s v="TXN_6550460"/>
    <x v="6"/>
    <n v="5"/>
    <n v="4"/>
    <n v="20"/>
    <x v="2"/>
    <x v="2"/>
    <d v="2023-03-15T00:00:00"/>
  </r>
  <r>
    <s v="TXN_3416466"/>
    <x v="7"/>
    <n v="2"/>
    <n v="3"/>
    <n v="6"/>
    <x v="3"/>
    <x v="2"/>
    <d v="2023-09-13T00:00:00"/>
  </r>
  <r>
    <s v="TXN_5125759"/>
    <x v="0"/>
    <n v="3"/>
    <n v="2"/>
    <n v="6"/>
    <x v="3"/>
    <x v="0"/>
    <d v="2023-06-15T00:00:00"/>
  </r>
  <r>
    <s v="TXN_7321946"/>
    <x v="1"/>
    <n v="3"/>
    <n v="3"/>
    <n v="9"/>
    <x v="1"/>
    <x v="0"/>
    <d v="2023-02-12T00:00:00"/>
  </r>
  <r>
    <s v="TXN_4336291"/>
    <x v="3"/>
    <n v="5"/>
    <n v="5"/>
    <n v="25"/>
    <x v="1"/>
    <x v="1"/>
    <d v="2023-03-25T00:00:00"/>
  </r>
  <r>
    <s v="TXN_5240229"/>
    <x v="3"/>
    <n v="1"/>
    <n v="5"/>
    <n v="5"/>
    <x v="2"/>
    <x v="1"/>
    <d v="2023-06-10T00:00:00"/>
  </r>
  <r>
    <s v="TXN_7854253"/>
    <x v="0"/>
    <n v="4"/>
    <n v="2"/>
    <n v="8"/>
    <x v="1"/>
    <x v="2"/>
    <d v="2023-07-26T00:00:00"/>
  </r>
  <r>
    <s v="TXN_1971201"/>
    <x v="4"/>
    <n v="2"/>
    <n v="4"/>
    <n v="8"/>
    <x v="3"/>
    <x v="2"/>
    <d v="2023-11-07T00:00:00"/>
  </r>
  <r>
    <s v="TXN_2673104"/>
    <x v="8"/>
    <n v="1"/>
    <n v="1.5"/>
    <n v="1.5"/>
    <x v="2"/>
    <x v="2"/>
    <d v="2023-06-23T00:00:00"/>
  </r>
  <r>
    <s v="TXN_7479695"/>
    <x v="4"/>
    <n v="5"/>
    <n v="4"/>
    <n v="20"/>
    <x v="0"/>
    <x v="2"/>
    <d v="2023-12-12T00:00:00"/>
  </r>
  <r>
    <s v="TXN_1084222"/>
    <x v="0"/>
    <n v="4"/>
    <n v="2"/>
    <n v="8"/>
    <x v="3"/>
    <x v="1"/>
    <d v="2023-06-03T00:00:00"/>
  </r>
  <r>
    <s v="TXN_1723062"/>
    <x v="3"/>
    <n v="1"/>
    <n v="5"/>
    <n v="5"/>
    <x v="2"/>
    <x v="1"/>
    <d v="2023-09-21T00:00:00"/>
  </r>
  <r>
    <s v="TXN_4987205"/>
    <x v="8"/>
    <n v="2"/>
    <n v="1.5"/>
    <n v="3"/>
    <x v="2"/>
    <x v="0"/>
    <d v="2023-06-24T00:00:00"/>
  </r>
  <r>
    <s v="TXN_8025478"/>
    <x v="6"/>
    <n v="4"/>
    <n v="4"/>
    <n v="16"/>
    <x v="1"/>
    <x v="0"/>
    <d v="2023-01-24T00:00:00"/>
  </r>
  <r>
    <s v="TXN_7529735"/>
    <x v="0"/>
    <n v="3"/>
    <n v="2"/>
    <n v="6"/>
    <x v="2"/>
    <x v="1"/>
    <d v="2023-08-12T00:00:00"/>
  </r>
  <r>
    <s v="TXN_1598214"/>
    <x v="7"/>
    <n v="1"/>
    <n v="3"/>
    <n v="3"/>
    <x v="0"/>
    <x v="0"/>
    <d v="2023-01-07T00:00:00"/>
  </r>
  <r>
    <s v="TXN_7872478"/>
    <x v="7"/>
    <n v="4"/>
    <n v="3"/>
    <n v="12"/>
    <x v="0"/>
    <x v="1"/>
    <d v="2023-04-25T00:00:00"/>
  </r>
  <r>
    <s v="TXN_9464398"/>
    <x v="1"/>
    <n v="4"/>
    <n v="3"/>
    <n v="12"/>
    <x v="0"/>
    <x v="2"/>
    <d v="2023-09-25T00:00:00"/>
  </r>
  <r>
    <s v="TXN_9319656"/>
    <x v="8"/>
    <n v="5"/>
    <n v="1.5"/>
    <n v="7.5"/>
    <x v="2"/>
    <x v="2"/>
    <d v="2023-12-22T00:00:00"/>
  </r>
  <r>
    <s v="TXN_9212052"/>
    <x v="3"/>
    <n v="4"/>
    <n v="5"/>
    <n v="20"/>
    <x v="1"/>
    <x v="2"/>
    <d v="2023-10-15T00:00:00"/>
  </r>
  <r>
    <s v="TXN_2913107"/>
    <x v="5"/>
    <n v="4"/>
    <n v="2"/>
    <n v="8"/>
    <x v="2"/>
    <x v="1"/>
    <d v="2023-05-20T00:00:00"/>
  </r>
  <r>
    <s v="TXN_2550923"/>
    <x v="1"/>
    <n v="2"/>
    <n v="3"/>
    <n v="6"/>
    <x v="1"/>
    <x v="0"/>
    <d v="2023-08-26T00:00:00"/>
  </r>
  <r>
    <s v="TXN_3352028"/>
    <x v="5"/>
    <n v="4"/>
    <n v="1"/>
    <n v="4"/>
    <x v="0"/>
    <x v="1"/>
    <d v="2023-08-26T00:00:00"/>
  </r>
  <r>
    <s v="TXN_2682803"/>
    <x v="1"/>
    <n v="5"/>
    <n v="3"/>
    <n v="15"/>
    <x v="0"/>
    <x v="0"/>
    <d v="2023-04-09T00:00:00"/>
  </r>
  <r>
    <s v="TXN_1745182"/>
    <x v="2"/>
    <n v="2"/>
    <n v="1"/>
    <n v="2"/>
    <x v="3"/>
    <x v="0"/>
    <d v="2023-09-26T00:00:00"/>
  </r>
  <r>
    <s v="TXN_7608637"/>
    <x v="5"/>
    <n v="1"/>
    <n v="5"/>
    <n v="5"/>
    <x v="3"/>
    <x v="2"/>
    <d v="2023-04-08T00:00:00"/>
  </r>
  <r>
    <s v="TXN_6388090"/>
    <x v="7"/>
    <n v="4"/>
    <n v="3"/>
    <n v="12"/>
    <x v="2"/>
    <x v="2"/>
    <m/>
  </r>
  <r>
    <s v="TXN_4335735"/>
    <x v="0"/>
    <n v="2"/>
    <n v="2"/>
    <n v="4"/>
    <x v="2"/>
    <x v="2"/>
    <d v="2023-04-07T00:00:00"/>
  </r>
  <r>
    <s v="TXN_9264301"/>
    <x v="0"/>
    <n v="1"/>
    <n v="2"/>
    <n v="2"/>
    <x v="2"/>
    <x v="1"/>
    <d v="2023-10-24T00:00:00"/>
  </r>
  <r>
    <s v="TXN_6547896"/>
    <x v="0"/>
    <n v="3"/>
    <n v="2"/>
    <n v="6"/>
    <x v="2"/>
    <x v="2"/>
    <d v="2023-03-02T00:00:00"/>
  </r>
  <r>
    <s v="TXN_2414686"/>
    <x v="1"/>
    <n v="1"/>
    <n v="3"/>
    <n v="3"/>
    <x v="1"/>
    <x v="2"/>
    <m/>
  </r>
  <r>
    <s v="TXN_9868114"/>
    <x v="4"/>
    <n v="2"/>
    <n v="4"/>
    <n v="8"/>
    <x v="0"/>
    <x v="1"/>
    <d v="2023-11-12T00:00:00"/>
  </r>
  <r>
    <s v="TXN_6127474"/>
    <x v="2"/>
    <n v="5"/>
    <n v="1"/>
    <n v="5"/>
    <x v="1"/>
    <x v="1"/>
    <d v="2023-09-17T00:00:00"/>
  </r>
  <r>
    <s v="TXN_5549557"/>
    <x v="1"/>
    <n v="2"/>
    <n v="3"/>
    <n v="6"/>
    <x v="1"/>
    <x v="1"/>
    <d v="2023-02-27T00:00:00"/>
  </r>
  <r>
    <s v="TXN_4668762"/>
    <x v="4"/>
    <n v="3"/>
    <n v="4"/>
    <n v="12"/>
    <x v="3"/>
    <x v="2"/>
    <d v="2023-03-10T00:00:00"/>
  </r>
  <r>
    <s v="TXN_1058466"/>
    <x v="2"/>
    <n v="3"/>
    <n v="1"/>
    <n v="3"/>
    <x v="3"/>
    <x v="0"/>
    <d v="2023-12-07T00:00:00"/>
  </r>
  <r>
    <s v="TXN_8892230"/>
    <x v="0"/>
    <n v="5"/>
    <n v="2"/>
    <n v="10"/>
    <x v="2"/>
    <x v="2"/>
    <d v="2023-03-02T00:00:00"/>
  </r>
  <r>
    <s v="TXN_3332915"/>
    <x v="2"/>
    <n v="2"/>
    <n v="1"/>
    <n v="2"/>
    <x v="2"/>
    <x v="0"/>
    <d v="2023-01-19T00:00:00"/>
  </r>
  <r>
    <s v="TXN_9596023"/>
    <x v="0"/>
    <n v="5"/>
    <n v="2"/>
    <n v="10"/>
    <x v="3"/>
    <x v="0"/>
    <d v="2023-11-30T00:00:00"/>
  </r>
  <r>
    <s v="TXN_6122423"/>
    <x v="3"/>
    <n v="4"/>
    <n v="5"/>
    <n v="20"/>
    <x v="2"/>
    <x v="1"/>
    <d v="2023-09-28T00:00:00"/>
  </r>
  <r>
    <s v="TXN_8934637"/>
    <x v="4"/>
    <n v="1"/>
    <n v="4"/>
    <n v="4"/>
    <x v="2"/>
    <x v="1"/>
    <d v="2023-01-07T00:00:00"/>
  </r>
  <r>
    <s v="TXN_4846406"/>
    <x v="2"/>
    <n v="3"/>
    <n v="1"/>
    <n v="3"/>
    <x v="1"/>
    <x v="1"/>
    <d v="2023-05-22T00:00:00"/>
  </r>
  <r>
    <s v="TXN_8917300"/>
    <x v="2"/>
    <n v="1"/>
    <n v="1"/>
    <n v="1"/>
    <x v="1"/>
    <x v="0"/>
    <d v="2023-03-04T00:00:00"/>
  </r>
  <r>
    <s v="TXN_7742182"/>
    <x v="8"/>
    <n v="2"/>
    <n v="1.5"/>
    <n v="3"/>
    <x v="2"/>
    <x v="2"/>
    <d v="2023-11-09T00:00:00"/>
  </r>
  <r>
    <s v="TXN_8131533"/>
    <x v="1"/>
    <n v="1"/>
    <n v="3"/>
    <n v="3"/>
    <x v="1"/>
    <x v="1"/>
    <d v="2023-07-18T00:00:00"/>
  </r>
  <r>
    <s v="TXN_1836754"/>
    <x v="8"/>
    <n v="1"/>
    <n v="1.5"/>
    <n v="1.5"/>
    <x v="0"/>
    <x v="1"/>
    <d v="2023-09-10T00:00:00"/>
  </r>
  <r>
    <s v="TXN_2531878"/>
    <x v="3"/>
    <n v="3"/>
    <n v="5"/>
    <n v="15"/>
    <x v="2"/>
    <x v="2"/>
    <d v="2023-01-06T00:00:00"/>
  </r>
  <r>
    <s v="TXN_8126586"/>
    <x v="6"/>
    <n v="5"/>
    <n v="4"/>
    <n v="20"/>
    <x v="2"/>
    <x v="1"/>
    <d v="2023-11-19T00:00:00"/>
  </r>
  <r>
    <s v="TXN_4522292"/>
    <x v="2"/>
    <n v="1"/>
    <n v="1"/>
    <n v="1"/>
    <x v="3"/>
    <x v="1"/>
    <d v="2023-07-12T00:00:00"/>
  </r>
  <r>
    <s v="TXN_2896162"/>
    <x v="2"/>
    <n v="2"/>
    <n v="1"/>
    <n v="2"/>
    <x v="0"/>
    <x v="1"/>
    <m/>
  </r>
  <r>
    <s v="TXN_4209377"/>
    <x v="3"/>
    <n v="2"/>
    <n v="5"/>
    <n v="10"/>
    <x v="2"/>
    <x v="2"/>
    <d v="2023-02-07T00:00:00"/>
  </r>
  <r>
    <s v="TXN_9097321"/>
    <x v="7"/>
    <n v="2"/>
    <n v="3"/>
    <n v="6"/>
    <x v="0"/>
    <x v="2"/>
    <d v="2023-10-02T00:00:00"/>
  </r>
  <r>
    <s v="TXN_8258400"/>
    <x v="5"/>
    <n v="5"/>
    <n v="5"/>
    <n v="25"/>
    <x v="2"/>
    <x v="2"/>
    <d v="2023-10-09T00:00:00"/>
  </r>
  <r>
    <s v="TXN_3267393"/>
    <x v="6"/>
    <n v="2"/>
    <n v="4"/>
    <n v="8"/>
    <x v="2"/>
    <x v="1"/>
    <d v="2023-02-24T00:00:00"/>
  </r>
  <r>
    <s v="TXN_2389110"/>
    <x v="6"/>
    <n v="2"/>
    <n v="4"/>
    <n v="8"/>
    <x v="1"/>
    <x v="1"/>
    <d v="2023-05-30T00:00:00"/>
  </r>
  <r>
    <s v="TXN_2704452"/>
    <x v="3"/>
    <n v="2"/>
    <n v="5"/>
    <n v="10"/>
    <x v="0"/>
    <x v="0"/>
    <d v="2023-09-05T00:00:00"/>
  </r>
  <r>
    <s v="TXN_4892165"/>
    <x v="7"/>
    <n v="3"/>
    <n v="3"/>
    <n v="9"/>
    <x v="1"/>
    <x v="1"/>
    <d v="2023-07-27T00:00:00"/>
  </r>
  <r>
    <s v="TXN_6588156"/>
    <x v="1"/>
    <n v="4"/>
    <n v="3"/>
    <n v="12"/>
    <x v="2"/>
    <x v="1"/>
    <d v="2023-04-14T00:00:00"/>
  </r>
  <r>
    <s v="TXN_4721830"/>
    <x v="6"/>
    <n v="3"/>
    <n v="4"/>
    <n v="12"/>
    <x v="2"/>
    <x v="2"/>
    <d v="2023-11-15T00:00:00"/>
  </r>
  <r>
    <s v="TXN_6941542"/>
    <x v="6"/>
    <n v="3"/>
    <n v="4"/>
    <n v="12"/>
    <x v="2"/>
    <x v="1"/>
    <d v="2023-09-27T00:00:00"/>
  </r>
  <r>
    <s v="TXN_5214986"/>
    <x v="2"/>
    <n v="5"/>
    <n v="1"/>
    <n v="5"/>
    <x v="0"/>
    <x v="1"/>
    <d v="2023-09-21T00:00:00"/>
  </r>
  <r>
    <s v="TXN_3635874"/>
    <x v="6"/>
    <n v="2"/>
    <n v="4"/>
    <n v="8"/>
    <x v="1"/>
    <x v="2"/>
    <d v="2023-03-16T00:00:00"/>
  </r>
  <r>
    <s v="TXN_1721910"/>
    <x v="7"/>
    <n v="4"/>
    <n v="3"/>
    <n v="12"/>
    <x v="3"/>
    <x v="2"/>
    <d v="2023-03-21T00:00:00"/>
  </r>
  <r>
    <s v="TXN_9615339"/>
    <x v="6"/>
    <n v="1"/>
    <n v="4"/>
    <n v="4"/>
    <x v="2"/>
    <x v="1"/>
    <m/>
  </r>
  <r>
    <s v="TXN_1120969"/>
    <x v="0"/>
    <n v="2"/>
    <n v="2"/>
    <n v="4"/>
    <x v="0"/>
    <x v="2"/>
    <d v="2023-04-15T00:00:00"/>
  </r>
  <r>
    <s v="TXN_4246000"/>
    <x v="2"/>
    <n v="2"/>
    <n v="1"/>
    <n v="2"/>
    <x v="0"/>
    <x v="0"/>
    <d v="2023-07-09T00:00:00"/>
  </r>
  <r>
    <s v="TXN_9253541"/>
    <x v="5"/>
    <n v="1"/>
    <n v="1.5"/>
    <n v="1.5"/>
    <x v="3"/>
    <x v="2"/>
    <d v="2023-06-04T00:00:00"/>
  </r>
  <r>
    <s v="TXN_9699174"/>
    <x v="4"/>
    <n v="3"/>
    <n v="4"/>
    <n v="12"/>
    <x v="2"/>
    <x v="2"/>
    <d v="2023-01-03T00:00:00"/>
  </r>
  <r>
    <s v="TXN_6036409"/>
    <x v="8"/>
    <n v="5"/>
    <n v="1.5"/>
    <n v="7.5"/>
    <x v="1"/>
    <x v="0"/>
    <d v="2023-02-16T00:00:00"/>
  </r>
  <r>
    <s v="TXN_5927258"/>
    <x v="8"/>
    <n v="5"/>
    <n v="1.5"/>
    <n v="7.5"/>
    <x v="2"/>
    <x v="1"/>
    <d v="2023-10-18T00:00:00"/>
  </r>
  <r>
    <s v="TXN_6027031"/>
    <x v="7"/>
    <n v="5"/>
    <n v="3"/>
    <n v="15"/>
    <x v="0"/>
    <x v="1"/>
    <d v="2023-11-15T00:00:00"/>
  </r>
  <r>
    <s v="TXN_4449992"/>
    <x v="5"/>
    <n v="3"/>
    <n v="1"/>
    <n v="3"/>
    <x v="3"/>
    <x v="2"/>
    <d v="2023-01-09T00:00:00"/>
  </r>
  <r>
    <s v="TXN_3018211"/>
    <x v="3"/>
    <n v="4"/>
    <n v="5"/>
    <n v="20"/>
    <x v="2"/>
    <x v="2"/>
    <m/>
  </r>
  <r>
    <s v="TXN_1900906"/>
    <x v="0"/>
    <n v="5"/>
    <n v="2"/>
    <n v="10"/>
    <x v="1"/>
    <x v="2"/>
    <d v="2023-01-31T00:00:00"/>
  </r>
  <r>
    <s v="TXN_7171590"/>
    <x v="0"/>
    <n v="3"/>
    <n v="2"/>
    <n v="6"/>
    <x v="0"/>
    <x v="1"/>
    <d v="2023-04-24T00:00:00"/>
  </r>
  <r>
    <s v="TXN_5746203"/>
    <x v="8"/>
    <n v="5"/>
    <n v="1.5"/>
    <n v="7.5"/>
    <x v="1"/>
    <x v="2"/>
    <d v="2023-07-08T00:00:00"/>
  </r>
  <r>
    <s v="TXN_1696300"/>
    <x v="2"/>
    <n v="1"/>
    <n v="1"/>
    <n v="1"/>
    <x v="3"/>
    <x v="1"/>
    <d v="2023-05-28T00:00:00"/>
  </r>
  <r>
    <s v="TXN_1255476"/>
    <x v="4"/>
    <n v="1"/>
    <n v="4"/>
    <n v="4"/>
    <x v="2"/>
    <x v="2"/>
    <d v="2023-08-28T00:00:00"/>
  </r>
  <r>
    <s v="TXN_9403115"/>
    <x v="8"/>
    <n v="1"/>
    <n v="1.5"/>
    <n v="1.5"/>
    <x v="2"/>
    <x v="2"/>
    <d v="2023-04-17T00:00:00"/>
  </r>
  <r>
    <s v="TXN_4476539"/>
    <x v="3"/>
    <n v="2"/>
    <n v="5"/>
    <n v="10"/>
    <x v="1"/>
    <x v="2"/>
    <d v="2023-04-19T00:00:00"/>
  </r>
  <r>
    <s v="TXN_5263133"/>
    <x v="7"/>
    <n v="2"/>
    <n v="3"/>
    <n v="6"/>
    <x v="2"/>
    <x v="0"/>
    <d v="2023-05-22T00:00:00"/>
  </r>
  <r>
    <s v="TXN_8473362"/>
    <x v="7"/>
    <n v="3"/>
    <n v="3"/>
    <n v="9"/>
    <x v="3"/>
    <x v="2"/>
    <d v="2023-11-22T00:00:00"/>
  </r>
  <r>
    <s v="TXN_8402606"/>
    <x v="2"/>
    <n v="3"/>
    <n v="1"/>
    <n v="3"/>
    <x v="2"/>
    <x v="0"/>
    <d v="2023-05-09T00:00:00"/>
  </r>
  <r>
    <s v="TXN_6857799"/>
    <x v="2"/>
    <n v="4"/>
    <n v="1"/>
    <n v="4"/>
    <x v="1"/>
    <x v="2"/>
    <d v="2023-01-08T00:00:00"/>
  </r>
  <r>
    <s v="TXN_9362993"/>
    <x v="0"/>
    <n v="3"/>
    <n v="2"/>
    <n v="6"/>
    <x v="1"/>
    <x v="1"/>
    <d v="2023-10-22T00:00:00"/>
  </r>
  <r>
    <s v="TXN_7458568"/>
    <x v="4"/>
    <n v="5"/>
    <n v="4"/>
    <n v="20"/>
    <x v="3"/>
    <x v="2"/>
    <d v="2023-05-09T00:00:00"/>
  </r>
  <r>
    <s v="TXN_7474617"/>
    <x v="3"/>
    <n v="3"/>
    <n v="5"/>
    <n v="15"/>
    <x v="0"/>
    <x v="0"/>
    <m/>
  </r>
  <r>
    <s v="TXN_1959082"/>
    <x v="7"/>
    <n v="5"/>
    <n v="3"/>
    <n v="15"/>
    <x v="0"/>
    <x v="2"/>
    <d v="2023-06-08T00:00:00"/>
  </r>
  <r>
    <s v="TXN_9630958"/>
    <x v="4"/>
    <n v="5"/>
    <n v="4"/>
    <n v="20"/>
    <x v="3"/>
    <x v="1"/>
    <d v="2023-12-26T00:00:00"/>
  </r>
  <r>
    <s v="TXN_4290475"/>
    <x v="4"/>
    <n v="1"/>
    <n v="4"/>
    <n v="4"/>
    <x v="2"/>
    <x v="0"/>
    <d v="2023-04-20T00:00:00"/>
  </r>
  <r>
    <s v="TXN_4561296"/>
    <x v="3"/>
    <n v="5"/>
    <n v="5"/>
    <n v="25"/>
    <x v="1"/>
    <x v="1"/>
    <d v="2023-11-22T00:00:00"/>
  </r>
  <r>
    <s v="TXN_6422545"/>
    <x v="7"/>
    <n v="2"/>
    <n v="3"/>
    <n v="6"/>
    <x v="0"/>
    <x v="0"/>
    <d v="2023-11-03T00:00:00"/>
  </r>
  <r>
    <s v="TXN_6012728"/>
    <x v="1"/>
    <n v="4"/>
    <n v="3"/>
    <n v="12"/>
    <x v="0"/>
    <x v="1"/>
    <d v="2023-05-09T00:00:00"/>
  </r>
  <r>
    <s v="TXN_8886678"/>
    <x v="8"/>
    <n v="5"/>
    <n v="1.5"/>
    <n v="7.5"/>
    <x v="1"/>
    <x v="2"/>
    <d v="2023-03-27T00:00:00"/>
  </r>
  <r>
    <s v="TXN_5424622"/>
    <x v="8"/>
    <n v="4"/>
    <n v="1.5"/>
    <n v="6"/>
    <x v="2"/>
    <x v="1"/>
    <d v="2023-07-12T00:00:00"/>
  </r>
  <r>
    <s v="TXN_1204426"/>
    <x v="6"/>
    <n v="3"/>
    <n v="4"/>
    <n v="12"/>
    <x v="0"/>
    <x v="2"/>
    <d v="2023-01-16T00:00:00"/>
  </r>
  <r>
    <s v="TXN_1885495"/>
    <x v="0"/>
    <n v="4"/>
    <n v="2"/>
    <n v="8"/>
    <x v="1"/>
    <x v="2"/>
    <d v="2023-03-04T00:00:00"/>
  </r>
  <r>
    <s v="TXN_3646359"/>
    <x v="3"/>
    <n v="2"/>
    <n v="5"/>
    <n v="10"/>
    <x v="0"/>
    <x v="2"/>
    <d v="2023-07-23T00:00:00"/>
  </r>
  <r>
    <s v="TXN_3284157"/>
    <x v="8"/>
    <n v="4"/>
    <n v="1.5"/>
    <n v="6"/>
    <x v="3"/>
    <x v="2"/>
    <d v="2023-05-17T00:00:00"/>
  </r>
  <r>
    <s v="TXN_4533186"/>
    <x v="8"/>
    <n v="3"/>
    <n v="1.5"/>
    <n v="4.5"/>
    <x v="2"/>
    <x v="0"/>
    <d v="2023-04-19T00:00:00"/>
  </r>
  <r>
    <s v="TXN_3046567"/>
    <x v="3"/>
    <n v="2"/>
    <n v="5"/>
    <n v="10"/>
    <x v="0"/>
    <x v="1"/>
    <d v="2023-01-07T00:00:00"/>
  </r>
  <r>
    <s v="TXN_3594827"/>
    <x v="7"/>
    <n v="5"/>
    <n v="3"/>
    <n v="15"/>
    <x v="3"/>
    <x v="1"/>
    <d v="2023-03-09T00:00:00"/>
  </r>
  <r>
    <s v="TXN_2883054"/>
    <x v="1"/>
    <n v="4"/>
    <n v="3"/>
    <n v="12"/>
    <x v="1"/>
    <x v="1"/>
    <d v="2023-11-17T00:00:00"/>
  </r>
  <r>
    <s v="TXN_1744319"/>
    <x v="4"/>
    <n v="3"/>
    <n v="4"/>
    <n v="12"/>
    <x v="1"/>
    <x v="2"/>
    <d v="2023-03-24T00:00:00"/>
  </r>
  <r>
    <s v="TXN_6182856"/>
    <x v="1"/>
    <n v="4"/>
    <n v="3"/>
    <n v="12"/>
    <x v="0"/>
    <x v="0"/>
    <d v="2023-04-02T00:00:00"/>
  </r>
  <r>
    <s v="TXN_7341998"/>
    <x v="1"/>
    <n v="3"/>
    <n v="3"/>
    <n v="9"/>
    <x v="3"/>
    <x v="2"/>
    <d v="2023-02-18T00:00:00"/>
  </r>
  <r>
    <s v="TXN_5438422"/>
    <x v="4"/>
    <n v="3"/>
    <n v="4"/>
    <n v="12"/>
    <x v="2"/>
    <x v="1"/>
    <d v="2023-09-25T00:00:00"/>
  </r>
  <r>
    <s v="TXN_7187128"/>
    <x v="8"/>
    <n v="5"/>
    <n v="1.5"/>
    <n v="7.5"/>
    <x v="2"/>
    <x v="0"/>
    <d v="2023-08-24T00:00:00"/>
  </r>
  <r>
    <s v="TXN_6499084"/>
    <x v="1"/>
    <n v="4"/>
    <n v="3"/>
    <n v="12"/>
    <x v="0"/>
    <x v="0"/>
    <d v="2023-03-15T00:00:00"/>
  </r>
  <r>
    <s v="TXN_5738243"/>
    <x v="3"/>
    <n v="5"/>
    <n v="5"/>
    <n v="25"/>
    <x v="0"/>
    <x v="0"/>
    <d v="2023-08-30T00:00:00"/>
  </r>
  <r>
    <s v="TXN_8946752"/>
    <x v="8"/>
    <n v="4"/>
    <n v="1.5"/>
    <n v="6"/>
    <x v="1"/>
    <x v="2"/>
    <d v="2023-06-08T00:00:00"/>
  </r>
  <r>
    <s v="TXN_5453217"/>
    <x v="0"/>
    <n v="1"/>
    <n v="2"/>
    <n v="2"/>
    <x v="0"/>
    <x v="1"/>
    <d v="2023-07-11T00:00:00"/>
  </r>
  <r>
    <s v="TXN_9340973"/>
    <x v="2"/>
    <n v="4"/>
    <n v="1"/>
    <n v="4"/>
    <x v="1"/>
    <x v="2"/>
    <d v="2023-03-07T00:00:00"/>
  </r>
  <r>
    <s v="TXN_8562684"/>
    <x v="8"/>
    <n v="5"/>
    <n v="1.5"/>
    <n v="7.5"/>
    <x v="2"/>
    <x v="0"/>
    <d v="2023-06-25T00:00:00"/>
  </r>
  <r>
    <s v="TXN_2477021"/>
    <x v="2"/>
    <n v="4"/>
    <n v="1"/>
    <n v="4"/>
    <x v="0"/>
    <x v="1"/>
    <m/>
  </r>
  <r>
    <s v="TXN_2030078"/>
    <x v="4"/>
    <n v="1"/>
    <n v="4"/>
    <n v="4"/>
    <x v="3"/>
    <x v="0"/>
    <d v="2023-04-10T00:00:00"/>
  </r>
  <r>
    <s v="TXN_9490465"/>
    <x v="5"/>
    <n v="3"/>
    <n v="4"/>
    <n v="12"/>
    <x v="2"/>
    <x v="2"/>
    <d v="2023-05-06T00:00:00"/>
  </r>
  <r>
    <s v="TXN_6603668"/>
    <x v="0"/>
    <n v="4"/>
    <n v="2"/>
    <n v="8"/>
    <x v="0"/>
    <x v="0"/>
    <d v="2023-03-07T00:00:00"/>
  </r>
  <r>
    <s v="TXN_7077961"/>
    <x v="8"/>
    <n v="4"/>
    <n v="1.5"/>
    <n v="6"/>
    <x v="3"/>
    <x v="0"/>
    <d v="2023-09-19T00:00:00"/>
  </r>
  <r>
    <s v="TXN_3343585"/>
    <x v="1"/>
    <n v="1"/>
    <n v="3"/>
    <n v="3"/>
    <x v="1"/>
    <x v="1"/>
    <d v="2023-09-17T00:00:00"/>
  </r>
  <r>
    <s v="TXN_7896831"/>
    <x v="0"/>
    <n v="5"/>
    <n v="2"/>
    <n v="10"/>
    <x v="1"/>
    <x v="0"/>
    <d v="2023-04-01T00:00:00"/>
  </r>
  <r>
    <s v="TXN_2510233"/>
    <x v="5"/>
    <n v="2"/>
    <n v="4"/>
    <n v="8"/>
    <x v="0"/>
    <x v="1"/>
    <d v="2023-11-04T00:00:00"/>
  </r>
  <r>
    <s v="TXN_3541337"/>
    <x v="2"/>
    <n v="4"/>
    <n v="1"/>
    <n v="4"/>
    <x v="3"/>
    <x v="0"/>
    <d v="2023-09-01T00:00:00"/>
  </r>
  <r>
    <s v="TXN_2140056"/>
    <x v="2"/>
    <n v="1"/>
    <n v="1"/>
    <n v="1"/>
    <x v="3"/>
    <x v="0"/>
    <d v="2023-12-07T00:00:00"/>
  </r>
  <r>
    <s v="TXN_9629256"/>
    <x v="1"/>
    <n v="4"/>
    <n v="3"/>
    <n v="12"/>
    <x v="3"/>
    <x v="1"/>
    <d v="2023-11-07T00:00:00"/>
  </r>
  <r>
    <s v="TXN_8419985"/>
    <x v="1"/>
    <n v="3"/>
    <n v="3"/>
    <n v="9"/>
    <x v="2"/>
    <x v="2"/>
    <d v="2023-08-26T00:00:00"/>
  </r>
  <r>
    <s v="TXN_6349916"/>
    <x v="3"/>
    <n v="1"/>
    <n v="5"/>
    <n v="5"/>
    <x v="1"/>
    <x v="2"/>
    <d v="2023-07-09T00:00:00"/>
  </r>
  <r>
    <s v="TXN_6568254"/>
    <x v="3"/>
    <n v="2"/>
    <n v="5"/>
    <n v="10"/>
    <x v="0"/>
    <x v="1"/>
    <d v="2023-02-09T00:00:00"/>
  </r>
  <r>
    <s v="TXN_1730385"/>
    <x v="1"/>
    <n v="2"/>
    <n v="3"/>
    <n v="6"/>
    <x v="0"/>
    <x v="2"/>
    <d v="2023-03-01T00:00:00"/>
  </r>
  <r>
    <s v="TXN_7800576"/>
    <x v="6"/>
    <n v="4"/>
    <n v="4"/>
    <n v="16"/>
    <x v="2"/>
    <x v="2"/>
    <d v="2023-07-13T00:00:00"/>
  </r>
  <r>
    <s v="TXN_6935600"/>
    <x v="0"/>
    <n v="3"/>
    <n v="2"/>
    <n v="6"/>
    <x v="2"/>
    <x v="2"/>
    <d v="2023-01-02T00:00:00"/>
  </r>
  <r>
    <s v="TXN_1851725"/>
    <x v="1"/>
    <n v="5"/>
    <n v="3"/>
    <n v="15"/>
    <x v="1"/>
    <x v="0"/>
    <d v="2023-02-19T00:00:00"/>
  </r>
  <r>
    <s v="TXN_5691112"/>
    <x v="7"/>
    <n v="5"/>
    <n v="3"/>
    <n v="15"/>
    <x v="2"/>
    <x v="2"/>
    <d v="2023-03-24T00:00:00"/>
  </r>
  <r>
    <s v="TXN_9514836"/>
    <x v="0"/>
    <n v="3"/>
    <n v="2"/>
    <n v="6"/>
    <x v="2"/>
    <x v="1"/>
    <d v="2023-03-29T00:00:00"/>
  </r>
  <r>
    <s v="TXN_4172649"/>
    <x v="3"/>
    <n v="4"/>
    <n v="5"/>
    <n v="20"/>
    <x v="3"/>
    <x v="2"/>
    <d v="2023-05-19T00:00:00"/>
  </r>
  <r>
    <s v="TXN_6504096"/>
    <x v="3"/>
    <n v="5"/>
    <n v="5"/>
    <n v="25"/>
    <x v="1"/>
    <x v="2"/>
    <d v="2023-09-10T00:00:00"/>
  </r>
  <r>
    <s v="TXN_9921708"/>
    <x v="1"/>
    <n v="1"/>
    <n v="3"/>
    <n v="3"/>
    <x v="1"/>
    <x v="0"/>
    <d v="2023-07-20T00:00:00"/>
  </r>
  <r>
    <s v="TXN_6361661"/>
    <x v="4"/>
    <n v="2"/>
    <n v="4"/>
    <n v="8"/>
    <x v="1"/>
    <x v="2"/>
    <d v="2023-11-05T00:00:00"/>
  </r>
  <r>
    <s v="TXN_4329116"/>
    <x v="1"/>
    <n v="3"/>
    <n v="3"/>
    <n v="9"/>
    <x v="0"/>
    <x v="1"/>
    <d v="2023-09-29T00:00:00"/>
  </r>
  <r>
    <s v="TXN_4142781"/>
    <x v="6"/>
    <n v="5"/>
    <n v="4"/>
    <n v="20"/>
    <x v="3"/>
    <x v="0"/>
    <d v="2023-01-30T00:00:00"/>
  </r>
  <r>
    <s v="TXN_6055428"/>
    <x v="3"/>
    <n v="5"/>
    <n v="5"/>
    <n v="25"/>
    <x v="1"/>
    <x v="0"/>
    <d v="2023-02-25T00:00:00"/>
  </r>
  <r>
    <s v="TXN_4359885"/>
    <x v="2"/>
    <n v="2"/>
    <n v="1"/>
    <n v="2"/>
    <x v="0"/>
    <x v="1"/>
    <d v="2023-01-16T00:00:00"/>
  </r>
  <r>
    <s v="TXN_4255116"/>
    <x v="7"/>
    <n v="4"/>
    <n v="3"/>
    <n v="12"/>
    <x v="0"/>
    <x v="1"/>
    <d v="2023-12-24T00:00:00"/>
  </r>
  <r>
    <s v="TXN_6511482"/>
    <x v="8"/>
    <n v="3"/>
    <n v="1.5"/>
    <n v="4.5"/>
    <x v="0"/>
    <x v="2"/>
    <d v="2023-03-17T00:00:00"/>
  </r>
  <r>
    <s v="TXN_9672367"/>
    <x v="2"/>
    <n v="2"/>
    <n v="1"/>
    <n v="2"/>
    <x v="2"/>
    <x v="1"/>
    <d v="2023-12-21T00:00:00"/>
  </r>
  <r>
    <s v="TXN_1514364"/>
    <x v="0"/>
    <n v="5"/>
    <n v="2"/>
    <n v="10"/>
    <x v="3"/>
    <x v="1"/>
    <d v="2023-01-21T00:00:00"/>
  </r>
  <r>
    <s v="TXN_1643122"/>
    <x v="7"/>
    <n v="3"/>
    <n v="3"/>
    <n v="9"/>
    <x v="2"/>
    <x v="1"/>
    <d v="2023-05-15T00:00:00"/>
  </r>
  <r>
    <s v="TXN_2252586"/>
    <x v="8"/>
    <n v="3"/>
    <n v="1.5"/>
    <n v="4.5"/>
    <x v="1"/>
    <x v="0"/>
    <d v="2023-09-08T00:00:00"/>
  </r>
  <r>
    <s v="TXN_8853027"/>
    <x v="4"/>
    <n v="5"/>
    <n v="4"/>
    <n v="20"/>
    <x v="0"/>
    <x v="1"/>
    <d v="2023-06-21T00:00:00"/>
  </r>
  <r>
    <s v="TXN_1489200"/>
    <x v="5"/>
    <n v="1"/>
    <n v="3"/>
    <n v="3"/>
    <x v="2"/>
    <x v="2"/>
    <d v="2023-03-27T00:00:00"/>
  </r>
  <r>
    <s v="TXN_2351890"/>
    <x v="8"/>
    <n v="4"/>
    <n v="1.5"/>
    <n v="6"/>
    <x v="2"/>
    <x v="1"/>
    <d v="2023-02-27T00:00:00"/>
  </r>
  <r>
    <s v="TXN_1026050"/>
    <x v="1"/>
    <n v="1"/>
    <n v="3"/>
    <n v="3"/>
    <x v="2"/>
    <x v="2"/>
    <d v="2023-04-23T00:00:00"/>
  </r>
  <r>
    <s v="TXN_3882139"/>
    <x v="4"/>
    <n v="4"/>
    <n v="4"/>
    <n v="16"/>
    <x v="2"/>
    <x v="2"/>
    <d v="2023-12-28T00:00:00"/>
  </r>
  <r>
    <s v="TXN_6296806"/>
    <x v="6"/>
    <n v="2"/>
    <n v="4"/>
    <n v="8"/>
    <x v="2"/>
    <x v="0"/>
    <m/>
  </r>
  <r>
    <s v="TXN_6149247"/>
    <x v="6"/>
    <n v="3"/>
    <n v="4"/>
    <n v="12"/>
    <x v="2"/>
    <x v="0"/>
    <d v="2023-09-21T00:00:00"/>
  </r>
  <r>
    <s v="TXN_3371429"/>
    <x v="3"/>
    <n v="2"/>
    <n v="5"/>
    <n v="10"/>
    <x v="0"/>
    <x v="2"/>
    <d v="2023-11-01T00:00:00"/>
  </r>
  <r>
    <s v="TXN_5136479"/>
    <x v="6"/>
    <n v="1"/>
    <n v="4"/>
    <n v="4"/>
    <x v="2"/>
    <x v="1"/>
    <d v="2023-01-04T00:00:00"/>
  </r>
  <r>
    <s v="TXN_5722175"/>
    <x v="8"/>
    <n v="2"/>
    <n v="1.5"/>
    <n v="3"/>
    <x v="3"/>
    <x v="0"/>
    <d v="2023-03-01T00:00:00"/>
  </r>
  <r>
    <s v="TXN_4075198"/>
    <x v="3"/>
    <n v="5"/>
    <n v="5"/>
    <n v="25"/>
    <x v="1"/>
    <x v="2"/>
    <d v="2023-08-27T00:00:00"/>
  </r>
  <r>
    <s v="TXN_3865627"/>
    <x v="0"/>
    <n v="4"/>
    <n v="2"/>
    <n v="8"/>
    <x v="2"/>
    <x v="1"/>
    <d v="2023-02-16T00:00:00"/>
  </r>
  <r>
    <s v="TXN_2136226"/>
    <x v="7"/>
    <n v="2"/>
    <n v="3"/>
    <n v="6"/>
    <x v="3"/>
    <x v="1"/>
    <d v="2023-12-12T00:00:00"/>
  </r>
  <r>
    <s v="TXN_2920551"/>
    <x v="6"/>
    <n v="4"/>
    <n v="4"/>
    <n v="16"/>
    <x v="0"/>
    <x v="0"/>
    <d v="2023-11-27T00:00:00"/>
  </r>
  <r>
    <s v="TXN_9206923"/>
    <x v="6"/>
    <n v="1"/>
    <n v="4"/>
    <n v="4"/>
    <x v="2"/>
    <x v="2"/>
    <d v="2023-11-16T00:00:00"/>
  </r>
  <r>
    <s v="TXN_6335909"/>
    <x v="3"/>
    <n v="4"/>
    <n v="5"/>
    <n v="20"/>
    <x v="2"/>
    <x v="1"/>
    <d v="2023-06-21T00:00:00"/>
  </r>
  <r>
    <s v="TXN_8107970"/>
    <x v="0"/>
    <n v="2"/>
    <n v="2"/>
    <n v="4"/>
    <x v="0"/>
    <x v="0"/>
    <d v="2023-06-03T00:00:00"/>
  </r>
  <r>
    <s v="TXN_3435561"/>
    <x v="5"/>
    <n v="2"/>
    <n v="3"/>
    <n v="6"/>
    <x v="2"/>
    <x v="0"/>
    <m/>
  </r>
  <r>
    <s v="TXN_8079747"/>
    <x v="5"/>
    <n v="2"/>
    <n v="5"/>
    <n v="10"/>
    <x v="3"/>
    <x v="2"/>
    <d v="2023-03-18T00:00:00"/>
  </r>
  <r>
    <s v="TXN_2135358"/>
    <x v="1"/>
    <n v="5"/>
    <n v="3"/>
    <n v="15"/>
    <x v="0"/>
    <x v="2"/>
    <d v="2023-05-28T00:00:00"/>
  </r>
  <r>
    <s v="TXN_1313701"/>
    <x v="2"/>
    <n v="2"/>
    <n v="1"/>
    <n v="2"/>
    <x v="2"/>
    <x v="2"/>
    <d v="2023-10-03T00:00:00"/>
  </r>
  <r>
    <s v="TXN_4035669"/>
    <x v="7"/>
    <n v="3"/>
    <n v="3"/>
    <n v="9"/>
    <x v="1"/>
    <x v="2"/>
    <d v="2023-04-21T00:00:00"/>
  </r>
  <r>
    <s v="TXN_5900899"/>
    <x v="5"/>
    <n v="4"/>
    <n v="1"/>
    <n v="4"/>
    <x v="2"/>
    <x v="0"/>
    <m/>
  </r>
  <r>
    <s v="TXN_4037502"/>
    <x v="0"/>
    <n v="2"/>
    <n v="2"/>
    <n v="4"/>
    <x v="1"/>
    <x v="0"/>
    <d v="2023-08-10T00:00:00"/>
  </r>
  <r>
    <s v="TXN_6879752"/>
    <x v="8"/>
    <n v="1"/>
    <n v="1.5"/>
    <n v="1.5"/>
    <x v="3"/>
    <x v="1"/>
    <d v="2023-10-07T00:00:00"/>
  </r>
  <r>
    <s v="TXN_8708666"/>
    <x v="1"/>
    <n v="4"/>
    <n v="3"/>
    <n v="12"/>
    <x v="2"/>
    <x v="0"/>
    <d v="2023-01-10T00:00:00"/>
  </r>
  <r>
    <s v="TXN_5535579"/>
    <x v="0"/>
    <n v="5"/>
    <n v="2"/>
    <n v="10"/>
    <x v="1"/>
    <x v="1"/>
    <d v="2023-12-21T00:00:00"/>
  </r>
  <r>
    <s v="TXN_2449402"/>
    <x v="4"/>
    <n v="5"/>
    <n v="4"/>
    <n v="20"/>
    <x v="1"/>
    <x v="2"/>
    <d v="2023-01-29T00:00:00"/>
  </r>
  <r>
    <s v="TXN_6097759"/>
    <x v="4"/>
    <n v="4"/>
    <n v="4"/>
    <n v="16"/>
    <x v="1"/>
    <x v="1"/>
    <d v="2023-06-18T00:00:00"/>
  </r>
  <r>
    <s v="TXN_9579740"/>
    <x v="1"/>
    <n v="3"/>
    <n v="3"/>
    <n v="9"/>
    <x v="3"/>
    <x v="2"/>
    <d v="2023-03-05T00:00:00"/>
  </r>
  <r>
    <s v="TXN_3026936"/>
    <x v="1"/>
    <n v="5"/>
    <n v="3"/>
    <n v="15"/>
    <x v="2"/>
    <x v="2"/>
    <d v="2023-05-19T00:00:00"/>
  </r>
  <r>
    <s v="TXN_2532519"/>
    <x v="1"/>
    <n v="2"/>
    <n v="3"/>
    <n v="6"/>
    <x v="3"/>
    <x v="2"/>
    <d v="2023-04-10T00:00:00"/>
  </r>
  <r>
    <s v="TXN_9959765"/>
    <x v="7"/>
    <n v="4"/>
    <n v="3"/>
    <n v="12"/>
    <x v="1"/>
    <x v="2"/>
    <d v="2023-02-19T00:00:00"/>
  </r>
  <r>
    <s v="TXN_9514996"/>
    <x v="6"/>
    <n v="2"/>
    <n v="4"/>
    <n v="8"/>
    <x v="0"/>
    <x v="0"/>
    <d v="2023-07-25T00:00:00"/>
  </r>
  <r>
    <s v="TXN_6757560"/>
    <x v="1"/>
    <n v="4"/>
    <n v="3"/>
    <n v="12"/>
    <x v="1"/>
    <x v="2"/>
    <d v="2023-08-12T00:00:00"/>
  </r>
  <r>
    <s v="TXN_2222893"/>
    <x v="0"/>
    <n v="4"/>
    <n v="2"/>
    <n v="8"/>
    <x v="2"/>
    <x v="0"/>
    <d v="2023-12-20T00:00:00"/>
  </r>
  <r>
    <s v="TXN_4346607"/>
    <x v="3"/>
    <n v="2"/>
    <n v="5"/>
    <n v="10"/>
    <x v="3"/>
    <x v="2"/>
    <d v="2023-03-17T00:00:00"/>
  </r>
  <r>
    <s v="TXN_2586830"/>
    <x v="7"/>
    <n v="1"/>
    <n v="3"/>
    <n v="3"/>
    <x v="2"/>
    <x v="1"/>
    <d v="2023-02-12T00:00:00"/>
  </r>
  <r>
    <s v="TXN_2706461"/>
    <x v="3"/>
    <n v="3"/>
    <n v="5"/>
    <n v="15"/>
    <x v="0"/>
    <x v="2"/>
    <d v="2023-12-13T00:00:00"/>
  </r>
  <r>
    <s v="TXN_1829391"/>
    <x v="7"/>
    <n v="4"/>
    <n v="3"/>
    <n v="12"/>
    <x v="0"/>
    <x v="2"/>
    <d v="2023-10-06T00:00:00"/>
  </r>
  <r>
    <s v="TXN_5022805"/>
    <x v="6"/>
    <n v="1"/>
    <n v="4"/>
    <n v="4"/>
    <x v="0"/>
    <x v="0"/>
    <d v="2023-12-17T00:00:00"/>
  </r>
  <r>
    <s v="TXN_6815801"/>
    <x v="2"/>
    <n v="1"/>
    <n v="1"/>
    <n v="1"/>
    <x v="3"/>
    <x v="0"/>
    <d v="2023-03-15T00:00:00"/>
  </r>
  <r>
    <s v="TXN_2541441"/>
    <x v="1"/>
    <n v="1"/>
    <n v="3"/>
    <n v="3"/>
    <x v="1"/>
    <x v="0"/>
    <d v="2023-09-21T00:00:00"/>
  </r>
  <r>
    <s v="TXN_5189465"/>
    <x v="2"/>
    <n v="4"/>
    <n v="1"/>
    <n v="4"/>
    <x v="2"/>
    <x v="0"/>
    <d v="2023-10-04T00:00:00"/>
  </r>
  <r>
    <s v="TXN_1217810"/>
    <x v="2"/>
    <n v="1"/>
    <n v="1"/>
    <n v="1"/>
    <x v="3"/>
    <x v="2"/>
    <d v="2023-07-06T00:00:00"/>
  </r>
  <r>
    <s v="TXN_4894647"/>
    <x v="3"/>
    <n v="2"/>
    <n v="5"/>
    <n v="10"/>
    <x v="1"/>
    <x v="0"/>
    <d v="2023-12-26T00:00:00"/>
  </r>
  <r>
    <s v="TXN_7622855"/>
    <x v="6"/>
    <n v="2"/>
    <n v="4"/>
    <n v="8"/>
    <x v="0"/>
    <x v="2"/>
    <d v="2023-07-10T00:00:00"/>
  </r>
  <r>
    <s v="TXN_3215610"/>
    <x v="5"/>
    <n v="2"/>
    <n v="3"/>
    <n v="6"/>
    <x v="3"/>
    <x v="0"/>
    <d v="2023-06-14T00:00:00"/>
  </r>
  <r>
    <s v="TXN_9931637"/>
    <x v="1"/>
    <n v="2"/>
    <n v="3"/>
    <n v="6"/>
    <x v="1"/>
    <x v="0"/>
    <d v="2023-09-17T00:00:00"/>
  </r>
  <r>
    <s v="TXN_6625294"/>
    <x v="6"/>
    <n v="2"/>
    <n v="4"/>
    <n v="8"/>
    <x v="3"/>
    <x v="2"/>
    <d v="2023-03-05T00:00:00"/>
  </r>
  <r>
    <s v="TXN_4577368"/>
    <x v="1"/>
    <n v="4"/>
    <n v="3"/>
    <n v="12"/>
    <x v="1"/>
    <x v="2"/>
    <d v="2023-05-29T00:00:00"/>
  </r>
  <r>
    <s v="TXN_4158904"/>
    <x v="7"/>
    <n v="2"/>
    <n v="3"/>
    <n v="6"/>
    <x v="3"/>
    <x v="1"/>
    <d v="2023-01-31T00:00:00"/>
  </r>
  <r>
    <s v="TXN_3444569"/>
    <x v="5"/>
    <n v="1"/>
    <n v="4"/>
    <n v="4"/>
    <x v="0"/>
    <x v="0"/>
    <d v="2023-10-07T00:00:00"/>
  </r>
  <r>
    <s v="TXN_1208926"/>
    <x v="2"/>
    <n v="4"/>
    <n v="1"/>
    <n v="4"/>
    <x v="0"/>
    <x v="1"/>
    <d v="2023-12-07T00:00:00"/>
  </r>
  <r>
    <s v="TXN_8090361"/>
    <x v="0"/>
    <n v="1"/>
    <n v="2"/>
    <n v="2"/>
    <x v="2"/>
    <x v="2"/>
    <d v="2023-03-12T00:00:00"/>
  </r>
  <r>
    <s v="TXN_8363628"/>
    <x v="3"/>
    <n v="1"/>
    <n v="5"/>
    <n v="5"/>
    <x v="3"/>
    <x v="2"/>
    <d v="2023-04-07T00:00:00"/>
  </r>
  <r>
    <s v="TXN_4761088"/>
    <x v="1"/>
    <n v="4"/>
    <n v="3"/>
    <n v="12"/>
    <x v="3"/>
    <x v="2"/>
    <d v="2023-08-27T00:00:00"/>
  </r>
  <r>
    <s v="TXN_2672126"/>
    <x v="5"/>
    <n v="3"/>
    <n v="1"/>
    <n v="3"/>
    <x v="1"/>
    <x v="2"/>
    <d v="2023-07-07T00:00:00"/>
  </r>
  <r>
    <s v="TXN_3232279"/>
    <x v="5"/>
    <n v="4"/>
    <n v="4"/>
    <n v="16"/>
    <x v="2"/>
    <x v="0"/>
    <d v="2023-05-30T00:00:00"/>
  </r>
  <r>
    <s v="TXN_8526941"/>
    <x v="6"/>
    <n v="5"/>
    <n v="4"/>
    <n v="20"/>
    <x v="2"/>
    <x v="0"/>
    <d v="2023-03-16T00:00:00"/>
  </r>
  <r>
    <s v="TXN_2453194"/>
    <x v="1"/>
    <n v="4"/>
    <n v="3"/>
    <n v="12"/>
    <x v="3"/>
    <x v="2"/>
    <d v="2023-11-18T00:00:00"/>
  </r>
  <r>
    <s v="TXN_9970195"/>
    <x v="0"/>
    <n v="2"/>
    <n v="2"/>
    <n v="4"/>
    <x v="2"/>
    <x v="2"/>
    <d v="2023-11-10T00:00:00"/>
  </r>
  <r>
    <s v="TXN_4458848"/>
    <x v="2"/>
    <n v="2"/>
    <n v="1"/>
    <n v="2"/>
    <x v="2"/>
    <x v="1"/>
    <d v="2023-10-30T00:00:00"/>
  </r>
  <r>
    <s v="TXN_1606273"/>
    <x v="0"/>
    <n v="1"/>
    <n v="2"/>
    <n v="2"/>
    <x v="3"/>
    <x v="0"/>
    <d v="2023-11-02T00:00:00"/>
  </r>
  <r>
    <s v="TXN_8053946"/>
    <x v="8"/>
    <n v="1"/>
    <n v="1.5"/>
    <n v="1.5"/>
    <x v="2"/>
    <x v="0"/>
    <d v="2023-09-18T00:00:00"/>
  </r>
  <r>
    <s v="TXN_7963189"/>
    <x v="2"/>
    <n v="4"/>
    <n v="1"/>
    <n v="4"/>
    <x v="3"/>
    <x v="0"/>
    <d v="2023-03-24T00:00:00"/>
  </r>
  <r>
    <s v="TXN_9151273"/>
    <x v="8"/>
    <n v="2"/>
    <n v="1.5"/>
    <n v="3"/>
    <x v="1"/>
    <x v="2"/>
    <d v="2023-04-09T00:00:00"/>
  </r>
  <r>
    <s v="TXN_4702345"/>
    <x v="3"/>
    <n v="4"/>
    <n v="5"/>
    <n v="20"/>
    <x v="3"/>
    <x v="2"/>
    <d v="2023-01-08T00:00:00"/>
  </r>
  <r>
    <s v="TXN_7972349"/>
    <x v="1"/>
    <n v="4"/>
    <n v="3"/>
    <n v="12"/>
    <x v="2"/>
    <x v="1"/>
    <d v="2023-04-19T00:00:00"/>
  </r>
  <r>
    <s v="TXN_4832452"/>
    <x v="8"/>
    <n v="5"/>
    <n v="1.5"/>
    <n v="7.5"/>
    <x v="1"/>
    <x v="2"/>
    <d v="2023-02-05T00:00:00"/>
  </r>
  <r>
    <s v="TXN_9314690"/>
    <x v="3"/>
    <n v="2"/>
    <n v="5"/>
    <n v="10"/>
    <x v="0"/>
    <x v="2"/>
    <d v="2023-12-11T00:00:00"/>
  </r>
  <r>
    <s v="TXN_3852141"/>
    <x v="1"/>
    <n v="5"/>
    <n v="3"/>
    <n v="15"/>
    <x v="0"/>
    <x v="1"/>
    <d v="2023-08-04T00:00:00"/>
  </r>
  <r>
    <s v="TXN_4723529"/>
    <x v="6"/>
    <n v="2"/>
    <n v="4"/>
    <n v="8"/>
    <x v="2"/>
    <x v="2"/>
    <d v="2023-03-25T00:00:00"/>
  </r>
  <r>
    <s v="TXN_9537106"/>
    <x v="5"/>
    <n v="3"/>
    <n v="4"/>
    <n v="12"/>
    <x v="2"/>
    <x v="2"/>
    <d v="2023-10-11T00:00:00"/>
  </r>
  <r>
    <s v="TXN_6039321"/>
    <x v="3"/>
    <n v="2"/>
    <n v="5"/>
    <n v="10"/>
    <x v="0"/>
    <x v="2"/>
    <d v="2023-02-15T00:00:00"/>
  </r>
  <r>
    <s v="TXN_5797307"/>
    <x v="8"/>
    <n v="5"/>
    <n v="1.5"/>
    <n v="7.5"/>
    <x v="2"/>
    <x v="1"/>
    <d v="2023-03-16T00:00:00"/>
  </r>
  <r>
    <s v="TXN_4832566"/>
    <x v="6"/>
    <n v="4"/>
    <n v="4"/>
    <n v="16"/>
    <x v="3"/>
    <x v="1"/>
    <m/>
  </r>
  <r>
    <s v="TXN_2262398"/>
    <x v="8"/>
    <n v="1"/>
    <n v="1.5"/>
    <n v="1.5"/>
    <x v="0"/>
    <x v="0"/>
    <d v="2023-09-12T00:00:00"/>
  </r>
  <r>
    <s v="TXN_9813095"/>
    <x v="7"/>
    <n v="2"/>
    <n v="3"/>
    <n v="6"/>
    <x v="1"/>
    <x v="2"/>
    <d v="2023-06-12T00:00:00"/>
  </r>
  <r>
    <s v="TXN_8627869"/>
    <x v="7"/>
    <n v="1"/>
    <n v="3"/>
    <n v="3"/>
    <x v="2"/>
    <x v="2"/>
    <d v="2023-10-31T00:00:00"/>
  </r>
  <r>
    <s v="TXN_1123346"/>
    <x v="8"/>
    <n v="3"/>
    <n v="1.5"/>
    <n v="4.5"/>
    <x v="2"/>
    <x v="2"/>
    <d v="2023-07-31T00:00:00"/>
  </r>
  <r>
    <s v="TXN_6729852"/>
    <x v="2"/>
    <n v="4"/>
    <n v="1"/>
    <n v="4"/>
    <x v="2"/>
    <x v="2"/>
    <d v="2023-06-29T00:00:00"/>
  </r>
  <r>
    <s v="TXN_9300618"/>
    <x v="8"/>
    <n v="3"/>
    <n v="1.5"/>
    <n v="4.5"/>
    <x v="0"/>
    <x v="2"/>
    <d v="2023-03-06T00:00:00"/>
  </r>
  <r>
    <s v="TXN_7832527"/>
    <x v="1"/>
    <n v="3"/>
    <n v="3"/>
    <n v="9"/>
    <x v="1"/>
    <x v="1"/>
    <d v="2023-01-26T00:00:00"/>
  </r>
  <r>
    <s v="TXN_4703100"/>
    <x v="6"/>
    <n v="1"/>
    <n v="4"/>
    <n v="4"/>
    <x v="2"/>
    <x v="2"/>
    <d v="2023-01-26T00:00:00"/>
  </r>
  <r>
    <s v="TXN_1650385"/>
    <x v="6"/>
    <n v="1"/>
    <n v="4"/>
    <n v="4"/>
    <x v="2"/>
    <x v="2"/>
    <d v="2023-07-24T00:00:00"/>
  </r>
  <r>
    <s v="TXN_3632068"/>
    <x v="5"/>
    <n v="2"/>
    <n v="3"/>
    <n v="6"/>
    <x v="1"/>
    <x v="2"/>
    <d v="2023-08-29T00:00:00"/>
  </r>
  <r>
    <s v="TXN_2132434"/>
    <x v="3"/>
    <n v="4"/>
    <n v="5"/>
    <n v="20"/>
    <x v="3"/>
    <x v="1"/>
    <d v="2023-06-03T00:00:00"/>
  </r>
  <r>
    <s v="TXN_3847176"/>
    <x v="6"/>
    <n v="3"/>
    <n v="4"/>
    <n v="12"/>
    <x v="2"/>
    <x v="0"/>
    <d v="2023-05-07T00:00:00"/>
  </r>
  <r>
    <s v="TXN_9691955"/>
    <x v="7"/>
    <n v="3"/>
    <n v="3"/>
    <n v="9"/>
    <x v="0"/>
    <x v="1"/>
    <d v="2023-11-03T00:00:00"/>
  </r>
  <r>
    <s v="TXN_4985415"/>
    <x v="8"/>
    <n v="4"/>
    <n v="1.5"/>
    <n v="6"/>
    <x v="3"/>
    <x v="2"/>
    <d v="2023-08-01T00:00:00"/>
  </r>
  <r>
    <s v="TXN_1172121"/>
    <x v="0"/>
    <n v="5"/>
    <n v="2"/>
    <n v="10"/>
    <x v="1"/>
    <x v="0"/>
    <d v="2023-08-26T00:00:00"/>
  </r>
  <r>
    <s v="TXN_2521185"/>
    <x v="4"/>
    <n v="2"/>
    <n v="4"/>
    <n v="8"/>
    <x v="1"/>
    <x v="0"/>
    <d v="2023-03-20T00:00:00"/>
  </r>
  <r>
    <s v="TXN_6233021"/>
    <x v="7"/>
    <n v="5"/>
    <n v="3"/>
    <n v="15"/>
    <x v="3"/>
    <x v="0"/>
    <d v="2023-12-22T00:00:00"/>
  </r>
  <r>
    <s v="TXN_7498795"/>
    <x v="2"/>
    <n v="2"/>
    <n v="1"/>
    <n v="2"/>
    <x v="1"/>
    <x v="0"/>
    <d v="2023-03-11T00:00:00"/>
  </r>
  <r>
    <s v="TXN_6730130"/>
    <x v="8"/>
    <n v="2"/>
    <n v="1.5"/>
    <n v="3"/>
    <x v="2"/>
    <x v="2"/>
    <d v="2023-10-16T00:00:00"/>
  </r>
  <r>
    <s v="TXN_8810855"/>
    <x v="6"/>
    <n v="4"/>
    <n v="4"/>
    <n v="16"/>
    <x v="2"/>
    <x v="2"/>
    <d v="2023-04-30T00:00:00"/>
  </r>
  <r>
    <s v="TXN_1599516"/>
    <x v="7"/>
    <n v="3"/>
    <n v="3"/>
    <n v="9"/>
    <x v="1"/>
    <x v="1"/>
    <d v="2023-05-11T00:00:00"/>
  </r>
  <r>
    <s v="TXN_6888839"/>
    <x v="8"/>
    <n v="3"/>
    <n v="1.5"/>
    <n v="4.5"/>
    <x v="3"/>
    <x v="0"/>
    <d v="2023-11-19T00:00:00"/>
  </r>
  <r>
    <s v="TXN_5970304"/>
    <x v="5"/>
    <n v="4"/>
    <n v="5"/>
    <n v="20"/>
    <x v="0"/>
    <x v="2"/>
    <d v="2023-07-14T00:00:00"/>
  </r>
  <r>
    <s v="TXN_4559065"/>
    <x v="7"/>
    <n v="1"/>
    <n v="3"/>
    <n v="3"/>
    <x v="1"/>
    <x v="1"/>
    <d v="2023-05-03T00:00:00"/>
  </r>
  <r>
    <s v="TXN_7637325"/>
    <x v="2"/>
    <n v="4"/>
    <n v="1"/>
    <n v="4"/>
    <x v="2"/>
    <x v="2"/>
    <d v="2023-05-03T00:00:00"/>
  </r>
  <r>
    <s v="TXN_9685491"/>
    <x v="0"/>
    <n v="4"/>
    <n v="2"/>
    <n v="8"/>
    <x v="1"/>
    <x v="2"/>
    <d v="2023-09-20T00:00:00"/>
  </r>
  <r>
    <s v="TXN_1767321"/>
    <x v="6"/>
    <n v="1"/>
    <n v="4"/>
    <n v="4"/>
    <x v="2"/>
    <x v="1"/>
    <d v="2023-03-24T00:00:00"/>
  </r>
  <r>
    <s v="TXN_9046415"/>
    <x v="4"/>
    <n v="2"/>
    <n v="4"/>
    <n v="8"/>
    <x v="2"/>
    <x v="2"/>
    <d v="2023-06-06T00:00:00"/>
  </r>
  <r>
    <s v="TXN_3785168"/>
    <x v="5"/>
    <n v="3"/>
    <n v="3"/>
    <n v="9"/>
    <x v="2"/>
    <x v="0"/>
    <d v="2023-05-01T00:00:00"/>
  </r>
  <r>
    <s v="TXN_6859249"/>
    <x v="2"/>
    <n v="2"/>
    <n v="1"/>
    <n v="2"/>
    <x v="2"/>
    <x v="2"/>
    <m/>
  </r>
  <r>
    <s v="TXN_2696377"/>
    <x v="7"/>
    <n v="4"/>
    <n v="3"/>
    <n v="12"/>
    <x v="3"/>
    <x v="1"/>
    <d v="2023-04-11T00:00:00"/>
  </r>
  <r>
    <s v="TXN_7754382"/>
    <x v="6"/>
    <n v="4"/>
    <n v="4"/>
    <n v="16"/>
    <x v="0"/>
    <x v="2"/>
    <d v="2023-06-28T00:00:00"/>
  </r>
  <r>
    <s v="TXN_4602865"/>
    <x v="2"/>
    <n v="5"/>
    <n v="1"/>
    <n v="5"/>
    <x v="3"/>
    <x v="0"/>
    <d v="2023-09-27T00:00:00"/>
  </r>
  <r>
    <s v="TXN_5966765"/>
    <x v="1"/>
    <n v="5"/>
    <n v="3"/>
    <n v="15"/>
    <x v="0"/>
    <x v="0"/>
    <d v="2023-11-09T00:00:00"/>
  </r>
  <r>
    <s v="TXN_4328228"/>
    <x v="6"/>
    <n v="5"/>
    <n v="4"/>
    <n v="20"/>
    <x v="2"/>
    <x v="2"/>
    <d v="2023-01-08T00:00:00"/>
  </r>
  <r>
    <s v="TXN_2462604"/>
    <x v="8"/>
    <n v="5"/>
    <n v="1.5"/>
    <n v="7.5"/>
    <x v="0"/>
    <x v="2"/>
    <d v="2023-07-13T00:00:00"/>
  </r>
  <r>
    <s v="TXN_2897354"/>
    <x v="7"/>
    <n v="4"/>
    <n v="3"/>
    <n v="12"/>
    <x v="2"/>
    <x v="1"/>
    <d v="2023-06-22T00:00:00"/>
  </r>
  <r>
    <s v="TXN_5280256"/>
    <x v="5"/>
    <n v="5"/>
    <n v="1"/>
    <n v="5"/>
    <x v="2"/>
    <x v="1"/>
    <d v="2023-07-12T00:00:00"/>
  </r>
  <r>
    <s v="TXN_3283631"/>
    <x v="6"/>
    <n v="2"/>
    <n v="4"/>
    <n v="8"/>
    <x v="0"/>
    <x v="1"/>
    <d v="2023-03-15T00:00:00"/>
  </r>
  <r>
    <s v="TXN_8929329"/>
    <x v="7"/>
    <n v="4"/>
    <n v="3"/>
    <n v="12"/>
    <x v="2"/>
    <x v="2"/>
    <d v="2023-10-29T00:00:00"/>
  </r>
  <r>
    <s v="TXN_1328953"/>
    <x v="4"/>
    <n v="3"/>
    <n v="4"/>
    <n v="12"/>
    <x v="2"/>
    <x v="2"/>
    <d v="2023-12-28T00:00:00"/>
  </r>
  <r>
    <s v="TXN_4852852"/>
    <x v="4"/>
    <n v="2"/>
    <n v="4"/>
    <n v="8"/>
    <x v="2"/>
    <x v="2"/>
    <d v="2023-10-06T00:00:00"/>
  </r>
  <r>
    <s v="TXN_4977954"/>
    <x v="7"/>
    <n v="4"/>
    <n v="3"/>
    <n v="12"/>
    <x v="1"/>
    <x v="2"/>
    <m/>
  </r>
  <r>
    <s v="TXN_3344089"/>
    <x v="6"/>
    <n v="4"/>
    <n v="4"/>
    <n v="16"/>
    <x v="1"/>
    <x v="1"/>
    <d v="2023-08-10T00:00:00"/>
  </r>
  <r>
    <s v="TXN_2909634"/>
    <x v="4"/>
    <n v="1"/>
    <n v="4"/>
    <n v="4"/>
    <x v="2"/>
    <x v="0"/>
    <d v="2023-10-02T00:00:00"/>
  </r>
  <r>
    <s v="TXN_7551280"/>
    <x v="2"/>
    <n v="4"/>
    <n v="1"/>
    <n v="4"/>
    <x v="0"/>
    <x v="0"/>
    <d v="2023-04-14T00:00:00"/>
  </r>
  <r>
    <s v="TXN_5390533"/>
    <x v="4"/>
    <n v="3"/>
    <n v="4"/>
    <n v="12"/>
    <x v="2"/>
    <x v="1"/>
    <d v="2023-11-18T00:00:00"/>
  </r>
  <r>
    <s v="TXN_8487216"/>
    <x v="8"/>
    <n v="1"/>
    <n v="1.5"/>
    <n v="1.5"/>
    <x v="1"/>
    <x v="2"/>
    <d v="2023-07-01T00:00:00"/>
  </r>
  <r>
    <s v="TXN_3863163"/>
    <x v="2"/>
    <n v="3"/>
    <n v="1"/>
    <n v="3"/>
    <x v="3"/>
    <x v="0"/>
    <d v="2023-10-12T00:00:00"/>
  </r>
  <r>
    <s v="TXN_4260865"/>
    <x v="4"/>
    <n v="4"/>
    <n v="4"/>
    <n v="16"/>
    <x v="2"/>
    <x v="2"/>
    <d v="2023-02-25T00:00:00"/>
  </r>
  <r>
    <s v="TXN_7922471"/>
    <x v="1"/>
    <n v="3"/>
    <n v="3"/>
    <n v="9"/>
    <x v="1"/>
    <x v="2"/>
    <d v="2023-04-18T00:00:00"/>
  </r>
  <r>
    <s v="TXN_3701660"/>
    <x v="6"/>
    <n v="1"/>
    <n v="4"/>
    <n v="4"/>
    <x v="3"/>
    <x v="2"/>
    <m/>
  </r>
  <r>
    <s v="TXN_3653560"/>
    <x v="0"/>
    <n v="4"/>
    <n v="2"/>
    <n v="8"/>
    <x v="3"/>
    <x v="0"/>
    <d v="2023-07-01T00:00:00"/>
  </r>
  <r>
    <s v="TXN_4075817"/>
    <x v="2"/>
    <n v="2"/>
    <n v="1"/>
    <n v="2"/>
    <x v="1"/>
    <x v="2"/>
    <d v="2023-03-18T00:00:00"/>
  </r>
  <r>
    <s v="TXN_3715065"/>
    <x v="3"/>
    <n v="3"/>
    <n v="5"/>
    <n v="15"/>
    <x v="0"/>
    <x v="2"/>
    <d v="2023-03-17T00:00:00"/>
  </r>
  <r>
    <s v="TXN_9549208"/>
    <x v="0"/>
    <n v="1"/>
    <n v="2"/>
    <n v="2"/>
    <x v="3"/>
    <x v="1"/>
    <d v="2023-10-30T00:00:00"/>
  </r>
  <r>
    <s v="TXN_2919952"/>
    <x v="7"/>
    <n v="5"/>
    <n v="3"/>
    <n v="15"/>
    <x v="3"/>
    <x v="1"/>
    <d v="2023-02-17T00:00:00"/>
  </r>
  <r>
    <s v="TXN_2670824"/>
    <x v="7"/>
    <n v="2"/>
    <n v="3"/>
    <n v="6"/>
    <x v="3"/>
    <x v="0"/>
    <d v="2023-03-03T00:00:00"/>
  </r>
  <r>
    <s v="TXN_7455953"/>
    <x v="0"/>
    <n v="2"/>
    <n v="2"/>
    <n v="4"/>
    <x v="2"/>
    <x v="2"/>
    <d v="2023-05-01T00:00:00"/>
  </r>
  <r>
    <s v="TXN_5926432"/>
    <x v="4"/>
    <n v="4"/>
    <n v="4"/>
    <n v="16"/>
    <x v="1"/>
    <x v="1"/>
    <d v="2023-06-29T00:00:00"/>
  </r>
  <r>
    <s v="TXN_8235381"/>
    <x v="2"/>
    <n v="3"/>
    <n v="1"/>
    <n v="3"/>
    <x v="3"/>
    <x v="1"/>
    <d v="2023-03-01T00:00:00"/>
  </r>
  <r>
    <s v="TXN_6206679"/>
    <x v="8"/>
    <n v="1"/>
    <n v="1.5"/>
    <n v="1.5"/>
    <x v="2"/>
    <x v="1"/>
    <d v="2023-05-01T00:00:00"/>
  </r>
  <r>
    <s v="TXN_2954630"/>
    <x v="3"/>
    <n v="2"/>
    <n v="5"/>
    <n v="10"/>
    <x v="0"/>
    <x v="2"/>
    <d v="2023-09-30T00:00:00"/>
  </r>
  <r>
    <s v="TXN_1402641"/>
    <x v="8"/>
    <n v="3"/>
    <n v="1.5"/>
    <n v="4.5"/>
    <x v="0"/>
    <x v="0"/>
    <d v="2023-09-12T00:00:00"/>
  </r>
  <r>
    <s v="TXN_6405489"/>
    <x v="6"/>
    <n v="3"/>
    <n v="4"/>
    <n v="12"/>
    <x v="0"/>
    <x v="0"/>
    <d v="2023-05-04T00:00:00"/>
  </r>
  <r>
    <s v="TXN_3003311"/>
    <x v="1"/>
    <n v="5"/>
    <n v="3"/>
    <n v="15"/>
    <x v="3"/>
    <x v="1"/>
    <d v="2023-08-01T00:00:00"/>
  </r>
  <r>
    <s v="TXN_3273540"/>
    <x v="5"/>
    <n v="1"/>
    <n v="3"/>
    <n v="3"/>
    <x v="0"/>
    <x v="2"/>
    <d v="2023-08-21T00:00:00"/>
  </r>
  <r>
    <s v="TXN_4570881"/>
    <x v="5"/>
    <n v="1"/>
    <n v="2"/>
    <n v="2"/>
    <x v="2"/>
    <x v="2"/>
    <d v="2023-09-14T00:00:00"/>
  </r>
  <r>
    <s v="TXN_3421404"/>
    <x v="5"/>
    <n v="4"/>
    <n v="4"/>
    <n v="16"/>
    <x v="0"/>
    <x v="2"/>
    <d v="2023-05-05T00:00:00"/>
  </r>
  <r>
    <s v="TXN_8468509"/>
    <x v="5"/>
    <n v="3"/>
    <n v="4"/>
    <n v="12"/>
    <x v="0"/>
    <x v="2"/>
    <d v="2023-06-13T00:00:00"/>
  </r>
  <r>
    <s v="TXN_9436342"/>
    <x v="7"/>
    <n v="4"/>
    <n v="3"/>
    <n v="12"/>
    <x v="3"/>
    <x v="1"/>
    <d v="2023-11-26T00:00:00"/>
  </r>
  <r>
    <s v="TXN_3110245"/>
    <x v="1"/>
    <n v="5"/>
    <n v="3"/>
    <n v="15"/>
    <x v="1"/>
    <x v="0"/>
    <d v="2023-04-21T00:00:00"/>
  </r>
  <r>
    <s v="TXN_1999100"/>
    <x v="4"/>
    <n v="3"/>
    <n v="4"/>
    <n v="12"/>
    <x v="3"/>
    <x v="2"/>
    <d v="2023-11-08T00:00:00"/>
  </r>
  <r>
    <s v="TXN_3654203"/>
    <x v="0"/>
    <n v="1"/>
    <n v="2"/>
    <n v="2"/>
    <x v="2"/>
    <x v="2"/>
    <d v="2023-04-21T00:00:00"/>
  </r>
  <r>
    <s v="TXN_2406283"/>
    <x v="7"/>
    <n v="4"/>
    <n v="3"/>
    <n v="12"/>
    <x v="3"/>
    <x v="1"/>
    <d v="2023-02-24T00:00:00"/>
  </r>
  <r>
    <s v="TXN_8964166"/>
    <x v="7"/>
    <n v="5"/>
    <n v="3"/>
    <n v="15"/>
    <x v="1"/>
    <x v="2"/>
    <d v="2023-11-10T00:00:00"/>
  </r>
  <r>
    <s v="TXN_1354464"/>
    <x v="1"/>
    <n v="5"/>
    <n v="3"/>
    <n v="15"/>
    <x v="3"/>
    <x v="1"/>
    <d v="2023-03-18T00:00:00"/>
  </r>
  <r>
    <s v="TXN_5582443"/>
    <x v="3"/>
    <n v="3"/>
    <n v="5"/>
    <n v="15"/>
    <x v="0"/>
    <x v="1"/>
    <d v="2023-04-13T00:00:00"/>
  </r>
  <r>
    <s v="TXN_6204081"/>
    <x v="1"/>
    <n v="1"/>
    <n v="3"/>
    <n v="3"/>
    <x v="3"/>
    <x v="0"/>
    <d v="2023-07-12T00:00:00"/>
  </r>
  <r>
    <s v="TXN_4428307"/>
    <x v="3"/>
    <n v="3"/>
    <n v="5"/>
    <n v="15"/>
    <x v="1"/>
    <x v="1"/>
    <m/>
  </r>
  <r>
    <s v="TXN_8647048"/>
    <x v="6"/>
    <n v="2"/>
    <n v="4"/>
    <n v="8"/>
    <x v="0"/>
    <x v="1"/>
    <d v="2023-11-03T00:00:00"/>
  </r>
  <r>
    <s v="TXN_1689024"/>
    <x v="0"/>
    <n v="5"/>
    <n v="2"/>
    <n v="10"/>
    <x v="0"/>
    <x v="1"/>
    <d v="2023-04-17T00:00:00"/>
  </r>
  <r>
    <s v="TXN_5422928"/>
    <x v="8"/>
    <n v="4"/>
    <n v="1.5"/>
    <n v="6"/>
    <x v="3"/>
    <x v="0"/>
    <d v="2023-09-20T00:00:00"/>
  </r>
  <r>
    <s v="TXN_9855567"/>
    <x v="2"/>
    <n v="3"/>
    <n v="1"/>
    <n v="3"/>
    <x v="0"/>
    <x v="2"/>
    <d v="2023-05-25T00:00:00"/>
  </r>
  <r>
    <s v="TXN_3311860"/>
    <x v="7"/>
    <n v="1"/>
    <n v="3"/>
    <n v="3"/>
    <x v="3"/>
    <x v="1"/>
    <d v="2023-11-21T00:00:00"/>
  </r>
  <r>
    <s v="TXN_4147675"/>
    <x v="8"/>
    <n v="2"/>
    <n v="1.5"/>
    <n v="3"/>
    <x v="0"/>
    <x v="1"/>
    <d v="2023-01-04T00:00:00"/>
  </r>
  <r>
    <s v="TXN_7560178"/>
    <x v="2"/>
    <n v="5"/>
    <n v="1"/>
    <n v="5"/>
    <x v="3"/>
    <x v="1"/>
    <d v="2023-08-17T00:00:00"/>
  </r>
  <r>
    <s v="TXN_4677478"/>
    <x v="1"/>
    <n v="4"/>
    <n v="3"/>
    <n v="12"/>
    <x v="2"/>
    <x v="1"/>
    <d v="2023-07-09T00:00:00"/>
  </r>
  <r>
    <s v="TXN_3930990"/>
    <x v="8"/>
    <n v="4"/>
    <n v="1.5"/>
    <n v="6"/>
    <x v="3"/>
    <x v="0"/>
    <d v="2023-02-27T00:00:00"/>
  </r>
  <r>
    <s v="TXN_8675922"/>
    <x v="5"/>
    <n v="4"/>
    <n v="5"/>
    <n v="20"/>
    <x v="2"/>
    <x v="2"/>
    <d v="2023-03-31T00:00:00"/>
  </r>
  <r>
    <s v="TXN_6621596"/>
    <x v="3"/>
    <n v="2"/>
    <n v="5"/>
    <n v="10"/>
    <x v="0"/>
    <x v="2"/>
    <d v="2023-09-25T00:00:00"/>
  </r>
  <r>
    <s v="TXN_8076942"/>
    <x v="2"/>
    <n v="2"/>
    <n v="1"/>
    <n v="2"/>
    <x v="1"/>
    <x v="0"/>
    <d v="2023-04-29T00:00:00"/>
  </r>
  <r>
    <s v="TXN_4367689"/>
    <x v="2"/>
    <n v="2"/>
    <n v="1"/>
    <n v="2"/>
    <x v="1"/>
    <x v="2"/>
    <d v="2023-09-30T00:00:00"/>
  </r>
  <r>
    <s v="TXN_2941800"/>
    <x v="3"/>
    <n v="5"/>
    <n v="5"/>
    <n v="25"/>
    <x v="1"/>
    <x v="2"/>
    <d v="2023-04-25T00:00:00"/>
  </r>
  <r>
    <s v="TXN_7072581"/>
    <x v="2"/>
    <n v="2"/>
    <n v="1"/>
    <n v="2"/>
    <x v="0"/>
    <x v="2"/>
    <d v="2023-08-12T00:00:00"/>
  </r>
  <r>
    <s v="TXN_7809506"/>
    <x v="3"/>
    <n v="2"/>
    <n v="5"/>
    <n v="10"/>
    <x v="2"/>
    <x v="0"/>
    <d v="2023-06-05T00:00:00"/>
  </r>
  <r>
    <s v="TXN_6884558"/>
    <x v="5"/>
    <n v="1"/>
    <n v="3"/>
    <n v="3"/>
    <x v="1"/>
    <x v="1"/>
    <d v="2023-08-14T00:00:00"/>
  </r>
  <r>
    <s v="TXN_6864420"/>
    <x v="2"/>
    <n v="2"/>
    <n v="1"/>
    <n v="2"/>
    <x v="0"/>
    <x v="0"/>
    <d v="2023-06-18T00:00:00"/>
  </r>
  <r>
    <s v="TXN_3109057"/>
    <x v="8"/>
    <n v="4"/>
    <n v="1.5"/>
    <n v="6"/>
    <x v="1"/>
    <x v="2"/>
    <d v="2023-11-26T00:00:00"/>
  </r>
  <r>
    <s v="TXN_2257337"/>
    <x v="2"/>
    <n v="4"/>
    <n v="1"/>
    <n v="4"/>
    <x v="1"/>
    <x v="2"/>
    <d v="2023-07-24T00:00:00"/>
  </r>
  <r>
    <s v="TXN_9417344"/>
    <x v="8"/>
    <n v="3"/>
    <n v="1.5"/>
    <n v="4.5"/>
    <x v="2"/>
    <x v="0"/>
    <d v="2023-11-09T00:00:00"/>
  </r>
  <r>
    <s v="TXN_6503884"/>
    <x v="7"/>
    <n v="1"/>
    <n v="3"/>
    <n v="3"/>
    <x v="1"/>
    <x v="1"/>
    <d v="2023-05-28T00:00:00"/>
  </r>
  <r>
    <s v="TXN_9868954"/>
    <x v="4"/>
    <n v="4"/>
    <n v="4"/>
    <n v="16"/>
    <x v="0"/>
    <x v="2"/>
    <m/>
  </r>
  <r>
    <s v="TXN_2206639"/>
    <x v="0"/>
    <n v="4"/>
    <n v="2"/>
    <n v="8"/>
    <x v="1"/>
    <x v="0"/>
    <d v="2023-06-29T00:00:00"/>
  </r>
  <r>
    <s v="TXN_9337894"/>
    <x v="8"/>
    <n v="2"/>
    <n v="1.5"/>
    <n v="3"/>
    <x v="2"/>
    <x v="2"/>
    <d v="2023-12-30T00:00:00"/>
  </r>
  <r>
    <s v="TXN_7068361"/>
    <x v="7"/>
    <n v="5"/>
    <n v="3"/>
    <n v="15"/>
    <x v="0"/>
    <x v="2"/>
    <d v="2023-12-25T00:00:00"/>
  </r>
  <r>
    <s v="TXN_1405124"/>
    <x v="5"/>
    <n v="3"/>
    <n v="4"/>
    <n v="12"/>
    <x v="3"/>
    <x v="0"/>
    <d v="2023-08-03T00:00:00"/>
  </r>
  <r>
    <s v="TXN_2395608"/>
    <x v="8"/>
    <n v="3"/>
    <n v="1.5"/>
    <n v="4.5"/>
    <x v="1"/>
    <x v="1"/>
    <d v="2023-03-16T00:00:00"/>
  </r>
  <r>
    <s v="TXN_5423024"/>
    <x v="4"/>
    <n v="1"/>
    <n v="4"/>
    <n v="4"/>
    <x v="3"/>
    <x v="1"/>
    <d v="2023-04-30T00:00:00"/>
  </r>
  <r>
    <s v="TXN_2802630"/>
    <x v="2"/>
    <n v="4"/>
    <n v="1"/>
    <n v="4"/>
    <x v="2"/>
    <x v="0"/>
    <d v="2023-06-18T00:00:00"/>
  </r>
  <r>
    <s v="TXN_3134595"/>
    <x v="7"/>
    <n v="3"/>
    <n v="3"/>
    <n v="9"/>
    <x v="0"/>
    <x v="0"/>
    <d v="2023-02-25T00:00:00"/>
  </r>
  <r>
    <s v="TXN_2251128"/>
    <x v="4"/>
    <n v="3"/>
    <n v="4"/>
    <n v="12"/>
    <x v="0"/>
    <x v="1"/>
    <d v="2023-06-07T00:00:00"/>
  </r>
  <r>
    <s v="TXN_4213071"/>
    <x v="3"/>
    <n v="1"/>
    <n v="5"/>
    <n v="5"/>
    <x v="2"/>
    <x v="0"/>
    <d v="2023-04-10T00:00:00"/>
  </r>
  <r>
    <s v="TXN_6220280"/>
    <x v="8"/>
    <n v="1"/>
    <n v="1.5"/>
    <n v="1.5"/>
    <x v="0"/>
    <x v="2"/>
    <d v="2023-02-15T00:00:00"/>
  </r>
  <r>
    <s v="TXN_4832163"/>
    <x v="1"/>
    <n v="4"/>
    <n v="3"/>
    <n v="12"/>
    <x v="1"/>
    <x v="0"/>
    <d v="2023-11-17T00:00:00"/>
  </r>
  <r>
    <s v="TXN_6663451"/>
    <x v="1"/>
    <n v="1"/>
    <n v="3"/>
    <n v="3"/>
    <x v="1"/>
    <x v="2"/>
    <d v="2023-08-05T00:00:00"/>
  </r>
  <r>
    <s v="TXN_1443928"/>
    <x v="1"/>
    <n v="4"/>
    <n v="3"/>
    <n v="12"/>
    <x v="1"/>
    <x v="0"/>
    <d v="2023-12-03T00:00:00"/>
  </r>
  <r>
    <s v="TXN_1670597"/>
    <x v="0"/>
    <n v="2"/>
    <n v="2"/>
    <n v="4"/>
    <x v="1"/>
    <x v="0"/>
    <d v="2023-05-21T00:00:00"/>
  </r>
  <r>
    <s v="TXN_3854210"/>
    <x v="4"/>
    <n v="1"/>
    <n v="4"/>
    <n v="4"/>
    <x v="1"/>
    <x v="2"/>
    <d v="2023-12-30T00:00:00"/>
  </r>
  <r>
    <s v="TXN_2165745"/>
    <x v="0"/>
    <n v="4"/>
    <n v="2"/>
    <n v="8"/>
    <x v="0"/>
    <x v="1"/>
    <d v="2023-01-31T00:00:00"/>
  </r>
  <r>
    <s v="TXN_3082888"/>
    <x v="8"/>
    <n v="1"/>
    <n v="1.5"/>
    <n v="1.5"/>
    <x v="1"/>
    <x v="1"/>
    <d v="2023-09-20T00:00:00"/>
  </r>
  <r>
    <s v="TXN_2294397"/>
    <x v="0"/>
    <n v="5"/>
    <n v="2"/>
    <n v="10"/>
    <x v="3"/>
    <x v="1"/>
    <d v="2023-02-25T00:00:00"/>
  </r>
  <r>
    <s v="TXN_4160784"/>
    <x v="2"/>
    <n v="5"/>
    <n v="1"/>
    <n v="5"/>
    <x v="2"/>
    <x v="1"/>
    <d v="2023-05-20T00:00:00"/>
  </r>
  <r>
    <s v="TXN_7248594"/>
    <x v="0"/>
    <n v="3"/>
    <n v="2"/>
    <n v="6"/>
    <x v="0"/>
    <x v="1"/>
    <d v="2023-03-26T00:00:00"/>
  </r>
  <r>
    <s v="TXN_5031020"/>
    <x v="0"/>
    <n v="5"/>
    <n v="2"/>
    <n v="10"/>
    <x v="2"/>
    <x v="2"/>
    <d v="2023-11-25T00:00:00"/>
  </r>
  <r>
    <s v="TXN_3059966"/>
    <x v="4"/>
    <n v="1"/>
    <n v="4"/>
    <n v="4"/>
    <x v="3"/>
    <x v="1"/>
    <d v="2023-12-24T00:00:00"/>
  </r>
  <r>
    <s v="TXN_9287780"/>
    <x v="4"/>
    <n v="2"/>
    <n v="4"/>
    <n v="8"/>
    <x v="1"/>
    <x v="1"/>
    <d v="2023-09-02T00:00:00"/>
  </r>
  <r>
    <s v="TXN_1022220"/>
    <x v="7"/>
    <n v="3"/>
    <n v="3"/>
    <n v="9"/>
    <x v="2"/>
    <x v="0"/>
    <d v="2023-08-03T00:00:00"/>
  </r>
  <r>
    <s v="TXN_7144740"/>
    <x v="1"/>
    <n v="4"/>
    <n v="3"/>
    <n v="12"/>
    <x v="2"/>
    <x v="2"/>
    <d v="2023-07-24T00:00:00"/>
  </r>
  <r>
    <s v="TXN_7666945"/>
    <x v="8"/>
    <n v="5"/>
    <n v="1.5"/>
    <n v="7.5"/>
    <x v="2"/>
    <x v="2"/>
    <d v="2023-07-07T00:00:00"/>
  </r>
  <r>
    <s v="TXN_7880000"/>
    <x v="3"/>
    <n v="3"/>
    <n v="5"/>
    <n v="15"/>
    <x v="0"/>
    <x v="1"/>
    <d v="2023-01-28T00:00:00"/>
  </r>
  <r>
    <s v="TXN_4900574"/>
    <x v="7"/>
    <n v="3"/>
    <n v="3"/>
    <n v="9"/>
    <x v="2"/>
    <x v="2"/>
    <d v="2023-05-06T00:00:00"/>
  </r>
  <r>
    <s v="TXN_7838576"/>
    <x v="0"/>
    <n v="3"/>
    <n v="2"/>
    <n v="6"/>
    <x v="2"/>
    <x v="1"/>
    <d v="2023-11-11T00:00:00"/>
  </r>
  <r>
    <s v="TXN_1419188"/>
    <x v="1"/>
    <n v="5"/>
    <n v="3"/>
    <n v="15"/>
    <x v="0"/>
    <x v="2"/>
    <d v="2023-11-26T00:00:00"/>
  </r>
  <r>
    <s v="TXN_1767201"/>
    <x v="5"/>
    <n v="5"/>
    <n v="5"/>
    <n v="25"/>
    <x v="0"/>
    <x v="2"/>
    <d v="2023-07-12T00:00:00"/>
  </r>
  <r>
    <s v="TXN_2964794"/>
    <x v="1"/>
    <n v="2"/>
    <n v="3"/>
    <n v="6"/>
    <x v="2"/>
    <x v="0"/>
    <d v="2023-03-09T00:00:00"/>
  </r>
  <r>
    <s v="TXN_3936162"/>
    <x v="2"/>
    <n v="1"/>
    <n v="1"/>
    <n v="1"/>
    <x v="2"/>
    <x v="2"/>
    <d v="2023-02-26T00:00:00"/>
  </r>
  <r>
    <s v="TXN_4432082"/>
    <x v="7"/>
    <n v="5"/>
    <n v="3"/>
    <n v="15"/>
    <x v="2"/>
    <x v="2"/>
    <d v="2023-04-20T00:00:00"/>
  </r>
  <r>
    <s v="TXN_9496791"/>
    <x v="3"/>
    <n v="4"/>
    <n v="5"/>
    <n v="20"/>
    <x v="0"/>
    <x v="1"/>
    <d v="2023-07-19T00:00:00"/>
  </r>
  <r>
    <s v="TXN_4194115"/>
    <x v="8"/>
    <n v="5"/>
    <n v="1.5"/>
    <n v="7.5"/>
    <x v="2"/>
    <x v="2"/>
    <d v="2023-08-17T00:00:00"/>
  </r>
  <r>
    <s v="TXN_7741707"/>
    <x v="3"/>
    <n v="3"/>
    <n v="5"/>
    <n v="15"/>
    <x v="2"/>
    <x v="0"/>
    <d v="2023-05-09T00:00:00"/>
  </r>
  <r>
    <s v="TXN_8854471"/>
    <x v="1"/>
    <n v="5"/>
    <n v="3"/>
    <n v="15"/>
    <x v="0"/>
    <x v="2"/>
    <m/>
  </r>
  <r>
    <s v="TXN_4216055"/>
    <x v="2"/>
    <n v="5"/>
    <n v="1"/>
    <n v="5"/>
    <x v="3"/>
    <x v="2"/>
    <d v="2023-12-27T00:00:00"/>
  </r>
  <r>
    <s v="TXN_2320493"/>
    <x v="4"/>
    <n v="1"/>
    <n v="4"/>
    <n v="4"/>
    <x v="3"/>
    <x v="1"/>
    <d v="2023-03-22T00:00:00"/>
  </r>
  <r>
    <s v="TXN_4835929"/>
    <x v="0"/>
    <n v="2"/>
    <n v="2"/>
    <n v="4"/>
    <x v="2"/>
    <x v="1"/>
    <d v="2023-10-03T00:00:00"/>
  </r>
  <r>
    <s v="TXN_6755791"/>
    <x v="0"/>
    <n v="2"/>
    <n v="2"/>
    <n v="4"/>
    <x v="1"/>
    <x v="2"/>
    <d v="2023-04-01T00:00:00"/>
  </r>
  <r>
    <s v="TXN_9861432"/>
    <x v="2"/>
    <n v="2"/>
    <n v="1"/>
    <n v="2"/>
    <x v="2"/>
    <x v="0"/>
    <d v="2023-12-09T00:00:00"/>
  </r>
  <r>
    <s v="TXN_8271278"/>
    <x v="8"/>
    <n v="1"/>
    <n v="1.5"/>
    <n v="1.5"/>
    <x v="2"/>
    <x v="2"/>
    <d v="2023-07-01T00:00:00"/>
  </r>
  <r>
    <s v="TXN_2005032"/>
    <x v="2"/>
    <n v="2"/>
    <n v="1"/>
    <n v="2"/>
    <x v="3"/>
    <x v="2"/>
    <d v="2023-11-30T00:00:00"/>
  </r>
  <r>
    <s v="TXN_4208919"/>
    <x v="5"/>
    <n v="3"/>
    <n v="4"/>
    <n v="12"/>
    <x v="2"/>
    <x v="0"/>
    <d v="2023-05-30T00:00:00"/>
  </r>
  <r>
    <s v="TXN_9699083"/>
    <x v="4"/>
    <n v="1"/>
    <n v="4"/>
    <n v="4"/>
    <x v="1"/>
    <x v="1"/>
    <d v="2023-02-12T00:00:00"/>
  </r>
  <r>
    <s v="TXN_5714767"/>
    <x v="3"/>
    <n v="4"/>
    <n v="5"/>
    <n v="20"/>
    <x v="3"/>
    <x v="0"/>
    <d v="2023-03-02T00:00:00"/>
  </r>
  <r>
    <s v="TXN_5844851"/>
    <x v="4"/>
    <n v="5"/>
    <n v="4"/>
    <n v="20"/>
    <x v="2"/>
    <x v="2"/>
    <d v="2023-02-15T00:00:00"/>
  </r>
  <r>
    <s v="TXN_7243779"/>
    <x v="5"/>
    <n v="1"/>
    <n v="1"/>
    <n v="1"/>
    <x v="2"/>
    <x v="1"/>
    <m/>
  </r>
  <r>
    <s v="TXN_8141558"/>
    <x v="1"/>
    <n v="5"/>
    <n v="3"/>
    <n v="15"/>
    <x v="0"/>
    <x v="2"/>
    <d v="2023-12-05T00:00:00"/>
  </r>
  <r>
    <s v="TXN_4314314"/>
    <x v="1"/>
    <n v="4"/>
    <n v="3"/>
    <n v="12"/>
    <x v="1"/>
    <x v="2"/>
    <d v="2023-01-02T00:00:00"/>
  </r>
  <r>
    <s v="TXN_4155001"/>
    <x v="4"/>
    <n v="1"/>
    <n v="4"/>
    <n v="4"/>
    <x v="2"/>
    <x v="2"/>
    <d v="2023-11-30T00:00:00"/>
  </r>
  <r>
    <s v="TXN_1072678"/>
    <x v="7"/>
    <n v="2"/>
    <n v="3"/>
    <n v="6"/>
    <x v="1"/>
    <x v="2"/>
    <d v="2023-05-30T00:00:00"/>
  </r>
  <r>
    <s v="TXN_7981162"/>
    <x v="1"/>
    <n v="3"/>
    <n v="3"/>
    <n v="9"/>
    <x v="0"/>
    <x v="0"/>
    <d v="2023-05-30T00:00:00"/>
  </r>
  <r>
    <s v="TXN_2316206"/>
    <x v="2"/>
    <n v="1"/>
    <n v="1"/>
    <n v="1"/>
    <x v="0"/>
    <x v="1"/>
    <d v="2023-01-23T00:00:00"/>
  </r>
  <r>
    <s v="TXN_7343342"/>
    <x v="2"/>
    <n v="2"/>
    <n v="1"/>
    <n v="2"/>
    <x v="1"/>
    <x v="0"/>
    <d v="2023-12-21T00:00:00"/>
  </r>
  <r>
    <s v="TXN_4573096"/>
    <x v="0"/>
    <n v="1"/>
    <n v="2"/>
    <n v="2"/>
    <x v="3"/>
    <x v="1"/>
    <d v="2023-08-13T00:00:00"/>
  </r>
  <r>
    <s v="TXN_3577482"/>
    <x v="5"/>
    <n v="4"/>
    <n v="3"/>
    <n v="12"/>
    <x v="3"/>
    <x v="2"/>
    <d v="2023-06-01T00:00:00"/>
  </r>
  <r>
    <s v="TXN_6370625"/>
    <x v="6"/>
    <n v="3"/>
    <n v="4"/>
    <n v="12"/>
    <x v="0"/>
    <x v="1"/>
    <d v="2023-08-26T00:00:00"/>
  </r>
  <r>
    <s v="TXN_7580803"/>
    <x v="7"/>
    <n v="4"/>
    <n v="3"/>
    <n v="12"/>
    <x v="1"/>
    <x v="1"/>
    <d v="2023-04-06T00:00:00"/>
  </r>
  <r>
    <s v="TXN_8306028"/>
    <x v="3"/>
    <n v="1"/>
    <n v="5"/>
    <n v="5"/>
    <x v="2"/>
    <x v="0"/>
    <d v="2023-02-27T00:00:00"/>
  </r>
  <r>
    <s v="TXN_7530692"/>
    <x v="0"/>
    <n v="1"/>
    <n v="2"/>
    <n v="2"/>
    <x v="0"/>
    <x v="2"/>
    <d v="2023-06-30T00:00:00"/>
  </r>
  <r>
    <s v="TXN_4383002"/>
    <x v="0"/>
    <n v="1"/>
    <n v="2"/>
    <n v="2"/>
    <x v="2"/>
    <x v="1"/>
    <d v="2023-12-18T00:00:00"/>
  </r>
  <r>
    <s v="TXN_2939069"/>
    <x v="4"/>
    <n v="5"/>
    <n v="4"/>
    <n v="20"/>
    <x v="0"/>
    <x v="0"/>
    <d v="2023-09-06T00:00:00"/>
  </r>
  <r>
    <s v="TXN_2301001"/>
    <x v="4"/>
    <n v="1"/>
    <n v="4"/>
    <n v="4"/>
    <x v="2"/>
    <x v="0"/>
    <d v="2023-01-06T00:00:00"/>
  </r>
  <r>
    <s v="TXN_5009924"/>
    <x v="1"/>
    <n v="3"/>
    <n v="3"/>
    <n v="9"/>
    <x v="3"/>
    <x v="2"/>
    <d v="2023-09-08T00:00:00"/>
  </r>
  <r>
    <s v="TXN_9988801"/>
    <x v="4"/>
    <n v="5"/>
    <n v="4"/>
    <n v="20"/>
    <x v="1"/>
    <x v="2"/>
    <d v="2023-10-20T00:00:00"/>
  </r>
  <r>
    <s v="TXN_7895514"/>
    <x v="5"/>
    <n v="4"/>
    <n v="3"/>
    <n v="12"/>
    <x v="3"/>
    <x v="0"/>
    <d v="2023-08-06T00:00:00"/>
  </r>
  <r>
    <s v="TXN_8432045"/>
    <x v="1"/>
    <n v="3"/>
    <n v="3"/>
    <n v="9"/>
    <x v="0"/>
    <x v="2"/>
    <d v="2023-11-09T00:00:00"/>
  </r>
  <r>
    <s v="TXN_8127433"/>
    <x v="6"/>
    <n v="3"/>
    <n v="4"/>
    <n v="12"/>
    <x v="2"/>
    <x v="0"/>
    <d v="2023-07-11T00:00:00"/>
  </r>
  <r>
    <s v="TXN_7640914"/>
    <x v="3"/>
    <n v="1"/>
    <n v="5"/>
    <n v="5"/>
    <x v="0"/>
    <x v="2"/>
    <d v="2023-02-12T00:00:00"/>
  </r>
  <r>
    <s v="TXN_4374963"/>
    <x v="7"/>
    <n v="1"/>
    <n v="3"/>
    <n v="3"/>
    <x v="1"/>
    <x v="1"/>
    <d v="2023-07-04T00:00:00"/>
  </r>
  <r>
    <s v="TXN_3212317"/>
    <x v="3"/>
    <n v="5"/>
    <n v="5"/>
    <n v="25"/>
    <x v="2"/>
    <x v="0"/>
    <d v="2023-05-25T00:00:00"/>
  </r>
  <r>
    <s v="TXN_7744874"/>
    <x v="0"/>
    <n v="1"/>
    <n v="2"/>
    <n v="2"/>
    <x v="1"/>
    <x v="2"/>
    <d v="2023-06-28T00:00:00"/>
  </r>
  <r>
    <s v="TXN_7768350"/>
    <x v="2"/>
    <n v="1"/>
    <n v="1"/>
    <n v="1"/>
    <x v="1"/>
    <x v="1"/>
    <d v="2023-08-19T00:00:00"/>
  </r>
  <r>
    <s v="TXN_9128859"/>
    <x v="0"/>
    <n v="2"/>
    <n v="2"/>
    <n v="4"/>
    <x v="2"/>
    <x v="0"/>
    <d v="2023-11-28T00:00:00"/>
  </r>
  <r>
    <s v="TXN_9375649"/>
    <x v="2"/>
    <n v="4"/>
    <n v="1"/>
    <n v="4"/>
    <x v="2"/>
    <x v="1"/>
    <d v="2023-03-06T00:00:00"/>
  </r>
  <r>
    <s v="TXN_4401563"/>
    <x v="7"/>
    <n v="5"/>
    <n v="3"/>
    <n v="15"/>
    <x v="3"/>
    <x v="0"/>
    <d v="2023-09-20T00:00:00"/>
  </r>
  <r>
    <s v="TXN_8502946"/>
    <x v="4"/>
    <n v="3"/>
    <n v="4"/>
    <n v="12"/>
    <x v="2"/>
    <x v="1"/>
    <d v="2023-09-15T00:00:00"/>
  </r>
  <r>
    <s v="TXN_8687294"/>
    <x v="4"/>
    <n v="3"/>
    <n v="4"/>
    <n v="12"/>
    <x v="0"/>
    <x v="2"/>
    <d v="2023-08-01T00:00:00"/>
  </r>
  <r>
    <s v="TXN_2176821"/>
    <x v="5"/>
    <n v="3"/>
    <n v="5"/>
    <n v="15"/>
    <x v="3"/>
    <x v="2"/>
    <d v="2023-05-05T00:00:00"/>
  </r>
  <r>
    <s v="TXN_2529216"/>
    <x v="8"/>
    <n v="3"/>
    <n v="1.5"/>
    <n v="4.5"/>
    <x v="0"/>
    <x v="1"/>
    <m/>
  </r>
  <r>
    <s v="TXN_8443384"/>
    <x v="6"/>
    <n v="5"/>
    <n v="4"/>
    <n v="20"/>
    <x v="3"/>
    <x v="1"/>
    <d v="2023-02-13T00:00:00"/>
  </r>
  <r>
    <s v="TXN_5053064"/>
    <x v="3"/>
    <n v="3"/>
    <n v="5"/>
    <n v="15"/>
    <x v="2"/>
    <x v="2"/>
    <d v="2023-06-19T00:00:00"/>
  </r>
  <r>
    <s v="TXN_7824739"/>
    <x v="2"/>
    <n v="3"/>
    <n v="1"/>
    <n v="3"/>
    <x v="3"/>
    <x v="2"/>
    <d v="2023-07-17T00:00:00"/>
  </r>
  <r>
    <s v="TXN_7226406"/>
    <x v="1"/>
    <n v="1"/>
    <n v="3"/>
    <n v="3"/>
    <x v="0"/>
    <x v="2"/>
    <d v="2023-02-11T00:00:00"/>
  </r>
  <r>
    <s v="TXN_9793806"/>
    <x v="8"/>
    <n v="3"/>
    <n v="1.5"/>
    <n v="4.5"/>
    <x v="3"/>
    <x v="0"/>
    <d v="2023-04-25T00:00:00"/>
  </r>
  <r>
    <s v="TXN_8195843"/>
    <x v="2"/>
    <n v="4"/>
    <n v="1"/>
    <n v="4"/>
    <x v="2"/>
    <x v="2"/>
    <d v="2023-06-02T00:00:00"/>
  </r>
  <r>
    <s v="TXN_6027923"/>
    <x v="5"/>
    <n v="1"/>
    <n v="5"/>
    <n v="5"/>
    <x v="3"/>
    <x v="0"/>
    <d v="2023-07-23T00:00:00"/>
  </r>
  <r>
    <s v="TXN_5438652"/>
    <x v="6"/>
    <n v="4"/>
    <n v="4"/>
    <n v="16"/>
    <x v="1"/>
    <x v="2"/>
    <d v="2023-03-17T00:00:00"/>
  </r>
  <r>
    <s v="TXN_8385625"/>
    <x v="8"/>
    <n v="4"/>
    <n v="1.5"/>
    <n v="6"/>
    <x v="3"/>
    <x v="0"/>
    <d v="2023-12-23T00:00:00"/>
  </r>
  <r>
    <s v="TXN_7814715"/>
    <x v="2"/>
    <n v="5"/>
    <n v="1"/>
    <n v="5"/>
    <x v="1"/>
    <x v="2"/>
    <d v="2023-04-24T00:00:00"/>
  </r>
  <r>
    <s v="TXN_6532452"/>
    <x v="4"/>
    <n v="5"/>
    <n v="4"/>
    <n v="20"/>
    <x v="1"/>
    <x v="0"/>
    <d v="2023-02-24T00:00:00"/>
  </r>
  <r>
    <s v="TXN_9706608"/>
    <x v="4"/>
    <n v="1"/>
    <n v="4"/>
    <n v="4"/>
    <x v="1"/>
    <x v="2"/>
    <d v="2023-05-22T00:00:00"/>
  </r>
  <r>
    <s v="TXN_5963749"/>
    <x v="1"/>
    <n v="1"/>
    <n v="3"/>
    <n v="3"/>
    <x v="3"/>
    <x v="1"/>
    <d v="2023-11-04T00:00:00"/>
  </r>
  <r>
    <s v="TXN_6885218"/>
    <x v="3"/>
    <n v="1"/>
    <n v="5"/>
    <n v="5"/>
    <x v="2"/>
    <x v="1"/>
    <d v="2023-10-23T00:00:00"/>
  </r>
  <r>
    <s v="TXN_3845871"/>
    <x v="6"/>
    <n v="1"/>
    <n v="4"/>
    <n v="4"/>
    <x v="2"/>
    <x v="1"/>
    <d v="2023-10-29T00:00:00"/>
  </r>
  <r>
    <s v="TXN_5767392"/>
    <x v="1"/>
    <n v="5"/>
    <n v="3"/>
    <n v="15"/>
    <x v="0"/>
    <x v="2"/>
    <d v="2023-10-24T00:00:00"/>
  </r>
  <r>
    <s v="TXN_3014967"/>
    <x v="3"/>
    <n v="1"/>
    <n v="5"/>
    <n v="5"/>
    <x v="2"/>
    <x v="2"/>
    <m/>
  </r>
  <r>
    <s v="TXN_8685281"/>
    <x v="8"/>
    <n v="1"/>
    <n v="1.5"/>
    <n v="1.5"/>
    <x v="3"/>
    <x v="1"/>
    <d v="2023-07-30T00:00:00"/>
  </r>
  <r>
    <s v="TXN_3205079"/>
    <x v="1"/>
    <n v="5"/>
    <n v="3"/>
    <n v="15"/>
    <x v="0"/>
    <x v="2"/>
    <d v="2023-11-07T00:00:00"/>
  </r>
  <r>
    <s v="TXN_1523626"/>
    <x v="1"/>
    <n v="4"/>
    <n v="3"/>
    <n v="12"/>
    <x v="2"/>
    <x v="0"/>
    <d v="2023-07-21T00:00:00"/>
  </r>
  <r>
    <s v="TXN_8944202"/>
    <x v="4"/>
    <n v="3"/>
    <n v="4"/>
    <n v="12"/>
    <x v="0"/>
    <x v="0"/>
    <d v="2023-06-08T00:00:00"/>
  </r>
  <r>
    <s v="TXN_2402993"/>
    <x v="2"/>
    <n v="5"/>
    <n v="1"/>
    <n v="5"/>
    <x v="1"/>
    <x v="0"/>
    <d v="2023-06-11T00:00:00"/>
  </r>
  <r>
    <s v="TXN_1340358"/>
    <x v="6"/>
    <n v="3"/>
    <n v="4"/>
    <n v="12"/>
    <x v="1"/>
    <x v="0"/>
    <d v="2023-06-09T00:00:00"/>
  </r>
  <r>
    <s v="TXN_6959328"/>
    <x v="6"/>
    <n v="3"/>
    <n v="4"/>
    <n v="12"/>
    <x v="0"/>
    <x v="0"/>
    <d v="2023-04-23T00:00:00"/>
  </r>
  <r>
    <s v="TXN_1613996"/>
    <x v="7"/>
    <n v="2"/>
    <n v="3"/>
    <n v="6"/>
    <x v="2"/>
    <x v="1"/>
    <d v="2023-10-12T00:00:00"/>
  </r>
  <r>
    <s v="TXN_9285475"/>
    <x v="8"/>
    <n v="5"/>
    <n v="1.5"/>
    <n v="7.5"/>
    <x v="3"/>
    <x v="2"/>
    <d v="2023-11-14T00:00:00"/>
  </r>
  <r>
    <s v="TXN_8077929"/>
    <x v="8"/>
    <n v="3"/>
    <n v="1.5"/>
    <n v="4.5"/>
    <x v="3"/>
    <x v="0"/>
    <d v="2023-08-06T00:00:00"/>
  </r>
  <r>
    <s v="TXN_7899009"/>
    <x v="5"/>
    <n v="1"/>
    <n v="2"/>
    <n v="2"/>
    <x v="1"/>
    <x v="2"/>
    <d v="2023-03-08T00:00:00"/>
  </r>
  <r>
    <s v="TXN_9213505"/>
    <x v="6"/>
    <n v="2"/>
    <n v="4"/>
    <n v="8"/>
    <x v="2"/>
    <x v="2"/>
    <d v="2023-11-01T00:00:00"/>
  </r>
  <r>
    <s v="TXN_8724602"/>
    <x v="7"/>
    <n v="4"/>
    <n v="3"/>
    <n v="12"/>
    <x v="0"/>
    <x v="0"/>
    <d v="2023-06-26T00:00:00"/>
  </r>
  <r>
    <s v="TXN_9067597"/>
    <x v="3"/>
    <n v="4"/>
    <n v="5"/>
    <n v="20"/>
    <x v="1"/>
    <x v="0"/>
    <d v="2023-11-02T00:00:00"/>
  </r>
  <r>
    <s v="TXN_9714116"/>
    <x v="6"/>
    <n v="4"/>
    <n v="4"/>
    <n v="16"/>
    <x v="2"/>
    <x v="1"/>
    <d v="2023-11-17T00:00:00"/>
  </r>
  <r>
    <s v="TXN_8987697"/>
    <x v="2"/>
    <n v="5"/>
    <n v="1"/>
    <n v="5"/>
    <x v="1"/>
    <x v="2"/>
    <d v="2023-12-19T00:00:00"/>
  </r>
  <r>
    <s v="TXN_1940778"/>
    <x v="8"/>
    <n v="2"/>
    <n v="1.5"/>
    <n v="3"/>
    <x v="1"/>
    <x v="1"/>
    <d v="2023-02-01T00:00:00"/>
  </r>
  <r>
    <s v="TXN_1776070"/>
    <x v="6"/>
    <n v="3"/>
    <n v="4"/>
    <n v="12"/>
    <x v="2"/>
    <x v="2"/>
    <m/>
  </r>
  <r>
    <s v="TXN_4271502"/>
    <x v="5"/>
    <n v="2"/>
    <n v="3"/>
    <n v="6"/>
    <x v="2"/>
    <x v="2"/>
    <d v="2023-07-03T00:00:00"/>
  </r>
  <r>
    <s v="TXN_8124795"/>
    <x v="3"/>
    <n v="5"/>
    <n v="5"/>
    <n v="25"/>
    <x v="2"/>
    <x v="1"/>
    <d v="2023-08-11T00:00:00"/>
  </r>
  <r>
    <s v="TXN_7860953"/>
    <x v="6"/>
    <n v="1"/>
    <n v="4"/>
    <n v="4"/>
    <x v="3"/>
    <x v="0"/>
    <d v="2023-09-10T00:00:00"/>
  </r>
  <r>
    <s v="TXN_8164119"/>
    <x v="8"/>
    <n v="3"/>
    <n v="1.5"/>
    <n v="4.5"/>
    <x v="0"/>
    <x v="0"/>
    <d v="2023-01-07T00:00:00"/>
  </r>
  <r>
    <s v="TXN_6070523"/>
    <x v="5"/>
    <n v="4"/>
    <n v="2"/>
    <n v="8"/>
    <x v="1"/>
    <x v="2"/>
    <m/>
  </r>
  <r>
    <s v="TXN_7809290"/>
    <x v="1"/>
    <n v="1"/>
    <n v="3"/>
    <n v="3"/>
    <x v="1"/>
    <x v="0"/>
    <d v="2023-10-14T00:00:00"/>
  </r>
  <r>
    <s v="TXN_5332538"/>
    <x v="0"/>
    <n v="3"/>
    <n v="2"/>
    <n v="6"/>
    <x v="2"/>
    <x v="2"/>
    <d v="2023-01-15T00:00:00"/>
  </r>
  <r>
    <s v="TXN_7375024"/>
    <x v="5"/>
    <n v="1"/>
    <n v="1"/>
    <n v="1"/>
    <x v="1"/>
    <x v="1"/>
    <d v="2023-12-10T00:00:00"/>
  </r>
  <r>
    <s v="TXN_5675095"/>
    <x v="6"/>
    <n v="4"/>
    <n v="4"/>
    <n v="16"/>
    <x v="3"/>
    <x v="0"/>
    <d v="2023-05-18T00:00:00"/>
  </r>
  <r>
    <s v="TXN_4197851"/>
    <x v="3"/>
    <n v="3"/>
    <n v="5"/>
    <n v="15"/>
    <x v="3"/>
    <x v="1"/>
    <d v="2023-02-05T00:00:00"/>
  </r>
  <r>
    <s v="TXN_7931086"/>
    <x v="6"/>
    <n v="3"/>
    <n v="4"/>
    <n v="12"/>
    <x v="0"/>
    <x v="2"/>
    <d v="2023-06-25T00:00:00"/>
  </r>
  <r>
    <s v="TXN_2536573"/>
    <x v="5"/>
    <n v="2"/>
    <n v="4"/>
    <n v="8"/>
    <x v="1"/>
    <x v="1"/>
    <d v="2023-06-24T00:00:00"/>
  </r>
  <r>
    <s v="TXN_3374262"/>
    <x v="5"/>
    <n v="2"/>
    <n v="1.5"/>
    <n v="3"/>
    <x v="2"/>
    <x v="1"/>
    <d v="2023-04-14T00:00:00"/>
  </r>
  <r>
    <s v="TXN_9110336"/>
    <x v="2"/>
    <n v="5"/>
    <n v="1"/>
    <n v="5"/>
    <x v="3"/>
    <x v="2"/>
    <d v="2023-04-06T00:00:00"/>
  </r>
  <r>
    <s v="TXN_3901665"/>
    <x v="7"/>
    <n v="1"/>
    <n v="3"/>
    <n v="3"/>
    <x v="0"/>
    <x v="0"/>
    <d v="2023-10-19T00:00:00"/>
  </r>
  <r>
    <s v="TXN_9211917"/>
    <x v="4"/>
    <n v="4"/>
    <n v="4"/>
    <n v="16"/>
    <x v="2"/>
    <x v="1"/>
    <d v="2023-12-17T00:00:00"/>
  </r>
  <r>
    <s v="TXN_7893709"/>
    <x v="5"/>
    <n v="4"/>
    <n v="3"/>
    <n v="12"/>
    <x v="0"/>
    <x v="2"/>
    <d v="2023-03-14T00:00:00"/>
  </r>
  <r>
    <s v="TXN_4296023"/>
    <x v="8"/>
    <n v="5"/>
    <n v="1.5"/>
    <n v="7.5"/>
    <x v="3"/>
    <x v="1"/>
    <d v="2023-10-08T00:00:00"/>
  </r>
  <r>
    <s v="TXN_3403409"/>
    <x v="1"/>
    <n v="2"/>
    <n v="3"/>
    <n v="6"/>
    <x v="2"/>
    <x v="2"/>
    <d v="2023-02-22T00:00:00"/>
  </r>
  <r>
    <s v="TXN_1398511"/>
    <x v="0"/>
    <n v="5"/>
    <n v="2"/>
    <n v="10"/>
    <x v="2"/>
    <x v="0"/>
    <d v="2023-12-19T00:00:00"/>
  </r>
  <r>
    <s v="TXN_4350854"/>
    <x v="2"/>
    <n v="2"/>
    <n v="1"/>
    <n v="2"/>
    <x v="1"/>
    <x v="1"/>
    <d v="2023-01-31T00:00:00"/>
  </r>
  <r>
    <s v="TXN_1867158"/>
    <x v="2"/>
    <n v="4"/>
    <n v="1"/>
    <n v="4"/>
    <x v="3"/>
    <x v="0"/>
    <d v="2023-05-16T00:00:00"/>
  </r>
  <r>
    <s v="TXN_2662711"/>
    <x v="7"/>
    <n v="1"/>
    <n v="3"/>
    <n v="3"/>
    <x v="2"/>
    <x v="2"/>
    <d v="2023-11-02T00:00:00"/>
  </r>
  <r>
    <s v="TXN_4439660"/>
    <x v="0"/>
    <n v="3"/>
    <n v="2"/>
    <n v="6"/>
    <x v="2"/>
    <x v="2"/>
    <d v="2023-02-06T00:00:00"/>
  </r>
  <r>
    <s v="TXN_9417252"/>
    <x v="6"/>
    <n v="2"/>
    <n v="4"/>
    <n v="8"/>
    <x v="0"/>
    <x v="2"/>
    <d v="2023-08-17T00:00:00"/>
  </r>
  <r>
    <s v="TXN_7502558"/>
    <x v="5"/>
    <n v="5"/>
    <n v="3"/>
    <n v="15"/>
    <x v="2"/>
    <x v="1"/>
    <d v="2023-02-23T00:00:00"/>
  </r>
  <r>
    <s v="TXN_8453282"/>
    <x v="2"/>
    <n v="3"/>
    <n v="1"/>
    <n v="3"/>
    <x v="1"/>
    <x v="2"/>
    <d v="2023-03-08T00:00:00"/>
  </r>
  <r>
    <s v="TXN_5921766"/>
    <x v="4"/>
    <n v="3"/>
    <n v="4"/>
    <n v="12"/>
    <x v="2"/>
    <x v="1"/>
    <d v="2023-11-06T00:00:00"/>
  </r>
  <r>
    <s v="TXN_7688029"/>
    <x v="1"/>
    <n v="5"/>
    <n v="3"/>
    <n v="15"/>
    <x v="0"/>
    <x v="1"/>
    <d v="2023-05-30T00:00:00"/>
  </r>
  <r>
    <s v="TXN_2000331"/>
    <x v="5"/>
    <n v="3"/>
    <n v="4"/>
    <n v="12"/>
    <x v="2"/>
    <x v="0"/>
    <d v="2023-03-30T00:00:00"/>
  </r>
  <r>
    <s v="TXN_3420633"/>
    <x v="3"/>
    <n v="4"/>
    <n v="5"/>
    <n v="20"/>
    <x v="3"/>
    <x v="0"/>
    <d v="2023-04-11T00:00:00"/>
  </r>
  <r>
    <s v="TXN_3431892"/>
    <x v="1"/>
    <n v="2"/>
    <n v="3"/>
    <n v="6"/>
    <x v="2"/>
    <x v="1"/>
    <d v="2023-07-18T00:00:00"/>
  </r>
  <r>
    <s v="TXN_5220527"/>
    <x v="2"/>
    <n v="4"/>
    <n v="1"/>
    <n v="4"/>
    <x v="3"/>
    <x v="0"/>
    <d v="2023-08-06T00:00:00"/>
  </r>
  <r>
    <s v="TXN_1205773"/>
    <x v="3"/>
    <n v="5"/>
    <n v="5"/>
    <n v="25"/>
    <x v="1"/>
    <x v="2"/>
    <d v="2023-01-27T00:00:00"/>
  </r>
  <r>
    <s v="TXN_3061405"/>
    <x v="4"/>
    <n v="5"/>
    <n v="4"/>
    <n v="20"/>
    <x v="2"/>
    <x v="0"/>
    <d v="2023-12-01T00:00:00"/>
  </r>
  <r>
    <s v="TXN_8696857"/>
    <x v="0"/>
    <n v="1"/>
    <n v="2"/>
    <n v="2"/>
    <x v="3"/>
    <x v="0"/>
    <d v="2023-10-01T00:00:00"/>
  </r>
  <r>
    <s v="TXN_9668265"/>
    <x v="2"/>
    <n v="3"/>
    <n v="1"/>
    <n v="3"/>
    <x v="0"/>
    <x v="2"/>
    <d v="2023-06-20T00:00:00"/>
  </r>
  <r>
    <s v="TXN_3638761"/>
    <x v="7"/>
    <n v="5"/>
    <n v="3"/>
    <n v="15"/>
    <x v="2"/>
    <x v="2"/>
    <m/>
  </r>
  <r>
    <s v="TXN_7463102"/>
    <x v="4"/>
    <n v="5"/>
    <n v="4"/>
    <n v="20"/>
    <x v="1"/>
    <x v="0"/>
    <d v="2023-11-27T00:00:00"/>
  </r>
  <r>
    <s v="TXN_5569954"/>
    <x v="2"/>
    <n v="4"/>
    <n v="1"/>
    <n v="4"/>
    <x v="0"/>
    <x v="1"/>
    <m/>
  </r>
  <r>
    <s v="TXN_4547294"/>
    <x v="8"/>
    <n v="1"/>
    <n v="1.5"/>
    <n v="1.5"/>
    <x v="2"/>
    <x v="2"/>
    <d v="2023-09-30T00:00:00"/>
  </r>
  <r>
    <s v="TXN_8430882"/>
    <x v="6"/>
    <n v="2"/>
    <n v="4"/>
    <n v="8"/>
    <x v="3"/>
    <x v="0"/>
    <d v="2023-06-17T00:00:00"/>
  </r>
  <r>
    <s v="TXN_9114647"/>
    <x v="3"/>
    <n v="5"/>
    <n v="5"/>
    <n v="25"/>
    <x v="3"/>
    <x v="1"/>
    <d v="2023-11-19T00:00:00"/>
  </r>
  <r>
    <s v="TXN_9556442"/>
    <x v="6"/>
    <n v="1"/>
    <n v="4"/>
    <n v="4"/>
    <x v="3"/>
    <x v="0"/>
    <m/>
  </r>
  <r>
    <s v="TXN_5413433"/>
    <x v="7"/>
    <n v="4"/>
    <n v="3"/>
    <n v="12"/>
    <x v="3"/>
    <x v="1"/>
    <d v="2023-06-03T00:00:00"/>
  </r>
  <r>
    <s v="TXN_9388222"/>
    <x v="2"/>
    <n v="1"/>
    <n v="1"/>
    <n v="1"/>
    <x v="3"/>
    <x v="1"/>
    <d v="2023-04-21T00:00:00"/>
  </r>
  <r>
    <s v="TXN_6618750"/>
    <x v="4"/>
    <n v="5"/>
    <n v="4"/>
    <n v="20"/>
    <x v="0"/>
    <x v="2"/>
    <d v="2023-03-07T00:00:00"/>
  </r>
  <r>
    <s v="TXN_6712087"/>
    <x v="1"/>
    <n v="2"/>
    <n v="3"/>
    <n v="6"/>
    <x v="2"/>
    <x v="1"/>
    <d v="2023-06-06T00:00:00"/>
  </r>
  <r>
    <s v="TXN_1862184"/>
    <x v="0"/>
    <n v="4"/>
    <n v="2"/>
    <n v="8"/>
    <x v="2"/>
    <x v="1"/>
    <d v="2023-01-21T00:00:00"/>
  </r>
  <r>
    <s v="TXN_6149800"/>
    <x v="6"/>
    <n v="4"/>
    <n v="4"/>
    <n v="16"/>
    <x v="3"/>
    <x v="2"/>
    <d v="2023-05-05T00:00:00"/>
  </r>
  <r>
    <s v="TXN_6433525"/>
    <x v="4"/>
    <n v="2"/>
    <n v="4"/>
    <n v="8"/>
    <x v="2"/>
    <x v="2"/>
    <d v="2023-09-02T00:00:00"/>
  </r>
  <r>
    <s v="TXN_2642834"/>
    <x v="3"/>
    <n v="2"/>
    <n v="5"/>
    <n v="10"/>
    <x v="1"/>
    <x v="2"/>
    <d v="2023-11-13T00:00:00"/>
  </r>
  <r>
    <s v="TXN_6745398"/>
    <x v="8"/>
    <n v="4"/>
    <n v="1.5"/>
    <n v="6"/>
    <x v="2"/>
    <x v="2"/>
    <d v="2023-02-28T00:00:00"/>
  </r>
  <r>
    <s v="TXN_5660949"/>
    <x v="2"/>
    <n v="3"/>
    <n v="1"/>
    <n v="3"/>
    <x v="0"/>
    <x v="1"/>
    <d v="2023-01-10T00:00:00"/>
  </r>
  <r>
    <s v="TXN_9540340"/>
    <x v="6"/>
    <n v="2"/>
    <n v="4"/>
    <n v="8"/>
    <x v="1"/>
    <x v="2"/>
    <d v="2023-11-15T00:00:00"/>
  </r>
  <r>
    <s v="TXN_5200292"/>
    <x v="5"/>
    <n v="4"/>
    <n v="5"/>
    <n v="20"/>
    <x v="1"/>
    <x v="2"/>
    <d v="2023-01-12T00:00:00"/>
  </r>
  <r>
    <s v="TXN_4118960"/>
    <x v="4"/>
    <n v="5"/>
    <n v="4"/>
    <n v="20"/>
    <x v="0"/>
    <x v="0"/>
    <d v="2023-09-24T00:00:00"/>
  </r>
  <r>
    <s v="TXN_2265543"/>
    <x v="3"/>
    <n v="3"/>
    <n v="5"/>
    <n v="15"/>
    <x v="2"/>
    <x v="0"/>
    <d v="2023-02-19T00:00:00"/>
  </r>
  <r>
    <s v="TXN_7360979"/>
    <x v="6"/>
    <n v="1"/>
    <n v="4"/>
    <n v="4"/>
    <x v="2"/>
    <x v="1"/>
    <d v="2023-08-16T00:00:00"/>
  </r>
  <r>
    <s v="TXN_1849597"/>
    <x v="6"/>
    <n v="2"/>
    <n v="4"/>
    <n v="8"/>
    <x v="1"/>
    <x v="2"/>
    <d v="2023-11-01T00:00:00"/>
  </r>
  <r>
    <s v="TXN_3214521"/>
    <x v="8"/>
    <n v="4"/>
    <n v="1.5"/>
    <n v="6"/>
    <x v="2"/>
    <x v="2"/>
    <d v="2023-06-30T00:00:00"/>
  </r>
  <r>
    <s v="TXN_5107249"/>
    <x v="4"/>
    <n v="4"/>
    <n v="4"/>
    <n v="16"/>
    <x v="1"/>
    <x v="2"/>
    <d v="2023-03-20T00:00:00"/>
  </r>
  <r>
    <s v="TXN_1941099"/>
    <x v="5"/>
    <n v="5"/>
    <n v="1"/>
    <n v="5"/>
    <x v="1"/>
    <x v="2"/>
    <d v="2023-04-14T00:00:00"/>
  </r>
  <r>
    <s v="TXN_3228646"/>
    <x v="2"/>
    <n v="5"/>
    <n v="1"/>
    <n v="5"/>
    <x v="0"/>
    <x v="2"/>
    <d v="2023-09-19T00:00:00"/>
  </r>
  <r>
    <s v="TXN_3295578"/>
    <x v="5"/>
    <n v="1"/>
    <n v="3"/>
    <n v="3"/>
    <x v="2"/>
    <x v="1"/>
    <d v="2023-05-04T00:00:00"/>
  </r>
  <r>
    <s v="TXN_3717422"/>
    <x v="3"/>
    <n v="2"/>
    <n v="5"/>
    <n v="10"/>
    <x v="1"/>
    <x v="2"/>
    <d v="2023-06-15T00:00:00"/>
  </r>
  <r>
    <s v="TXN_5350735"/>
    <x v="8"/>
    <n v="2"/>
    <n v="1.5"/>
    <n v="3"/>
    <x v="1"/>
    <x v="2"/>
    <d v="2023-04-08T00:00:00"/>
  </r>
  <r>
    <s v="TXN_1128577"/>
    <x v="6"/>
    <n v="1"/>
    <n v="4"/>
    <n v="4"/>
    <x v="3"/>
    <x v="1"/>
    <d v="2023-11-23T00:00:00"/>
  </r>
  <r>
    <s v="TXN_6533267"/>
    <x v="8"/>
    <n v="3"/>
    <n v="1.5"/>
    <n v="4.5"/>
    <x v="1"/>
    <x v="1"/>
    <d v="2023-07-14T00:00:00"/>
  </r>
  <r>
    <s v="TXN_1413310"/>
    <x v="4"/>
    <n v="3"/>
    <n v="4"/>
    <n v="12"/>
    <x v="2"/>
    <x v="0"/>
    <d v="2023-04-06T00:00:00"/>
  </r>
  <r>
    <s v="TXN_4166020"/>
    <x v="5"/>
    <n v="4"/>
    <n v="3"/>
    <n v="12"/>
    <x v="3"/>
    <x v="1"/>
    <d v="2023-08-18T00:00:00"/>
  </r>
  <r>
    <s v="TXN_9496018"/>
    <x v="5"/>
    <n v="5"/>
    <n v="1.5"/>
    <n v="7.5"/>
    <x v="2"/>
    <x v="0"/>
    <d v="2023-01-05T00:00:00"/>
  </r>
  <r>
    <s v="TXN_5609139"/>
    <x v="5"/>
    <n v="2"/>
    <n v="1.5"/>
    <n v="3"/>
    <x v="3"/>
    <x v="2"/>
    <d v="2023-10-13T00:00:00"/>
  </r>
  <r>
    <s v="TXN_5087453"/>
    <x v="8"/>
    <n v="3"/>
    <n v="1.5"/>
    <n v="4.5"/>
    <x v="1"/>
    <x v="0"/>
    <d v="2023-04-09T00:00:00"/>
  </r>
  <r>
    <s v="TXN_3312088"/>
    <x v="1"/>
    <n v="1"/>
    <n v="3"/>
    <n v="3"/>
    <x v="3"/>
    <x v="2"/>
    <d v="2023-08-17T00:00:00"/>
  </r>
  <r>
    <s v="TXN_2049313"/>
    <x v="5"/>
    <n v="4"/>
    <n v="1.5"/>
    <n v="6"/>
    <x v="0"/>
    <x v="2"/>
    <d v="2023-12-25T00:00:00"/>
  </r>
  <r>
    <s v="TXN_4001774"/>
    <x v="8"/>
    <n v="5"/>
    <n v="1.5"/>
    <n v="7.5"/>
    <x v="2"/>
    <x v="0"/>
    <d v="2023-02-10T00:00:00"/>
  </r>
  <r>
    <s v="TXN_9627891"/>
    <x v="0"/>
    <n v="2"/>
    <n v="2"/>
    <n v="4"/>
    <x v="0"/>
    <x v="1"/>
    <d v="2023-01-09T00:00:00"/>
  </r>
  <r>
    <s v="TXN_5584275"/>
    <x v="4"/>
    <n v="1"/>
    <n v="4"/>
    <n v="4"/>
    <x v="0"/>
    <x v="1"/>
    <d v="2023-07-10T00:00:00"/>
  </r>
  <r>
    <s v="TXN_1873800"/>
    <x v="4"/>
    <n v="3"/>
    <n v="4"/>
    <n v="12"/>
    <x v="2"/>
    <x v="1"/>
    <d v="2023-02-01T00:00:00"/>
  </r>
  <r>
    <s v="TXN_3602823"/>
    <x v="0"/>
    <n v="4"/>
    <n v="2"/>
    <n v="8"/>
    <x v="2"/>
    <x v="2"/>
    <d v="2023-08-26T00:00:00"/>
  </r>
  <r>
    <s v="TXN_5528426"/>
    <x v="4"/>
    <n v="4"/>
    <n v="4"/>
    <n v="16"/>
    <x v="1"/>
    <x v="0"/>
    <d v="2023-06-01T00:00:00"/>
  </r>
  <r>
    <s v="TXN_7626322"/>
    <x v="5"/>
    <n v="4"/>
    <n v="3"/>
    <n v="12"/>
    <x v="1"/>
    <x v="0"/>
    <d v="2023-12-21T00:00:00"/>
  </r>
  <r>
    <s v="TXN_4432546"/>
    <x v="0"/>
    <n v="2"/>
    <n v="2"/>
    <n v="4"/>
    <x v="3"/>
    <x v="2"/>
    <d v="2023-11-29T00:00:00"/>
  </r>
  <r>
    <s v="TXN_6372031"/>
    <x v="7"/>
    <n v="3"/>
    <n v="3"/>
    <n v="9"/>
    <x v="3"/>
    <x v="1"/>
    <d v="2023-08-11T00:00:00"/>
  </r>
  <r>
    <s v="TXN_6874059"/>
    <x v="3"/>
    <n v="4"/>
    <n v="5"/>
    <n v="20"/>
    <x v="2"/>
    <x v="0"/>
    <d v="2023-01-12T00:00:00"/>
  </r>
  <r>
    <s v="TXN_3843111"/>
    <x v="4"/>
    <n v="2"/>
    <n v="4"/>
    <n v="8"/>
    <x v="2"/>
    <x v="2"/>
    <d v="2023-09-15T00:00:00"/>
  </r>
  <r>
    <s v="TXN_8916446"/>
    <x v="2"/>
    <n v="2"/>
    <n v="1"/>
    <n v="2"/>
    <x v="1"/>
    <x v="2"/>
    <d v="2023-07-19T00:00:00"/>
  </r>
  <r>
    <s v="TXN_1823906"/>
    <x v="3"/>
    <n v="3"/>
    <n v="5"/>
    <n v="15"/>
    <x v="3"/>
    <x v="1"/>
    <d v="2023-06-26T00:00:00"/>
  </r>
  <r>
    <s v="TXN_2927941"/>
    <x v="5"/>
    <n v="4"/>
    <n v="4"/>
    <n v="16"/>
    <x v="0"/>
    <x v="0"/>
    <d v="2023-08-29T00:00:00"/>
  </r>
  <r>
    <s v="TXN_5972836"/>
    <x v="5"/>
    <n v="3"/>
    <n v="4"/>
    <n v="12"/>
    <x v="1"/>
    <x v="0"/>
    <d v="2023-02-14T00:00:00"/>
  </r>
  <r>
    <s v="TXN_7484638"/>
    <x v="6"/>
    <n v="3"/>
    <n v="4"/>
    <n v="12"/>
    <x v="3"/>
    <x v="1"/>
    <d v="2023-10-17T00:00:00"/>
  </r>
  <r>
    <s v="TXN_2073647"/>
    <x v="5"/>
    <n v="3"/>
    <n v="4"/>
    <n v="12"/>
    <x v="2"/>
    <x v="1"/>
    <d v="2023-09-01T00:00:00"/>
  </r>
  <r>
    <s v="TXN_1610137"/>
    <x v="0"/>
    <n v="3"/>
    <n v="2"/>
    <n v="6"/>
    <x v="1"/>
    <x v="0"/>
    <d v="2023-04-02T00:00:00"/>
  </r>
  <r>
    <s v="TXN_9094628"/>
    <x v="0"/>
    <n v="2"/>
    <n v="2"/>
    <n v="4"/>
    <x v="2"/>
    <x v="1"/>
    <d v="2023-02-13T00:00:00"/>
  </r>
  <r>
    <s v="TXN_2262195"/>
    <x v="4"/>
    <n v="3"/>
    <n v="4"/>
    <n v="12"/>
    <x v="1"/>
    <x v="2"/>
    <d v="2023-10-13T00:00:00"/>
  </r>
  <r>
    <s v="TXN_8047234"/>
    <x v="7"/>
    <n v="3"/>
    <n v="3"/>
    <n v="9"/>
    <x v="0"/>
    <x v="2"/>
    <d v="2023-08-29T00:00:00"/>
  </r>
  <r>
    <s v="TXN_7108012"/>
    <x v="8"/>
    <n v="1"/>
    <n v="1.5"/>
    <n v="1.5"/>
    <x v="3"/>
    <x v="0"/>
    <d v="2023-12-31T00:00:00"/>
  </r>
  <r>
    <s v="TXN_3272946"/>
    <x v="3"/>
    <n v="3"/>
    <n v="5"/>
    <n v="15"/>
    <x v="0"/>
    <x v="1"/>
    <d v="2023-09-06T00:00:00"/>
  </r>
  <r>
    <s v="TXN_6896663"/>
    <x v="1"/>
    <n v="3"/>
    <n v="3"/>
    <n v="9"/>
    <x v="2"/>
    <x v="1"/>
    <d v="2023-05-16T00:00:00"/>
  </r>
  <r>
    <s v="TXN_7308096"/>
    <x v="8"/>
    <n v="2"/>
    <n v="1.5"/>
    <n v="3"/>
    <x v="1"/>
    <x v="0"/>
    <d v="2023-08-13T00:00:00"/>
  </r>
  <r>
    <s v="TXN_3607778"/>
    <x v="4"/>
    <n v="2"/>
    <n v="4"/>
    <n v="8"/>
    <x v="1"/>
    <x v="2"/>
    <d v="2023-11-20T00:00:00"/>
  </r>
  <r>
    <s v="TXN_7105069"/>
    <x v="0"/>
    <n v="1"/>
    <n v="2"/>
    <n v="2"/>
    <x v="1"/>
    <x v="0"/>
    <d v="2023-12-06T00:00:00"/>
  </r>
  <r>
    <s v="TXN_7461544"/>
    <x v="2"/>
    <n v="4"/>
    <n v="1"/>
    <n v="4"/>
    <x v="0"/>
    <x v="2"/>
    <d v="2023-08-22T00:00:00"/>
  </r>
  <r>
    <s v="TXN_5853281"/>
    <x v="0"/>
    <n v="4"/>
    <n v="2"/>
    <n v="8"/>
    <x v="2"/>
    <x v="2"/>
    <d v="2023-08-29T00:00:00"/>
  </r>
  <r>
    <s v="TXN_5488764"/>
    <x v="0"/>
    <n v="4"/>
    <n v="2"/>
    <n v="8"/>
    <x v="3"/>
    <x v="0"/>
    <d v="2023-06-30T00:00:00"/>
  </r>
  <r>
    <s v="TXN_4268746"/>
    <x v="1"/>
    <n v="5"/>
    <n v="3"/>
    <n v="15"/>
    <x v="0"/>
    <x v="1"/>
    <d v="2023-01-12T00:00:00"/>
  </r>
  <r>
    <s v="TXN_1767872"/>
    <x v="3"/>
    <n v="2"/>
    <n v="5"/>
    <n v="10"/>
    <x v="0"/>
    <x v="1"/>
    <d v="2023-01-05T00:00:00"/>
  </r>
  <r>
    <s v="TXN_9684822"/>
    <x v="7"/>
    <n v="1"/>
    <n v="3"/>
    <n v="3"/>
    <x v="2"/>
    <x v="2"/>
    <d v="2023-11-18T00:00:00"/>
  </r>
  <r>
    <s v="TXN_7208983"/>
    <x v="3"/>
    <n v="1"/>
    <n v="5"/>
    <n v="5"/>
    <x v="3"/>
    <x v="1"/>
    <d v="2023-09-28T00:00:00"/>
  </r>
  <r>
    <s v="TXN_8704128"/>
    <x v="7"/>
    <n v="5"/>
    <n v="3"/>
    <n v="15"/>
    <x v="2"/>
    <x v="2"/>
    <d v="2023-02-25T00:00:00"/>
  </r>
  <r>
    <s v="TXN_7971660"/>
    <x v="2"/>
    <n v="3"/>
    <n v="1"/>
    <n v="3"/>
    <x v="1"/>
    <x v="0"/>
    <d v="2023-10-02T00:00:00"/>
  </r>
  <r>
    <s v="TXN_6179190"/>
    <x v="0"/>
    <n v="1"/>
    <n v="2"/>
    <n v="2"/>
    <x v="2"/>
    <x v="0"/>
    <d v="2023-07-23T00:00:00"/>
  </r>
  <r>
    <s v="TXN_9271577"/>
    <x v="1"/>
    <n v="2"/>
    <n v="3"/>
    <n v="6"/>
    <x v="0"/>
    <x v="1"/>
    <d v="2023-04-13T00:00:00"/>
  </r>
  <r>
    <s v="TXN_3016203"/>
    <x v="5"/>
    <n v="1"/>
    <n v="5"/>
    <n v="5"/>
    <x v="1"/>
    <x v="1"/>
    <d v="2023-06-16T00:00:00"/>
  </r>
  <r>
    <s v="TXN_6440555"/>
    <x v="4"/>
    <n v="1"/>
    <n v="4"/>
    <n v="4"/>
    <x v="1"/>
    <x v="1"/>
    <d v="2023-07-11T00:00:00"/>
  </r>
  <r>
    <s v="TXN_5635779"/>
    <x v="5"/>
    <n v="5"/>
    <n v="3"/>
    <n v="15"/>
    <x v="1"/>
    <x v="1"/>
    <d v="2023-07-01T00:00:00"/>
  </r>
  <r>
    <s v="TXN_1022126"/>
    <x v="8"/>
    <n v="3"/>
    <n v="1.5"/>
    <n v="4.5"/>
    <x v="2"/>
    <x v="2"/>
    <m/>
  </r>
  <r>
    <s v="TXN_9839214"/>
    <x v="7"/>
    <n v="1"/>
    <n v="3"/>
    <n v="3"/>
    <x v="3"/>
    <x v="2"/>
    <d v="2023-12-25T00:00:00"/>
  </r>
  <r>
    <s v="TXN_7368194"/>
    <x v="4"/>
    <n v="2"/>
    <n v="4"/>
    <n v="8"/>
    <x v="0"/>
    <x v="1"/>
    <d v="2023-10-29T00:00:00"/>
  </r>
  <r>
    <s v="TXN_1328230"/>
    <x v="6"/>
    <n v="5"/>
    <n v="4"/>
    <n v="20"/>
    <x v="1"/>
    <x v="2"/>
    <d v="2023-02-03T00:00:00"/>
  </r>
  <r>
    <s v="TXN_9789310"/>
    <x v="6"/>
    <n v="4"/>
    <n v="4"/>
    <n v="16"/>
    <x v="0"/>
    <x v="1"/>
    <d v="2023-05-09T00:00:00"/>
  </r>
  <r>
    <s v="TXN_6425706"/>
    <x v="7"/>
    <n v="1"/>
    <n v="3"/>
    <n v="3"/>
    <x v="2"/>
    <x v="0"/>
    <d v="2023-12-09T00:00:00"/>
  </r>
  <r>
    <s v="TXN_5996973"/>
    <x v="6"/>
    <n v="5"/>
    <n v="4"/>
    <n v="20"/>
    <x v="2"/>
    <x v="1"/>
    <d v="2023-05-02T00:00:00"/>
  </r>
  <r>
    <s v="TXN_2561970"/>
    <x v="6"/>
    <n v="3"/>
    <n v="4"/>
    <n v="12"/>
    <x v="2"/>
    <x v="1"/>
    <d v="2023-03-16T00:00:00"/>
  </r>
  <r>
    <s v="TXN_7137256"/>
    <x v="6"/>
    <n v="2"/>
    <n v="4"/>
    <n v="8"/>
    <x v="1"/>
    <x v="2"/>
    <d v="2023-06-22T00:00:00"/>
  </r>
  <r>
    <s v="TXN_5926982"/>
    <x v="0"/>
    <n v="4"/>
    <n v="2"/>
    <n v="8"/>
    <x v="2"/>
    <x v="0"/>
    <d v="2023-05-16T00:00:00"/>
  </r>
  <r>
    <s v="TXN_3398611"/>
    <x v="6"/>
    <n v="5"/>
    <n v="4"/>
    <n v="20"/>
    <x v="1"/>
    <x v="2"/>
    <d v="2023-10-01T00:00:00"/>
  </r>
  <r>
    <s v="TXN_4539758"/>
    <x v="6"/>
    <n v="3"/>
    <n v="4"/>
    <n v="12"/>
    <x v="2"/>
    <x v="1"/>
    <d v="2023-06-01T00:00:00"/>
  </r>
  <r>
    <s v="TXN_6259087"/>
    <x v="6"/>
    <n v="2"/>
    <n v="4"/>
    <n v="8"/>
    <x v="3"/>
    <x v="1"/>
    <d v="2023-12-27T00:00:00"/>
  </r>
  <r>
    <s v="TXN_8152941"/>
    <x v="0"/>
    <n v="3"/>
    <n v="2"/>
    <n v="6"/>
    <x v="2"/>
    <x v="0"/>
    <m/>
  </r>
  <r>
    <s v="TXN_2987590"/>
    <x v="6"/>
    <n v="5"/>
    <n v="4"/>
    <n v="20"/>
    <x v="2"/>
    <x v="1"/>
    <d v="2023-02-17T00:00:00"/>
  </r>
  <r>
    <s v="TXN_6687029"/>
    <x v="6"/>
    <n v="2"/>
    <n v="4"/>
    <n v="8"/>
    <x v="0"/>
    <x v="1"/>
    <d v="2023-08-23T00:00:00"/>
  </r>
  <r>
    <s v="TXN_1199898"/>
    <x v="4"/>
    <n v="1"/>
    <n v="4"/>
    <n v="4"/>
    <x v="0"/>
    <x v="2"/>
    <d v="2023-10-26T00:00:00"/>
  </r>
  <r>
    <s v="TXN_4787990"/>
    <x v="2"/>
    <n v="3"/>
    <n v="1"/>
    <n v="3"/>
    <x v="3"/>
    <x v="2"/>
    <d v="2023-02-04T00:00:00"/>
  </r>
  <r>
    <s v="TXN_9606045"/>
    <x v="8"/>
    <n v="2"/>
    <n v="1.5"/>
    <n v="3"/>
    <x v="3"/>
    <x v="2"/>
    <d v="2023-10-14T00:00:00"/>
  </r>
  <r>
    <s v="TXN_1569248"/>
    <x v="8"/>
    <n v="1"/>
    <n v="1.5"/>
    <n v="1.5"/>
    <x v="0"/>
    <x v="2"/>
    <d v="2023-11-14T00:00:00"/>
  </r>
  <r>
    <s v="TXN_1151605"/>
    <x v="0"/>
    <n v="1"/>
    <n v="2"/>
    <n v="2"/>
    <x v="3"/>
    <x v="0"/>
    <d v="2023-05-02T00:00:00"/>
  </r>
  <r>
    <s v="TXN_4602430"/>
    <x v="6"/>
    <n v="3"/>
    <n v="4"/>
    <n v="12"/>
    <x v="0"/>
    <x v="1"/>
    <d v="2023-01-31T00:00:00"/>
  </r>
  <r>
    <s v="TXN_3232043"/>
    <x v="8"/>
    <n v="2"/>
    <n v="1.5"/>
    <n v="3"/>
    <x v="2"/>
    <x v="1"/>
    <d v="2023-07-05T00:00:00"/>
  </r>
  <r>
    <s v="TXN_3251340"/>
    <x v="3"/>
    <n v="4"/>
    <n v="5"/>
    <n v="20"/>
    <x v="2"/>
    <x v="1"/>
    <d v="2023-06-18T00:00:00"/>
  </r>
  <r>
    <s v="TXN_7412782"/>
    <x v="2"/>
    <n v="2"/>
    <n v="1"/>
    <n v="2"/>
    <x v="3"/>
    <x v="0"/>
    <d v="2023-03-28T00:00:00"/>
  </r>
  <r>
    <s v="TXN_5663260"/>
    <x v="6"/>
    <n v="4"/>
    <n v="4"/>
    <n v="16"/>
    <x v="3"/>
    <x v="2"/>
    <d v="2023-10-08T00:00:00"/>
  </r>
  <r>
    <s v="TXN_5570967"/>
    <x v="0"/>
    <n v="1"/>
    <n v="2"/>
    <n v="2"/>
    <x v="0"/>
    <x v="1"/>
    <d v="2023-12-12T00:00:00"/>
  </r>
  <r>
    <s v="TXN_8271541"/>
    <x v="4"/>
    <n v="2"/>
    <n v="4"/>
    <n v="8"/>
    <x v="2"/>
    <x v="2"/>
    <d v="2023-09-07T00:00:00"/>
  </r>
  <r>
    <s v="TXN_2238658"/>
    <x v="8"/>
    <n v="3"/>
    <n v="1.5"/>
    <n v="4.5"/>
    <x v="2"/>
    <x v="0"/>
    <d v="2023-08-11T00:00:00"/>
  </r>
  <r>
    <s v="TXN_2564718"/>
    <x v="3"/>
    <n v="5"/>
    <n v="5"/>
    <n v="25"/>
    <x v="2"/>
    <x v="0"/>
    <d v="2023-10-10T00:00:00"/>
  </r>
  <r>
    <s v="TXN_9050127"/>
    <x v="6"/>
    <n v="5"/>
    <n v="4"/>
    <n v="20"/>
    <x v="0"/>
    <x v="0"/>
    <d v="2023-02-26T00:00:00"/>
  </r>
  <r>
    <s v="TXN_6533450"/>
    <x v="4"/>
    <n v="1"/>
    <n v="4"/>
    <n v="4"/>
    <x v="2"/>
    <x v="1"/>
    <d v="2023-11-22T00:00:00"/>
  </r>
  <r>
    <s v="TXN_8046891"/>
    <x v="0"/>
    <n v="1"/>
    <n v="2"/>
    <n v="2"/>
    <x v="0"/>
    <x v="0"/>
    <d v="2023-02-24T00:00:00"/>
  </r>
  <r>
    <s v="TXN_7770487"/>
    <x v="4"/>
    <n v="1"/>
    <n v="4"/>
    <n v="4"/>
    <x v="1"/>
    <x v="1"/>
    <d v="2023-08-09T00:00:00"/>
  </r>
  <r>
    <s v="TXN_2279313"/>
    <x v="2"/>
    <n v="2"/>
    <n v="1"/>
    <n v="2"/>
    <x v="3"/>
    <x v="1"/>
    <d v="2023-08-23T00:00:00"/>
  </r>
  <r>
    <s v="TXN_9943050"/>
    <x v="8"/>
    <n v="1"/>
    <n v="1.5"/>
    <n v="1.5"/>
    <x v="3"/>
    <x v="0"/>
    <d v="2023-05-16T00:00:00"/>
  </r>
  <r>
    <s v="TXN_2694605"/>
    <x v="2"/>
    <n v="2"/>
    <n v="1"/>
    <n v="2"/>
    <x v="0"/>
    <x v="0"/>
    <d v="2023-11-09T00:00:00"/>
  </r>
  <r>
    <s v="TXN_2161957"/>
    <x v="2"/>
    <n v="2"/>
    <n v="1"/>
    <n v="2"/>
    <x v="2"/>
    <x v="0"/>
    <d v="2023-05-19T00:00:00"/>
  </r>
  <r>
    <s v="TXN_3647474"/>
    <x v="0"/>
    <n v="4"/>
    <n v="2"/>
    <n v="8"/>
    <x v="2"/>
    <x v="0"/>
    <d v="2023-05-05T00:00:00"/>
  </r>
  <r>
    <s v="TXN_4877601"/>
    <x v="5"/>
    <n v="2"/>
    <n v="1"/>
    <n v="2"/>
    <x v="2"/>
    <x v="2"/>
    <d v="2023-07-14T00:00:00"/>
  </r>
  <r>
    <s v="TXN_7868470"/>
    <x v="7"/>
    <n v="3"/>
    <n v="3"/>
    <n v="9"/>
    <x v="3"/>
    <x v="2"/>
    <d v="2023-04-14T00:00:00"/>
  </r>
  <r>
    <s v="TXN_1927704"/>
    <x v="3"/>
    <n v="2"/>
    <n v="5"/>
    <n v="10"/>
    <x v="3"/>
    <x v="1"/>
    <d v="2023-01-05T00:00:00"/>
  </r>
  <r>
    <s v="TXN_4819416"/>
    <x v="3"/>
    <n v="3"/>
    <n v="5"/>
    <n v="15"/>
    <x v="2"/>
    <x v="2"/>
    <d v="2023-06-01T00:00:00"/>
  </r>
  <r>
    <s v="TXN_8076152"/>
    <x v="8"/>
    <n v="4"/>
    <n v="1.5"/>
    <n v="6"/>
    <x v="3"/>
    <x v="2"/>
    <d v="2023-12-18T00:00:00"/>
  </r>
  <r>
    <s v="TXN_9409405"/>
    <x v="5"/>
    <n v="3"/>
    <n v="2"/>
    <n v="6"/>
    <x v="3"/>
    <x v="1"/>
    <d v="2023-02-11T00:00:00"/>
  </r>
  <r>
    <s v="TXN_4055876"/>
    <x v="5"/>
    <n v="3"/>
    <n v="5"/>
    <n v="15"/>
    <x v="0"/>
    <x v="1"/>
    <d v="2023-10-15T00:00:00"/>
  </r>
  <r>
    <s v="TXN_1929398"/>
    <x v="6"/>
    <n v="1"/>
    <n v="4"/>
    <n v="4"/>
    <x v="3"/>
    <x v="1"/>
    <d v="2023-02-23T00:00:00"/>
  </r>
  <r>
    <s v="TXN_2131494"/>
    <x v="3"/>
    <n v="2"/>
    <n v="5"/>
    <n v="10"/>
    <x v="1"/>
    <x v="2"/>
    <d v="2023-02-27T00:00:00"/>
  </r>
  <r>
    <s v="TXN_3093284"/>
    <x v="0"/>
    <n v="4"/>
    <n v="2"/>
    <n v="8"/>
    <x v="3"/>
    <x v="1"/>
    <d v="2023-01-01T00:00:00"/>
  </r>
  <r>
    <s v="TXN_3679245"/>
    <x v="4"/>
    <n v="4"/>
    <n v="4"/>
    <n v="16"/>
    <x v="2"/>
    <x v="1"/>
    <d v="2023-09-16T00:00:00"/>
  </r>
  <r>
    <s v="TXN_2276426"/>
    <x v="7"/>
    <n v="5"/>
    <n v="3"/>
    <n v="15"/>
    <x v="0"/>
    <x v="1"/>
    <d v="2023-10-21T00:00:00"/>
  </r>
  <r>
    <s v="TXN_9608095"/>
    <x v="0"/>
    <n v="1"/>
    <n v="2"/>
    <n v="2"/>
    <x v="0"/>
    <x v="1"/>
    <d v="2023-12-07T00:00:00"/>
  </r>
  <r>
    <s v="TXN_9587704"/>
    <x v="7"/>
    <n v="5"/>
    <n v="3"/>
    <n v="15"/>
    <x v="1"/>
    <x v="0"/>
    <d v="2023-07-29T00:00:00"/>
  </r>
  <r>
    <s v="TXN_9863114"/>
    <x v="7"/>
    <n v="5"/>
    <n v="3"/>
    <n v="15"/>
    <x v="2"/>
    <x v="0"/>
    <d v="2023-02-01T00:00:00"/>
  </r>
  <r>
    <s v="TXN_2372348"/>
    <x v="1"/>
    <n v="2"/>
    <n v="3"/>
    <n v="6"/>
    <x v="3"/>
    <x v="0"/>
    <d v="2023-01-05T00:00:00"/>
  </r>
  <r>
    <s v="TXN_6660602"/>
    <x v="5"/>
    <n v="4"/>
    <n v="5"/>
    <n v="20"/>
    <x v="2"/>
    <x v="0"/>
    <d v="2023-05-20T00:00:00"/>
  </r>
  <r>
    <s v="TXN_3386311"/>
    <x v="7"/>
    <n v="1"/>
    <n v="3"/>
    <n v="3"/>
    <x v="1"/>
    <x v="1"/>
    <d v="2023-11-30T00:00:00"/>
  </r>
  <r>
    <s v="TXN_7049149"/>
    <x v="5"/>
    <n v="4"/>
    <n v="4"/>
    <n v="16"/>
    <x v="2"/>
    <x v="2"/>
    <d v="2023-08-27T00:00:00"/>
  </r>
  <r>
    <s v="TXN_4112230"/>
    <x v="4"/>
    <n v="5"/>
    <n v="4"/>
    <n v="20"/>
    <x v="2"/>
    <x v="0"/>
    <d v="2023-11-19T00:00:00"/>
  </r>
  <r>
    <s v="TXN_1675510"/>
    <x v="6"/>
    <n v="3"/>
    <n v="4"/>
    <n v="12"/>
    <x v="2"/>
    <x v="2"/>
    <d v="2023-09-09T00:00:00"/>
  </r>
  <r>
    <s v="TXN_5853158"/>
    <x v="5"/>
    <n v="4"/>
    <n v="4"/>
    <n v="16"/>
    <x v="1"/>
    <x v="0"/>
    <d v="2023-09-25T00:00:00"/>
  </r>
  <r>
    <s v="TXN_4187673"/>
    <x v="7"/>
    <n v="2"/>
    <n v="3"/>
    <n v="6"/>
    <x v="3"/>
    <x v="2"/>
    <d v="2023-04-02T00:00:00"/>
  </r>
  <r>
    <s v="TXN_3017494"/>
    <x v="8"/>
    <n v="1"/>
    <n v="1.5"/>
    <n v="1.5"/>
    <x v="2"/>
    <x v="0"/>
    <d v="2023-11-21T00:00:00"/>
  </r>
  <r>
    <s v="TXN_8086161"/>
    <x v="6"/>
    <n v="2"/>
    <n v="4"/>
    <n v="8"/>
    <x v="1"/>
    <x v="1"/>
    <d v="2023-03-10T00:00:00"/>
  </r>
  <r>
    <s v="TXN_5729112"/>
    <x v="0"/>
    <n v="1"/>
    <n v="2"/>
    <n v="2"/>
    <x v="0"/>
    <x v="2"/>
    <d v="2023-06-30T00:00:00"/>
  </r>
  <r>
    <s v="TXN_4613595"/>
    <x v="3"/>
    <n v="3"/>
    <n v="5"/>
    <n v="15"/>
    <x v="0"/>
    <x v="0"/>
    <d v="2023-07-07T00:00:00"/>
  </r>
  <r>
    <s v="TXN_4152991"/>
    <x v="6"/>
    <n v="5"/>
    <n v="4"/>
    <n v="20"/>
    <x v="3"/>
    <x v="0"/>
    <d v="2023-12-17T00:00:00"/>
  </r>
  <r>
    <s v="TXN_1196324"/>
    <x v="8"/>
    <n v="4"/>
    <n v="1.5"/>
    <n v="6"/>
    <x v="0"/>
    <x v="1"/>
    <d v="2023-09-26T00:00:00"/>
  </r>
  <r>
    <s v="TXN_5944318"/>
    <x v="2"/>
    <n v="1"/>
    <n v="1"/>
    <n v="1"/>
    <x v="1"/>
    <x v="2"/>
    <d v="2023-01-23T00:00:00"/>
  </r>
  <r>
    <s v="TXN_5148823"/>
    <x v="7"/>
    <n v="1"/>
    <n v="3"/>
    <n v="3"/>
    <x v="3"/>
    <x v="2"/>
    <d v="2023-03-27T00:00:00"/>
  </r>
  <r>
    <s v="TXN_2887528"/>
    <x v="5"/>
    <n v="2"/>
    <n v="3"/>
    <n v="6"/>
    <x v="2"/>
    <x v="2"/>
    <d v="2023-04-23T00:00:00"/>
  </r>
  <r>
    <s v="TXN_7312736"/>
    <x v="2"/>
    <n v="2"/>
    <n v="1"/>
    <n v="2"/>
    <x v="3"/>
    <x v="2"/>
    <d v="2023-12-02T00:00:00"/>
  </r>
  <r>
    <s v="TXN_5775717"/>
    <x v="8"/>
    <n v="3"/>
    <n v="1.5"/>
    <n v="4.5"/>
    <x v="2"/>
    <x v="0"/>
    <d v="2023-08-02T00:00:00"/>
  </r>
  <r>
    <s v="TXN_4442095"/>
    <x v="3"/>
    <n v="4"/>
    <n v="5"/>
    <n v="20"/>
    <x v="3"/>
    <x v="2"/>
    <d v="2023-02-18T00:00:00"/>
  </r>
  <r>
    <s v="TXN_6621007"/>
    <x v="1"/>
    <n v="2"/>
    <n v="3"/>
    <n v="6"/>
    <x v="3"/>
    <x v="0"/>
    <d v="2023-03-05T00:00:00"/>
  </r>
  <r>
    <s v="TXN_6740691"/>
    <x v="8"/>
    <n v="1"/>
    <n v="1.5"/>
    <n v="1.5"/>
    <x v="1"/>
    <x v="2"/>
    <d v="2023-07-06T00:00:00"/>
  </r>
  <r>
    <s v="TXN_2548742"/>
    <x v="3"/>
    <n v="5"/>
    <n v="5"/>
    <n v="25"/>
    <x v="3"/>
    <x v="2"/>
    <m/>
  </r>
  <r>
    <s v="TXN_4359568"/>
    <x v="0"/>
    <n v="3"/>
    <n v="2"/>
    <n v="6"/>
    <x v="2"/>
    <x v="2"/>
    <d v="2023-12-21T00:00:00"/>
  </r>
  <r>
    <s v="TXN_3941164"/>
    <x v="0"/>
    <n v="4"/>
    <n v="2"/>
    <n v="8"/>
    <x v="2"/>
    <x v="2"/>
    <d v="2023-04-16T00:00:00"/>
  </r>
  <r>
    <s v="TXN_5244931"/>
    <x v="0"/>
    <n v="1"/>
    <n v="2"/>
    <n v="2"/>
    <x v="2"/>
    <x v="2"/>
    <d v="2023-09-30T00:00:00"/>
  </r>
  <r>
    <s v="TXN_8181326"/>
    <x v="8"/>
    <n v="5"/>
    <n v="1.5"/>
    <n v="7.5"/>
    <x v="1"/>
    <x v="2"/>
    <d v="2023-02-28T00:00:00"/>
  </r>
  <r>
    <s v="TXN_8912589"/>
    <x v="4"/>
    <n v="3"/>
    <n v="4"/>
    <n v="12"/>
    <x v="1"/>
    <x v="2"/>
    <d v="2023-10-19T00:00:00"/>
  </r>
  <r>
    <s v="TXN_1234390"/>
    <x v="1"/>
    <n v="2"/>
    <n v="3"/>
    <n v="6"/>
    <x v="3"/>
    <x v="0"/>
    <d v="2023-06-02T00:00:00"/>
  </r>
  <r>
    <s v="TXN_5336437"/>
    <x v="8"/>
    <n v="5"/>
    <n v="1.5"/>
    <n v="7.5"/>
    <x v="0"/>
    <x v="2"/>
    <d v="2023-05-07T00:00:00"/>
  </r>
  <r>
    <s v="TXN_6271633"/>
    <x v="7"/>
    <n v="2"/>
    <n v="3"/>
    <n v="6"/>
    <x v="3"/>
    <x v="1"/>
    <d v="2023-03-07T00:00:00"/>
  </r>
  <r>
    <s v="TXN_4805204"/>
    <x v="8"/>
    <n v="5"/>
    <n v="1.5"/>
    <n v="7.5"/>
    <x v="3"/>
    <x v="1"/>
    <d v="2023-04-25T00:00:00"/>
  </r>
  <r>
    <s v="TXN_3094786"/>
    <x v="6"/>
    <n v="4"/>
    <n v="4"/>
    <n v="16"/>
    <x v="0"/>
    <x v="0"/>
    <d v="2023-01-16T00:00:00"/>
  </r>
  <r>
    <s v="TXN_7082667"/>
    <x v="5"/>
    <n v="4"/>
    <n v="5"/>
    <n v="20"/>
    <x v="1"/>
    <x v="1"/>
    <d v="2023-08-03T00:00:00"/>
  </r>
  <r>
    <s v="TXN_4807049"/>
    <x v="2"/>
    <n v="1"/>
    <n v="1"/>
    <n v="1"/>
    <x v="0"/>
    <x v="2"/>
    <d v="2023-06-07T00:00:00"/>
  </r>
  <r>
    <s v="TXN_1840584"/>
    <x v="1"/>
    <n v="5"/>
    <n v="3"/>
    <n v="15"/>
    <x v="3"/>
    <x v="2"/>
    <d v="2023-05-28T00:00:00"/>
  </r>
  <r>
    <s v="TXN_8030379"/>
    <x v="3"/>
    <n v="4"/>
    <n v="5"/>
    <n v="20"/>
    <x v="1"/>
    <x v="1"/>
    <d v="2023-07-21T00:00:00"/>
  </r>
  <r>
    <s v="TXN_7746634"/>
    <x v="1"/>
    <n v="5"/>
    <n v="3"/>
    <n v="15"/>
    <x v="3"/>
    <x v="1"/>
    <d v="2023-07-04T00:00:00"/>
  </r>
  <r>
    <s v="TXN_2361290"/>
    <x v="3"/>
    <n v="4"/>
    <n v="5"/>
    <n v="20"/>
    <x v="1"/>
    <x v="2"/>
    <d v="2023-07-16T00:00:00"/>
  </r>
  <r>
    <s v="TXN_7133645"/>
    <x v="6"/>
    <n v="5"/>
    <n v="4"/>
    <n v="20"/>
    <x v="0"/>
    <x v="0"/>
    <m/>
  </r>
  <r>
    <s v="TXN_3654299"/>
    <x v="0"/>
    <n v="1"/>
    <n v="2"/>
    <n v="2"/>
    <x v="1"/>
    <x v="0"/>
    <d v="2023-09-19T00:00:00"/>
  </r>
  <r>
    <s v="TXN_8811945"/>
    <x v="5"/>
    <n v="1"/>
    <n v="5"/>
    <n v="5"/>
    <x v="2"/>
    <x v="2"/>
    <d v="2023-02-18T00:00:00"/>
  </r>
  <r>
    <s v="TXN_8659963"/>
    <x v="1"/>
    <n v="4"/>
    <n v="3"/>
    <n v="12"/>
    <x v="1"/>
    <x v="0"/>
    <d v="2023-01-21T00:00:00"/>
  </r>
  <r>
    <s v="TXN_3676131"/>
    <x v="0"/>
    <n v="3"/>
    <n v="2"/>
    <n v="6"/>
    <x v="2"/>
    <x v="2"/>
    <d v="2023-09-11T00:00:00"/>
  </r>
  <r>
    <s v="TXN_2935758"/>
    <x v="4"/>
    <n v="1"/>
    <n v="4"/>
    <n v="4"/>
    <x v="0"/>
    <x v="1"/>
    <d v="2023-09-03T00:00:00"/>
  </r>
  <r>
    <s v="TXN_1711730"/>
    <x v="7"/>
    <n v="5"/>
    <n v="3"/>
    <n v="15"/>
    <x v="2"/>
    <x v="0"/>
    <d v="2023-06-01T00:00:00"/>
  </r>
  <r>
    <s v="TXN_8659575"/>
    <x v="5"/>
    <n v="2"/>
    <n v="1.5"/>
    <n v="3"/>
    <x v="3"/>
    <x v="2"/>
    <d v="2023-12-17T00:00:00"/>
  </r>
  <r>
    <s v="TXN_5360210"/>
    <x v="8"/>
    <n v="5"/>
    <n v="1.5"/>
    <n v="7.5"/>
    <x v="1"/>
    <x v="0"/>
    <d v="2023-06-29T00:00:00"/>
  </r>
  <r>
    <s v="TXN_7970325"/>
    <x v="1"/>
    <n v="2"/>
    <n v="3"/>
    <n v="6"/>
    <x v="2"/>
    <x v="0"/>
    <d v="2023-03-13T00:00:00"/>
  </r>
  <r>
    <s v="TXN_8521037"/>
    <x v="6"/>
    <n v="1"/>
    <n v="4"/>
    <n v="4"/>
    <x v="2"/>
    <x v="1"/>
    <d v="2023-11-21T00:00:00"/>
  </r>
  <r>
    <s v="TXN_5473680"/>
    <x v="0"/>
    <n v="3"/>
    <n v="2"/>
    <n v="6"/>
    <x v="0"/>
    <x v="0"/>
    <d v="2023-12-24T00:00:00"/>
  </r>
  <r>
    <s v="TXN_6830192"/>
    <x v="5"/>
    <n v="3"/>
    <n v="3"/>
    <n v="9"/>
    <x v="3"/>
    <x v="2"/>
    <d v="2023-08-02T00:00:00"/>
  </r>
  <r>
    <s v="TXN_5999810"/>
    <x v="5"/>
    <n v="4"/>
    <n v="4"/>
    <n v="16"/>
    <x v="0"/>
    <x v="0"/>
    <d v="2023-06-19T00:00:00"/>
  </r>
  <r>
    <s v="TXN_6677631"/>
    <x v="8"/>
    <n v="5"/>
    <n v="1.5"/>
    <n v="7.5"/>
    <x v="3"/>
    <x v="1"/>
    <d v="2023-12-14T00:00:00"/>
  </r>
  <r>
    <s v="TXN_9775900"/>
    <x v="7"/>
    <n v="4"/>
    <n v="3"/>
    <n v="12"/>
    <x v="3"/>
    <x v="1"/>
    <d v="2023-08-29T00:00:00"/>
  </r>
  <r>
    <s v="TXN_2097072"/>
    <x v="8"/>
    <n v="4"/>
    <n v="1.5"/>
    <n v="6"/>
    <x v="2"/>
    <x v="1"/>
    <m/>
  </r>
  <r>
    <s v="TXN_2408143"/>
    <x v="0"/>
    <n v="2"/>
    <n v="2"/>
    <n v="4"/>
    <x v="3"/>
    <x v="2"/>
    <d v="2023-11-15T00:00:00"/>
  </r>
  <r>
    <s v="TXN_6383779"/>
    <x v="0"/>
    <n v="1"/>
    <n v="2"/>
    <n v="2"/>
    <x v="2"/>
    <x v="2"/>
    <d v="2023-11-29T00:00:00"/>
  </r>
  <r>
    <s v="TXN_1342359"/>
    <x v="1"/>
    <n v="4"/>
    <n v="3"/>
    <n v="12"/>
    <x v="1"/>
    <x v="0"/>
    <d v="2023-07-14T00:00:00"/>
  </r>
  <r>
    <s v="TXN_6975499"/>
    <x v="0"/>
    <n v="1"/>
    <n v="2"/>
    <n v="2"/>
    <x v="3"/>
    <x v="1"/>
    <d v="2023-07-03T00:00:00"/>
  </r>
  <r>
    <s v="TXN_9861083"/>
    <x v="6"/>
    <n v="5"/>
    <n v="4"/>
    <n v="20"/>
    <x v="0"/>
    <x v="1"/>
    <d v="2023-01-21T00:00:00"/>
  </r>
  <r>
    <s v="TXN_8100384"/>
    <x v="6"/>
    <n v="1"/>
    <n v="4"/>
    <n v="4"/>
    <x v="1"/>
    <x v="2"/>
    <d v="2023-11-08T00:00:00"/>
  </r>
  <r>
    <s v="TXN_3762778"/>
    <x v="0"/>
    <n v="5"/>
    <n v="2"/>
    <n v="10"/>
    <x v="2"/>
    <x v="2"/>
    <d v="2023-06-14T00:00:00"/>
  </r>
  <r>
    <s v="TXN_4548698"/>
    <x v="3"/>
    <n v="2"/>
    <n v="5"/>
    <n v="10"/>
    <x v="1"/>
    <x v="0"/>
    <d v="2023-03-04T00:00:00"/>
  </r>
  <r>
    <s v="TXN_8735820"/>
    <x v="8"/>
    <n v="2"/>
    <n v="1.5"/>
    <n v="3"/>
    <x v="0"/>
    <x v="0"/>
    <d v="2023-12-08T00:00:00"/>
  </r>
  <r>
    <s v="TXN_8803798"/>
    <x v="4"/>
    <n v="4"/>
    <n v="4"/>
    <n v="16"/>
    <x v="2"/>
    <x v="2"/>
    <d v="2023-07-14T00:00:00"/>
  </r>
  <r>
    <s v="TXN_1950008"/>
    <x v="4"/>
    <n v="4"/>
    <n v="4"/>
    <n v="16"/>
    <x v="3"/>
    <x v="1"/>
    <d v="2023-07-24T00:00:00"/>
  </r>
  <r>
    <s v="TXN_3894173"/>
    <x v="6"/>
    <n v="5"/>
    <n v="4"/>
    <n v="20"/>
    <x v="3"/>
    <x v="0"/>
    <d v="2023-10-07T00:00:00"/>
  </r>
  <r>
    <s v="TXN_3630892"/>
    <x v="5"/>
    <n v="4"/>
    <n v="1"/>
    <n v="4"/>
    <x v="2"/>
    <x v="0"/>
    <d v="2023-01-31T00:00:00"/>
  </r>
  <r>
    <s v="TXN_7436097"/>
    <x v="5"/>
    <n v="5"/>
    <n v="2"/>
    <n v="10"/>
    <x v="2"/>
    <x v="2"/>
    <d v="2023-10-25T00:00:00"/>
  </r>
  <r>
    <s v="TXN_4307602"/>
    <x v="5"/>
    <n v="4"/>
    <n v="1"/>
    <n v="4"/>
    <x v="1"/>
    <x v="1"/>
    <d v="2023-12-30T00:00:00"/>
  </r>
  <r>
    <s v="TXN_2394502"/>
    <x v="2"/>
    <n v="4"/>
    <n v="1"/>
    <n v="4"/>
    <x v="3"/>
    <x v="1"/>
    <d v="2023-12-22T00:00:00"/>
  </r>
  <r>
    <s v="TXN_5308047"/>
    <x v="2"/>
    <n v="1"/>
    <n v="1"/>
    <n v="1"/>
    <x v="0"/>
    <x v="2"/>
    <d v="2023-10-28T00:00:00"/>
  </r>
  <r>
    <s v="TXN_5929797"/>
    <x v="6"/>
    <n v="1"/>
    <n v="4"/>
    <n v="4"/>
    <x v="0"/>
    <x v="1"/>
    <d v="2023-05-12T00:00:00"/>
  </r>
  <r>
    <s v="TXN_1228927"/>
    <x v="8"/>
    <n v="2"/>
    <n v="1.5"/>
    <n v="3"/>
    <x v="0"/>
    <x v="2"/>
    <d v="2023-11-28T00:00:00"/>
  </r>
  <r>
    <s v="TXN_6486912"/>
    <x v="8"/>
    <n v="2"/>
    <n v="1.5"/>
    <n v="3"/>
    <x v="2"/>
    <x v="2"/>
    <d v="2023-05-10T00:00:00"/>
  </r>
  <r>
    <s v="TXN_3447069"/>
    <x v="7"/>
    <n v="2"/>
    <n v="3"/>
    <n v="6"/>
    <x v="0"/>
    <x v="2"/>
    <d v="2023-03-11T00:00:00"/>
  </r>
  <r>
    <s v="TXN_8219298"/>
    <x v="7"/>
    <n v="5"/>
    <n v="3"/>
    <n v="15"/>
    <x v="0"/>
    <x v="2"/>
    <d v="2023-09-01T00:00:00"/>
  </r>
  <r>
    <s v="TXN_1010950"/>
    <x v="2"/>
    <n v="1"/>
    <n v="1"/>
    <n v="1"/>
    <x v="3"/>
    <x v="0"/>
    <d v="2023-01-07T00:00:00"/>
  </r>
  <r>
    <s v="TXN_6376329"/>
    <x v="1"/>
    <n v="1"/>
    <n v="3"/>
    <n v="3"/>
    <x v="2"/>
    <x v="0"/>
    <d v="2023-03-30T00:00:00"/>
  </r>
  <r>
    <s v="TXN_1897783"/>
    <x v="4"/>
    <n v="3"/>
    <n v="4"/>
    <n v="12"/>
    <x v="1"/>
    <x v="2"/>
    <d v="2023-02-02T00:00:00"/>
  </r>
  <r>
    <s v="TXN_4831525"/>
    <x v="2"/>
    <n v="3"/>
    <n v="1"/>
    <n v="3"/>
    <x v="2"/>
    <x v="2"/>
    <d v="2023-08-05T00:00:00"/>
  </r>
  <r>
    <s v="TXN_2767034"/>
    <x v="3"/>
    <n v="4"/>
    <n v="5"/>
    <n v="20"/>
    <x v="1"/>
    <x v="2"/>
    <d v="2023-08-12T00:00:00"/>
  </r>
  <r>
    <s v="TXN_9365766"/>
    <x v="1"/>
    <n v="4"/>
    <n v="3"/>
    <n v="12"/>
    <x v="3"/>
    <x v="1"/>
    <d v="2023-02-13T00:00:00"/>
  </r>
  <r>
    <s v="TXN_5680396"/>
    <x v="6"/>
    <n v="2"/>
    <n v="4"/>
    <n v="8"/>
    <x v="3"/>
    <x v="2"/>
    <d v="2023-12-21T00:00:00"/>
  </r>
  <r>
    <s v="TXN_3071092"/>
    <x v="0"/>
    <n v="2"/>
    <n v="2"/>
    <n v="4"/>
    <x v="2"/>
    <x v="2"/>
    <d v="2023-09-08T00:00:00"/>
  </r>
  <r>
    <s v="TXN_6205234"/>
    <x v="1"/>
    <n v="5"/>
    <n v="3"/>
    <n v="15"/>
    <x v="3"/>
    <x v="2"/>
    <d v="2023-04-09T00:00:00"/>
  </r>
  <r>
    <s v="TXN_4489757"/>
    <x v="4"/>
    <n v="5"/>
    <n v="4"/>
    <n v="20"/>
    <x v="0"/>
    <x v="2"/>
    <d v="2023-05-03T00:00:00"/>
  </r>
  <r>
    <s v="TXN_8362750"/>
    <x v="3"/>
    <n v="4"/>
    <n v="5"/>
    <n v="20"/>
    <x v="2"/>
    <x v="1"/>
    <d v="2023-04-01T00:00:00"/>
  </r>
  <r>
    <s v="TXN_2422584"/>
    <x v="8"/>
    <n v="1"/>
    <n v="1.5"/>
    <n v="1.5"/>
    <x v="1"/>
    <x v="1"/>
    <d v="2023-11-28T00:00:00"/>
  </r>
  <r>
    <s v="TXN_3966911"/>
    <x v="8"/>
    <n v="3"/>
    <n v="1.5"/>
    <n v="4.5"/>
    <x v="0"/>
    <x v="2"/>
    <d v="2023-07-16T00:00:00"/>
  </r>
  <r>
    <s v="TXN_6880338"/>
    <x v="1"/>
    <n v="3"/>
    <n v="3"/>
    <n v="9"/>
    <x v="3"/>
    <x v="0"/>
    <d v="2023-11-06T00:00:00"/>
  </r>
  <r>
    <s v="TXN_9362958"/>
    <x v="7"/>
    <n v="1"/>
    <n v="3"/>
    <n v="3"/>
    <x v="1"/>
    <x v="1"/>
    <d v="2023-07-19T00:00:00"/>
  </r>
  <r>
    <s v="TXN_6815741"/>
    <x v="4"/>
    <n v="2"/>
    <n v="4"/>
    <n v="8"/>
    <x v="2"/>
    <x v="2"/>
    <d v="2023-03-13T00:00:00"/>
  </r>
  <r>
    <s v="TXN_4032956"/>
    <x v="0"/>
    <n v="5"/>
    <n v="2"/>
    <n v="10"/>
    <x v="0"/>
    <x v="2"/>
    <d v="2023-03-15T00:00:00"/>
  </r>
  <r>
    <s v="TXN_7894069"/>
    <x v="7"/>
    <n v="2"/>
    <n v="3"/>
    <n v="6"/>
    <x v="3"/>
    <x v="1"/>
    <d v="2023-11-20T00:00:00"/>
  </r>
  <r>
    <s v="TXN_5296578"/>
    <x v="0"/>
    <n v="1"/>
    <n v="2"/>
    <n v="2"/>
    <x v="0"/>
    <x v="0"/>
    <d v="2023-04-15T00:00:00"/>
  </r>
  <r>
    <s v="TXN_2522047"/>
    <x v="3"/>
    <n v="1"/>
    <n v="5"/>
    <n v="5"/>
    <x v="2"/>
    <x v="0"/>
    <d v="2023-12-05T00:00:00"/>
  </r>
  <r>
    <s v="TXN_8211303"/>
    <x v="3"/>
    <n v="5"/>
    <n v="5"/>
    <n v="25"/>
    <x v="2"/>
    <x v="2"/>
    <d v="2023-08-26T00:00:00"/>
  </r>
  <r>
    <s v="TXN_8472252"/>
    <x v="4"/>
    <n v="1"/>
    <n v="4"/>
    <n v="4"/>
    <x v="2"/>
    <x v="2"/>
    <d v="2023-02-04T00:00:00"/>
  </r>
  <r>
    <s v="TXN_2435025"/>
    <x v="7"/>
    <n v="1"/>
    <n v="3"/>
    <n v="3"/>
    <x v="1"/>
    <x v="1"/>
    <d v="2023-10-08T00:00:00"/>
  </r>
  <r>
    <s v="TXN_5179156"/>
    <x v="0"/>
    <n v="5"/>
    <n v="2"/>
    <n v="10"/>
    <x v="2"/>
    <x v="1"/>
    <d v="2023-10-25T00:00:00"/>
  </r>
  <r>
    <s v="TXN_4197090"/>
    <x v="7"/>
    <n v="3"/>
    <n v="3"/>
    <n v="9"/>
    <x v="0"/>
    <x v="0"/>
    <d v="2023-11-17T00:00:00"/>
  </r>
  <r>
    <s v="TXN_4209626"/>
    <x v="5"/>
    <n v="5"/>
    <n v="4"/>
    <n v="20"/>
    <x v="0"/>
    <x v="2"/>
    <d v="2023-07-04T00:00:00"/>
  </r>
  <r>
    <s v="TXN_8639995"/>
    <x v="5"/>
    <n v="3"/>
    <n v="4"/>
    <n v="12"/>
    <x v="1"/>
    <x v="2"/>
    <d v="2023-04-18T00:00:00"/>
  </r>
  <r>
    <s v="TXN_1777171"/>
    <x v="0"/>
    <n v="2"/>
    <n v="2"/>
    <n v="4"/>
    <x v="2"/>
    <x v="1"/>
    <d v="2023-08-17T00:00:00"/>
  </r>
  <r>
    <s v="TXN_5706734"/>
    <x v="7"/>
    <n v="1"/>
    <n v="3"/>
    <n v="3"/>
    <x v="1"/>
    <x v="2"/>
    <d v="2023-09-09T00:00:00"/>
  </r>
  <r>
    <s v="TXN_6228847"/>
    <x v="4"/>
    <n v="3"/>
    <n v="4"/>
    <n v="12"/>
    <x v="1"/>
    <x v="2"/>
    <d v="2023-01-13T00:00:00"/>
  </r>
  <r>
    <s v="TXN_6479368"/>
    <x v="4"/>
    <n v="2"/>
    <n v="4"/>
    <n v="8"/>
    <x v="0"/>
    <x v="0"/>
    <d v="2023-09-08T00:00:00"/>
  </r>
  <r>
    <s v="TXN_6991528"/>
    <x v="2"/>
    <n v="3"/>
    <n v="1"/>
    <n v="3"/>
    <x v="3"/>
    <x v="0"/>
    <d v="2023-08-17T00:00:00"/>
  </r>
  <r>
    <s v="TXN_2154866"/>
    <x v="8"/>
    <n v="2"/>
    <n v="1.5"/>
    <n v="3"/>
    <x v="0"/>
    <x v="0"/>
    <d v="2023-08-11T00:00:00"/>
  </r>
  <r>
    <s v="TXN_1333524"/>
    <x v="1"/>
    <n v="2"/>
    <n v="3"/>
    <n v="6"/>
    <x v="0"/>
    <x v="2"/>
    <d v="2023-05-05T00:00:00"/>
  </r>
  <r>
    <s v="TXN_4367044"/>
    <x v="4"/>
    <n v="1"/>
    <n v="4"/>
    <n v="4"/>
    <x v="1"/>
    <x v="2"/>
    <d v="2023-05-02T00:00:00"/>
  </r>
  <r>
    <s v="TXN_8903514"/>
    <x v="3"/>
    <n v="4"/>
    <n v="5"/>
    <n v="20"/>
    <x v="2"/>
    <x v="0"/>
    <d v="2023-09-14T00:00:00"/>
  </r>
  <r>
    <s v="TXN_5762828"/>
    <x v="8"/>
    <n v="2"/>
    <n v="1.5"/>
    <n v="3"/>
    <x v="3"/>
    <x v="2"/>
    <d v="2023-03-23T00:00:00"/>
  </r>
  <r>
    <s v="TXN_2099497"/>
    <x v="7"/>
    <n v="1"/>
    <n v="3"/>
    <n v="3"/>
    <x v="2"/>
    <x v="0"/>
    <d v="2023-02-27T00:00:00"/>
  </r>
  <r>
    <s v="TXN_5679935"/>
    <x v="0"/>
    <n v="2"/>
    <n v="2"/>
    <n v="4"/>
    <x v="0"/>
    <x v="2"/>
    <d v="2023-07-19T00:00:00"/>
  </r>
  <r>
    <s v="TXN_5236861"/>
    <x v="0"/>
    <n v="4"/>
    <n v="2"/>
    <n v="8"/>
    <x v="1"/>
    <x v="0"/>
    <d v="2023-10-27T00:00:00"/>
  </r>
  <r>
    <s v="TXN_9433035"/>
    <x v="6"/>
    <n v="1"/>
    <n v="4"/>
    <n v="4"/>
    <x v="1"/>
    <x v="1"/>
    <d v="2023-03-26T00:00:00"/>
  </r>
  <r>
    <s v="TXN_4239051"/>
    <x v="7"/>
    <n v="2"/>
    <n v="3"/>
    <n v="6"/>
    <x v="1"/>
    <x v="2"/>
    <d v="2023-09-30T00:00:00"/>
  </r>
  <r>
    <s v="TXN_2970600"/>
    <x v="3"/>
    <n v="1"/>
    <n v="5"/>
    <n v="5"/>
    <x v="0"/>
    <x v="1"/>
    <d v="2023-08-18T00:00:00"/>
  </r>
  <r>
    <s v="TXN_6226412"/>
    <x v="7"/>
    <n v="3"/>
    <n v="3"/>
    <n v="9"/>
    <x v="2"/>
    <x v="0"/>
    <d v="2023-03-20T00:00:00"/>
  </r>
  <r>
    <s v="TXN_2634805"/>
    <x v="5"/>
    <n v="4"/>
    <n v="1"/>
    <n v="4"/>
    <x v="3"/>
    <x v="0"/>
    <d v="2023-06-25T00:00:00"/>
  </r>
  <r>
    <s v="TXN_7543525"/>
    <x v="8"/>
    <n v="4"/>
    <n v="1.5"/>
    <n v="6"/>
    <x v="0"/>
    <x v="0"/>
    <m/>
  </r>
  <r>
    <s v="TXN_2571835"/>
    <x v="3"/>
    <n v="3"/>
    <n v="5"/>
    <n v="15"/>
    <x v="2"/>
    <x v="1"/>
    <d v="2023-03-03T00:00:00"/>
  </r>
  <r>
    <s v="TXN_5376589"/>
    <x v="0"/>
    <n v="5"/>
    <n v="2"/>
    <n v="10"/>
    <x v="1"/>
    <x v="0"/>
    <m/>
  </r>
  <r>
    <s v="TXN_3984842"/>
    <x v="8"/>
    <n v="4"/>
    <n v="1.5"/>
    <n v="6"/>
    <x v="0"/>
    <x v="0"/>
    <d v="2023-03-22T00:00:00"/>
  </r>
  <r>
    <s v="TXN_1191068"/>
    <x v="3"/>
    <n v="1"/>
    <n v="5"/>
    <n v="5"/>
    <x v="2"/>
    <x v="2"/>
    <d v="2023-05-19T00:00:00"/>
  </r>
  <r>
    <s v="TXN_9154713"/>
    <x v="0"/>
    <n v="4"/>
    <n v="2"/>
    <n v="8"/>
    <x v="0"/>
    <x v="1"/>
    <d v="2023-03-13T00:00:00"/>
  </r>
  <r>
    <s v="TXN_2897727"/>
    <x v="4"/>
    <n v="5"/>
    <n v="4"/>
    <n v="20"/>
    <x v="0"/>
    <x v="0"/>
    <d v="2023-02-15T00:00:00"/>
  </r>
  <r>
    <s v="TXN_3801179"/>
    <x v="7"/>
    <n v="2"/>
    <n v="3"/>
    <n v="6"/>
    <x v="1"/>
    <x v="1"/>
    <d v="2023-12-07T00:00:00"/>
  </r>
  <r>
    <s v="TXN_7116267"/>
    <x v="4"/>
    <n v="4"/>
    <n v="4"/>
    <n v="16"/>
    <x v="2"/>
    <x v="2"/>
    <d v="2023-07-29T00:00:00"/>
  </r>
  <r>
    <s v="TXN_9878237"/>
    <x v="1"/>
    <n v="1"/>
    <n v="3"/>
    <n v="3"/>
    <x v="0"/>
    <x v="2"/>
    <d v="2023-10-06T00:00:00"/>
  </r>
  <r>
    <s v="TXN_2153838"/>
    <x v="8"/>
    <n v="4"/>
    <n v="1.5"/>
    <n v="6"/>
    <x v="3"/>
    <x v="1"/>
    <d v="2023-12-19T00:00:00"/>
  </r>
  <r>
    <s v="TXN_7835785"/>
    <x v="3"/>
    <n v="1"/>
    <n v="5"/>
    <n v="5"/>
    <x v="1"/>
    <x v="1"/>
    <d v="2023-10-12T00:00:00"/>
  </r>
  <r>
    <s v="TXN_5335079"/>
    <x v="1"/>
    <n v="1"/>
    <n v="3"/>
    <n v="3"/>
    <x v="1"/>
    <x v="1"/>
    <d v="2023-02-20T00:00:00"/>
  </r>
  <r>
    <s v="TXN_7521634"/>
    <x v="5"/>
    <n v="3"/>
    <n v="1"/>
    <n v="3"/>
    <x v="2"/>
    <x v="0"/>
    <d v="2023-01-22T00:00:00"/>
  </r>
  <r>
    <s v="TXN_2174821"/>
    <x v="0"/>
    <n v="1"/>
    <n v="2"/>
    <n v="2"/>
    <x v="2"/>
    <x v="2"/>
    <d v="2023-11-08T00:00:00"/>
  </r>
  <r>
    <s v="TXN_5951573"/>
    <x v="3"/>
    <n v="3"/>
    <n v="5"/>
    <n v="15"/>
    <x v="1"/>
    <x v="2"/>
    <d v="2023-12-22T00:00:00"/>
  </r>
  <r>
    <s v="TXN_4612146"/>
    <x v="1"/>
    <n v="3"/>
    <n v="3"/>
    <n v="9"/>
    <x v="1"/>
    <x v="2"/>
    <d v="2023-12-31T00:00:00"/>
  </r>
  <r>
    <s v="TXN_7954368"/>
    <x v="1"/>
    <n v="3"/>
    <n v="3"/>
    <n v="9"/>
    <x v="0"/>
    <x v="2"/>
    <d v="2023-10-06T00:00:00"/>
  </r>
  <r>
    <s v="TXN_7898391"/>
    <x v="3"/>
    <n v="4"/>
    <n v="5"/>
    <n v="20"/>
    <x v="0"/>
    <x v="2"/>
    <d v="2023-02-26T00:00:00"/>
  </r>
  <r>
    <s v="TXN_5746800"/>
    <x v="0"/>
    <n v="4"/>
    <n v="2"/>
    <n v="8"/>
    <x v="0"/>
    <x v="0"/>
    <d v="2023-07-04T00:00:00"/>
  </r>
  <r>
    <s v="TXN_4630658"/>
    <x v="4"/>
    <n v="1"/>
    <n v="4"/>
    <n v="4"/>
    <x v="1"/>
    <x v="0"/>
    <d v="2023-07-10T00:00:00"/>
  </r>
  <r>
    <s v="TXN_6096492"/>
    <x v="6"/>
    <n v="5"/>
    <n v="4"/>
    <n v="20"/>
    <x v="2"/>
    <x v="0"/>
    <d v="2023-12-23T00:00:00"/>
  </r>
  <r>
    <s v="TXN_8918905"/>
    <x v="2"/>
    <n v="5"/>
    <n v="1"/>
    <n v="5"/>
    <x v="3"/>
    <x v="1"/>
    <d v="2023-06-05T00:00:00"/>
  </r>
  <r>
    <s v="TXN_5906365"/>
    <x v="2"/>
    <n v="1"/>
    <n v="1"/>
    <n v="1"/>
    <x v="2"/>
    <x v="2"/>
    <d v="2023-03-13T00:00:00"/>
  </r>
  <r>
    <s v="TXN_3956062"/>
    <x v="0"/>
    <n v="3"/>
    <n v="2"/>
    <n v="6"/>
    <x v="2"/>
    <x v="0"/>
    <d v="2023-06-04T00:00:00"/>
  </r>
  <r>
    <s v="TXN_6610487"/>
    <x v="0"/>
    <n v="5"/>
    <n v="2"/>
    <n v="10"/>
    <x v="3"/>
    <x v="0"/>
    <d v="2023-09-18T00:00:00"/>
  </r>
  <r>
    <s v="TXN_1381818"/>
    <x v="7"/>
    <n v="4"/>
    <n v="3"/>
    <n v="12"/>
    <x v="0"/>
    <x v="2"/>
    <m/>
  </r>
  <r>
    <s v="TXN_7821658"/>
    <x v="0"/>
    <n v="5"/>
    <n v="2"/>
    <n v="10"/>
    <x v="2"/>
    <x v="1"/>
    <d v="2023-09-03T00:00:00"/>
  </r>
  <r>
    <s v="TXN_6396940"/>
    <x v="2"/>
    <n v="2"/>
    <n v="1"/>
    <n v="2"/>
    <x v="0"/>
    <x v="0"/>
    <d v="2023-02-26T00:00:00"/>
  </r>
  <r>
    <s v="TXN_2556368"/>
    <x v="4"/>
    <n v="1"/>
    <n v="4"/>
    <n v="4"/>
    <x v="3"/>
    <x v="2"/>
    <d v="2023-10-26T00:00:00"/>
  </r>
  <r>
    <s v="TXN_7655838"/>
    <x v="7"/>
    <n v="3"/>
    <n v="3"/>
    <n v="9"/>
    <x v="3"/>
    <x v="2"/>
    <d v="2023-01-22T00:00:00"/>
  </r>
  <r>
    <s v="TXN_7241859"/>
    <x v="2"/>
    <n v="1"/>
    <n v="1"/>
    <n v="1"/>
    <x v="2"/>
    <x v="2"/>
    <m/>
  </r>
  <r>
    <s v="TXN_2807590"/>
    <x v="4"/>
    <n v="4"/>
    <n v="4"/>
    <n v="16"/>
    <x v="1"/>
    <x v="0"/>
    <d v="2023-09-05T00:00:00"/>
  </r>
  <r>
    <s v="TXN_7252860"/>
    <x v="2"/>
    <n v="3"/>
    <n v="1"/>
    <n v="3"/>
    <x v="3"/>
    <x v="0"/>
    <d v="2023-06-18T00:00:00"/>
  </r>
  <r>
    <s v="TXN_5381129"/>
    <x v="2"/>
    <n v="5"/>
    <n v="1"/>
    <n v="5"/>
    <x v="2"/>
    <x v="2"/>
    <d v="2023-04-20T00:00:00"/>
  </r>
  <r>
    <s v="TXN_1474329"/>
    <x v="4"/>
    <n v="2"/>
    <n v="4"/>
    <n v="8"/>
    <x v="3"/>
    <x v="0"/>
    <d v="2023-03-02T00:00:00"/>
  </r>
  <r>
    <s v="TXN_5935394"/>
    <x v="0"/>
    <n v="4"/>
    <n v="2"/>
    <n v="8"/>
    <x v="3"/>
    <x v="2"/>
    <d v="2023-04-16T00:00:00"/>
  </r>
  <r>
    <s v="TXN_1488458"/>
    <x v="0"/>
    <n v="4"/>
    <n v="2"/>
    <n v="8"/>
    <x v="2"/>
    <x v="2"/>
    <d v="2023-08-21T00:00:00"/>
  </r>
  <r>
    <s v="TXN_7964661"/>
    <x v="1"/>
    <n v="3"/>
    <n v="3"/>
    <n v="9"/>
    <x v="1"/>
    <x v="2"/>
    <d v="2023-04-01T00:00:00"/>
  </r>
  <r>
    <s v="TXN_2798736"/>
    <x v="6"/>
    <n v="2"/>
    <n v="4"/>
    <n v="8"/>
    <x v="3"/>
    <x v="1"/>
    <d v="2023-01-15T00:00:00"/>
  </r>
  <r>
    <s v="TXN_5007051"/>
    <x v="3"/>
    <n v="2"/>
    <n v="5"/>
    <n v="10"/>
    <x v="3"/>
    <x v="2"/>
    <d v="2023-12-26T00:00:00"/>
  </r>
  <r>
    <s v="TXN_2325141"/>
    <x v="8"/>
    <n v="3"/>
    <n v="1.5"/>
    <n v="4.5"/>
    <x v="3"/>
    <x v="2"/>
    <d v="2023-08-26T00:00:00"/>
  </r>
  <r>
    <s v="TXN_1489194"/>
    <x v="0"/>
    <n v="3"/>
    <n v="2"/>
    <n v="6"/>
    <x v="3"/>
    <x v="0"/>
    <d v="2023-07-18T00:00:00"/>
  </r>
  <r>
    <s v="TXN_9531201"/>
    <x v="6"/>
    <n v="2"/>
    <n v="4"/>
    <n v="8"/>
    <x v="2"/>
    <x v="2"/>
    <d v="2023-05-28T00:00:00"/>
  </r>
  <r>
    <s v="TXN_7627772"/>
    <x v="6"/>
    <n v="4"/>
    <n v="4"/>
    <n v="16"/>
    <x v="0"/>
    <x v="0"/>
    <d v="2023-10-22T00:00:00"/>
  </r>
  <r>
    <s v="TXN_4349970"/>
    <x v="2"/>
    <n v="5"/>
    <n v="1"/>
    <n v="5"/>
    <x v="2"/>
    <x v="1"/>
    <d v="2023-05-25T00:00:00"/>
  </r>
  <r>
    <s v="TXN_3936883"/>
    <x v="0"/>
    <n v="2"/>
    <n v="2"/>
    <n v="4"/>
    <x v="3"/>
    <x v="1"/>
    <d v="2023-09-08T00:00:00"/>
  </r>
  <r>
    <s v="TXN_1817275"/>
    <x v="3"/>
    <n v="2"/>
    <n v="5"/>
    <n v="10"/>
    <x v="1"/>
    <x v="1"/>
    <d v="2023-09-02T00:00:00"/>
  </r>
  <r>
    <s v="TXN_8018272"/>
    <x v="4"/>
    <n v="4"/>
    <n v="4"/>
    <n v="16"/>
    <x v="2"/>
    <x v="2"/>
    <d v="2023-03-01T00:00:00"/>
  </r>
  <r>
    <s v="TXN_3617989"/>
    <x v="6"/>
    <n v="3"/>
    <n v="4"/>
    <n v="12"/>
    <x v="0"/>
    <x v="0"/>
    <d v="2023-09-29T00:00:00"/>
  </r>
  <r>
    <s v="TXN_1566564"/>
    <x v="2"/>
    <n v="3"/>
    <n v="1"/>
    <n v="3"/>
    <x v="0"/>
    <x v="0"/>
    <d v="2023-09-08T00:00:00"/>
  </r>
  <r>
    <s v="TXN_5170047"/>
    <x v="3"/>
    <n v="4"/>
    <n v="5"/>
    <n v="20"/>
    <x v="1"/>
    <x v="2"/>
    <d v="2023-12-15T00:00:00"/>
  </r>
  <r>
    <s v="TXN_6513163"/>
    <x v="1"/>
    <n v="2"/>
    <n v="3"/>
    <n v="6"/>
    <x v="3"/>
    <x v="0"/>
    <d v="2023-04-01T00:00:00"/>
  </r>
  <r>
    <s v="TXN_7014478"/>
    <x v="4"/>
    <n v="5"/>
    <n v="4"/>
    <n v="20"/>
    <x v="1"/>
    <x v="2"/>
    <d v="2023-04-26T00:00:00"/>
  </r>
  <r>
    <s v="TXN_9929732"/>
    <x v="6"/>
    <n v="4"/>
    <n v="4"/>
    <n v="16"/>
    <x v="0"/>
    <x v="2"/>
    <d v="2023-10-04T00:00:00"/>
  </r>
  <r>
    <s v="TXN_2346362"/>
    <x v="7"/>
    <n v="4"/>
    <n v="3"/>
    <n v="12"/>
    <x v="2"/>
    <x v="1"/>
    <d v="2023-12-30T00:00:00"/>
  </r>
  <r>
    <s v="TXN_6748232"/>
    <x v="5"/>
    <n v="2"/>
    <n v="4"/>
    <n v="8"/>
    <x v="0"/>
    <x v="1"/>
    <m/>
  </r>
  <r>
    <s v="TXN_9039882"/>
    <x v="4"/>
    <n v="4"/>
    <n v="4"/>
    <n v="16"/>
    <x v="2"/>
    <x v="1"/>
    <d v="2023-08-31T00:00:00"/>
  </r>
  <r>
    <s v="TXN_7440057"/>
    <x v="7"/>
    <n v="1"/>
    <n v="3"/>
    <n v="3"/>
    <x v="0"/>
    <x v="2"/>
    <d v="2023-07-05T00:00:00"/>
  </r>
  <r>
    <s v="TXN_9894831"/>
    <x v="1"/>
    <n v="5"/>
    <n v="3"/>
    <n v="15"/>
    <x v="2"/>
    <x v="2"/>
    <d v="2023-07-05T00:00:00"/>
  </r>
  <r>
    <s v="TXN_2911863"/>
    <x v="6"/>
    <n v="2"/>
    <n v="4"/>
    <n v="8"/>
    <x v="0"/>
    <x v="0"/>
    <d v="2023-07-09T00:00:00"/>
  </r>
  <r>
    <s v="TXN_1991987"/>
    <x v="1"/>
    <n v="3"/>
    <n v="3"/>
    <n v="9"/>
    <x v="0"/>
    <x v="1"/>
    <d v="2023-10-22T00:00:00"/>
  </r>
  <r>
    <s v="TXN_7232524"/>
    <x v="2"/>
    <n v="3"/>
    <n v="1"/>
    <n v="3"/>
    <x v="1"/>
    <x v="1"/>
    <d v="2023-12-23T00:00:00"/>
  </r>
  <r>
    <s v="TXN_5315665"/>
    <x v="8"/>
    <n v="3"/>
    <n v="1.5"/>
    <n v="4.5"/>
    <x v="0"/>
    <x v="2"/>
    <m/>
  </r>
  <r>
    <s v="TXN_7476348"/>
    <x v="0"/>
    <n v="2"/>
    <n v="2"/>
    <n v="4"/>
    <x v="2"/>
    <x v="1"/>
    <d v="2023-10-09T00:00:00"/>
  </r>
  <r>
    <s v="TXN_4165923"/>
    <x v="6"/>
    <n v="3"/>
    <n v="4"/>
    <n v="12"/>
    <x v="2"/>
    <x v="0"/>
    <d v="2023-03-14T00:00:00"/>
  </r>
  <r>
    <s v="TXN_1467367"/>
    <x v="6"/>
    <n v="3"/>
    <n v="4"/>
    <n v="12"/>
    <x v="2"/>
    <x v="2"/>
    <d v="2023-02-18T00:00:00"/>
  </r>
  <r>
    <s v="TXN_2018943"/>
    <x v="4"/>
    <n v="5"/>
    <n v="4"/>
    <n v="20"/>
    <x v="2"/>
    <x v="2"/>
    <d v="2023-05-27T00:00:00"/>
  </r>
  <r>
    <s v="TXN_4234636"/>
    <x v="4"/>
    <n v="1"/>
    <n v="4"/>
    <n v="4"/>
    <x v="0"/>
    <x v="1"/>
    <d v="2023-01-30T00:00:00"/>
  </r>
  <r>
    <s v="TXN_4750383"/>
    <x v="0"/>
    <n v="2"/>
    <n v="2"/>
    <n v="4"/>
    <x v="1"/>
    <x v="2"/>
    <d v="2023-06-30T00:00:00"/>
  </r>
  <r>
    <s v="TXN_5100579"/>
    <x v="5"/>
    <n v="2"/>
    <n v="1"/>
    <n v="2"/>
    <x v="1"/>
    <x v="0"/>
    <d v="2023-10-08T00:00:00"/>
  </r>
  <r>
    <s v="TXN_1701465"/>
    <x v="1"/>
    <n v="1"/>
    <n v="3"/>
    <n v="3"/>
    <x v="1"/>
    <x v="2"/>
    <d v="2023-06-15T00:00:00"/>
  </r>
  <r>
    <s v="TXN_8941409"/>
    <x v="1"/>
    <n v="3"/>
    <n v="3"/>
    <n v="9"/>
    <x v="2"/>
    <x v="2"/>
    <d v="2023-11-12T00:00:00"/>
  </r>
  <r>
    <s v="TXN_9598764"/>
    <x v="7"/>
    <n v="2"/>
    <n v="3"/>
    <n v="6"/>
    <x v="0"/>
    <x v="1"/>
    <d v="2023-09-06T00:00:00"/>
  </r>
  <r>
    <s v="TXN_2834323"/>
    <x v="5"/>
    <n v="1"/>
    <n v="1.5"/>
    <n v="1.5"/>
    <x v="3"/>
    <x v="0"/>
    <d v="2023-05-13T00:00:00"/>
  </r>
  <r>
    <s v="TXN_2480488"/>
    <x v="7"/>
    <n v="2"/>
    <n v="3"/>
    <n v="6"/>
    <x v="1"/>
    <x v="0"/>
    <d v="2023-03-01T00:00:00"/>
  </r>
  <r>
    <s v="TXN_6158834"/>
    <x v="0"/>
    <n v="2"/>
    <n v="2"/>
    <n v="4"/>
    <x v="0"/>
    <x v="2"/>
    <d v="2023-09-23T00:00:00"/>
  </r>
  <r>
    <s v="TXN_2345326"/>
    <x v="2"/>
    <n v="3"/>
    <n v="1"/>
    <n v="3"/>
    <x v="3"/>
    <x v="0"/>
    <d v="2023-01-29T00:00:00"/>
  </r>
  <r>
    <s v="TXN_8872103"/>
    <x v="4"/>
    <n v="3"/>
    <n v="4"/>
    <n v="12"/>
    <x v="3"/>
    <x v="1"/>
    <d v="2023-07-02T00:00:00"/>
  </r>
  <r>
    <s v="TXN_9773646"/>
    <x v="1"/>
    <n v="4"/>
    <n v="3"/>
    <n v="12"/>
    <x v="0"/>
    <x v="0"/>
    <d v="2023-04-01T00:00:00"/>
  </r>
  <r>
    <s v="TXN_1442096"/>
    <x v="2"/>
    <n v="3"/>
    <n v="1"/>
    <n v="3"/>
    <x v="0"/>
    <x v="1"/>
    <d v="2023-06-27T00:00:00"/>
  </r>
  <r>
    <s v="TXN_2337888"/>
    <x v="0"/>
    <n v="1"/>
    <n v="2"/>
    <n v="2"/>
    <x v="0"/>
    <x v="1"/>
    <d v="2023-02-10T00:00:00"/>
  </r>
  <r>
    <s v="TXN_8297751"/>
    <x v="3"/>
    <n v="3"/>
    <n v="5"/>
    <n v="15"/>
    <x v="1"/>
    <x v="0"/>
    <d v="2023-04-08T00:00:00"/>
  </r>
  <r>
    <s v="TXN_9675838"/>
    <x v="1"/>
    <n v="2"/>
    <n v="3"/>
    <n v="6"/>
    <x v="3"/>
    <x v="2"/>
    <d v="2023-02-06T00:00:00"/>
  </r>
  <r>
    <s v="TXN_9241048"/>
    <x v="1"/>
    <n v="4"/>
    <n v="3"/>
    <n v="12"/>
    <x v="0"/>
    <x v="1"/>
    <d v="2023-08-27T00:00:00"/>
  </r>
  <r>
    <s v="TXN_1978687"/>
    <x v="7"/>
    <n v="2"/>
    <n v="3"/>
    <n v="6"/>
    <x v="2"/>
    <x v="2"/>
    <d v="2023-12-13T00:00:00"/>
  </r>
  <r>
    <s v="TXN_7548260"/>
    <x v="7"/>
    <n v="2"/>
    <n v="3"/>
    <n v="6"/>
    <x v="1"/>
    <x v="0"/>
    <d v="2023-02-27T00:00:00"/>
  </r>
  <r>
    <s v="TXN_7047040"/>
    <x v="3"/>
    <n v="2"/>
    <n v="5"/>
    <n v="10"/>
    <x v="2"/>
    <x v="2"/>
    <d v="2023-02-16T00:00:00"/>
  </r>
  <r>
    <s v="TXN_1234907"/>
    <x v="7"/>
    <n v="1"/>
    <n v="3"/>
    <n v="3"/>
    <x v="0"/>
    <x v="1"/>
    <d v="2023-05-02T00:00:00"/>
  </r>
  <r>
    <s v="TXN_8821839"/>
    <x v="6"/>
    <n v="5"/>
    <n v="4"/>
    <n v="20"/>
    <x v="2"/>
    <x v="0"/>
    <d v="2023-11-11T00:00:00"/>
  </r>
  <r>
    <s v="TXN_7543765"/>
    <x v="1"/>
    <n v="1"/>
    <n v="3"/>
    <n v="3"/>
    <x v="2"/>
    <x v="2"/>
    <d v="2023-10-26T00:00:00"/>
  </r>
  <r>
    <s v="TXN_7317475"/>
    <x v="3"/>
    <n v="4"/>
    <n v="5"/>
    <n v="20"/>
    <x v="1"/>
    <x v="0"/>
    <d v="2023-06-21T00:00:00"/>
  </r>
  <r>
    <s v="TXN_9786525"/>
    <x v="1"/>
    <n v="5"/>
    <n v="3"/>
    <n v="15"/>
    <x v="2"/>
    <x v="0"/>
    <d v="2023-02-19T00:00:00"/>
  </r>
  <r>
    <s v="TXN_9874256"/>
    <x v="7"/>
    <n v="3"/>
    <n v="3"/>
    <n v="9"/>
    <x v="2"/>
    <x v="2"/>
    <d v="2023-02-17T00:00:00"/>
  </r>
  <r>
    <s v="TXN_3120637"/>
    <x v="6"/>
    <n v="3"/>
    <n v="4"/>
    <n v="12"/>
    <x v="2"/>
    <x v="0"/>
    <d v="2023-08-11T00:00:00"/>
  </r>
  <r>
    <s v="TXN_6754546"/>
    <x v="1"/>
    <n v="3"/>
    <n v="3"/>
    <n v="9"/>
    <x v="2"/>
    <x v="2"/>
    <d v="2023-02-19T00:00:00"/>
  </r>
  <r>
    <s v="TXN_1317114"/>
    <x v="2"/>
    <n v="2"/>
    <n v="1"/>
    <n v="2"/>
    <x v="3"/>
    <x v="0"/>
    <d v="2023-11-06T00:00:00"/>
  </r>
  <r>
    <s v="TXN_3897788"/>
    <x v="7"/>
    <n v="5"/>
    <n v="3"/>
    <n v="15"/>
    <x v="3"/>
    <x v="1"/>
    <d v="2023-10-26T00:00:00"/>
  </r>
  <r>
    <s v="TXN_8046087"/>
    <x v="1"/>
    <n v="2"/>
    <n v="3"/>
    <n v="6"/>
    <x v="2"/>
    <x v="0"/>
    <d v="2023-04-15T00:00:00"/>
  </r>
  <r>
    <s v="TXN_6655017"/>
    <x v="4"/>
    <n v="4"/>
    <n v="4"/>
    <n v="16"/>
    <x v="1"/>
    <x v="0"/>
    <d v="2023-12-04T00:00:00"/>
  </r>
  <r>
    <s v="TXN_6610162"/>
    <x v="1"/>
    <n v="4"/>
    <n v="3"/>
    <n v="12"/>
    <x v="3"/>
    <x v="2"/>
    <d v="2023-03-18T00:00:00"/>
  </r>
  <r>
    <s v="TXN_7478306"/>
    <x v="8"/>
    <n v="2"/>
    <n v="1.5"/>
    <n v="3"/>
    <x v="3"/>
    <x v="1"/>
    <d v="2023-06-14T00:00:00"/>
  </r>
  <r>
    <s v="TXN_3163567"/>
    <x v="3"/>
    <n v="2"/>
    <n v="5"/>
    <n v="10"/>
    <x v="3"/>
    <x v="0"/>
    <d v="2023-06-01T00:00:00"/>
  </r>
  <r>
    <s v="TXN_6420900"/>
    <x v="8"/>
    <n v="3"/>
    <n v="1.5"/>
    <n v="4.5"/>
    <x v="2"/>
    <x v="2"/>
    <d v="2023-09-18T00:00:00"/>
  </r>
  <r>
    <s v="TXN_2526267"/>
    <x v="6"/>
    <n v="5"/>
    <n v="4"/>
    <n v="20"/>
    <x v="1"/>
    <x v="1"/>
    <d v="2023-04-06T00:00:00"/>
  </r>
  <r>
    <s v="TXN_3954378"/>
    <x v="8"/>
    <n v="4"/>
    <n v="1.5"/>
    <n v="6"/>
    <x v="1"/>
    <x v="2"/>
    <d v="2023-08-21T00:00:00"/>
  </r>
  <r>
    <s v="TXN_5138053"/>
    <x v="6"/>
    <n v="5"/>
    <n v="4"/>
    <n v="20"/>
    <x v="2"/>
    <x v="0"/>
    <d v="2023-02-16T00:00:00"/>
  </r>
  <r>
    <s v="TXN_9890279"/>
    <x v="4"/>
    <n v="4"/>
    <n v="4"/>
    <n v="16"/>
    <x v="2"/>
    <x v="1"/>
    <d v="2023-09-06T00:00:00"/>
  </r>
  <r>
    <s v="TXN_3456057"/>
    <x v="6"/>
    <n v="1"/>
    <n v="4"/>
    <n v="4"/>
    <x v="2"/>
    <x v="0"/>
    <m/>
  </r>
  <r>
    <s v="TXN_9626920"/>
    <x v="5"/>
    <n v="2"/>
    <n v="1.5"/>
    <n v="3"/>
    <x v="2"/>
    <x v="1"/>
    <d v="2023-12-16T00:00:00"/>
  </r>
  <r>
    <s v="TXN_7213830"/>
    <x v="5"/>
    <n v="5"/>
    <n v="3"/>
    <n v="15"/>
    <x v="0"/>
    <x v="2"/>
    <d v="2023-08-04T00:00:00"/>
  </r>
  <r>
    <s v="TXN_4224350"/>
    <x v="8"/>
    <n v="2"/>
    <n v="1.5"/>
    <n v="3"/>
    <x v="2"/>
    <x v="1"/>
    <d v="2023-07-09T00:00:00"/>
  </r>
  <r>
    <s v="TXN_7763212"/>
    <x v="6"/>
    <n v="1"/>
    <n v="4"/>
    <n v="4"/>
    <x v="0"/>
    <x v="2"/>
    <d v="2023-01-10T00:00:00"/>
  </r>
  <r>
    <s v="TXN_6889357"/>
    <x v="3"/>
    <n v="1"/>
    <n v="5"/>
    <n v="5"/>
    <x v="1"/>
    <x v="0"/>
    <d v="2023-03-08T00:00:00"/>
  </r>
  <r>
    <s v="TXN_8565218"/>
    <x v="1"/>
    <n v="1"/>
    <n v="3"/>
    <n v="3"/>
    <x v="3"/>
    <x v="2"/>
    <d v="2023-05-03T00:00:00"/>
  </r>
  <r>
    <s v="TXN_8235675"/>
    <x v="8"/>
    <n v="1"/>
    <n v="1.5"/>
    <n v="1.5"/>
    <x v="0"/>
    <x v="2"/>
    <d v="2023-08-08T00:00:00"/>
  </r>
  <r>
    <s v="TXN_6323915"/>
    <x v="8"/>
    <n v="3"/>
    <n v="1.5"/>
    <n v="4.5"/>
    <x v="0"/>
    <x v="1"/>
    <d v="2023-02-09T00:00:00"/>
  </r>
  <r>
    <s v="TXN_4704321"/>
    <x v="1"/>
    <n v="3"/>
    <n v="3"/>
    <n v="9"/>
    <x v="1"/>
    <x v="2"/>
    <m/>
  </r>
  <r>
    <s v="TXN_3232227"/>
    <x v="2"/>
    <n v="4"/>
    <n v="1"/>
    <n v="4"/>
    <x v="2"/>
    <x v="0"/>
    <d v="2023-03-30T00:00:00"/>
  </r>
  <r>
    <s v="TXN_2931403"/>
    <x v="7"/>
    <n v="2"/>
    <n v="3"/>
    <n v="6"/>
    <x v="0"/>
    <x v="1"/>
    <d v="2023-05-29T00:00:00"/>
  </r>
  <r>
    <s v="TXN_8036247"/>
    <x v="0"/>
    <n v="1"/>
    <n v="2"/>
    <n v="2"/>
    <x v="0"/>
    <x v="0"/>
    <d v="2023-09-29T00:00:00"/>
  </r>
  <r>
    <s v="TXN_4143264"/>
    <x v="3"/>
    <n v="1"/>
    <n v="5"/>
    <n v="5"/>
    <x v="0"/>
    <x v="0"/>
    <d v="2023-08-17T00:00:00"/>
  </r>
  <r>
    <s v="TXN_3709117"/>
    <x v="4"/>
    <n v="5"/>
    <n v="4"/>
    <n v="20"/>
    <x v="1"/>
    <x v="2"/>
    <d v="2023-02-04T00:00:00"/>
  </r>
  <r>
    <s v="TXN_5124519"/>
    <x v="4"/>
    <n v="3"/>
    <n v="4"/>
    <n v="12"/>
    <x v="0"/>
    <x v="1"/>
    <d v="2023-09-07T00:00:00"/>
  </r>
  <r>
    <s v="TXN_1529845"/>
    <x v="7"/>
    <n v="3"/>
    <n v="3"/>
    <n v="9"/>
    <x v="0"/>
    <x v="1"/>
    <d v="2023-01-25T00:00:00"/>
  </r>
  <r>
    <s v="TXN_4615245"/>
    <x v="6"/>
    <n v="4"/>
    <n v="4"/>
    <n v="16"/>
    <x v="2"/>
    <x v="2"/>
    <d v="2023-04-26T00:00:00"/>
  </r>
  <r>
    <s v="TXN_1464694"/>
    <x v="6"/>
    <n v="1"/>
    <n v="4"/>
    <n v="4"/>
    <x v="2"/>
    <x v="1"/>
    <d v="2023-07-23T00:00:00"/>
  </r>
  <r>
    <s v="TXN_2674372"/>
    <x v="2"/>
    <n v="4"/>
    <n v="1"/>
    <n v="4"/>
    <x v="0"/>
    <x v="0"/>
    <d v="2023-11-14T00:00:00"/>
  </r>
  <r>
    <s v="TXN_7215900"/>
    <x v="0"/>
    <n v="3"/>
    <n v="2"/>
    <n v="6"/>
    <x v="1"/>
    <x v="0"/>
    <d v="2023-08-26T00:00:00"/>
  </r>
  <r>
    <s v="TXN_5578380"/>
    <x v="8"/>
    <n v="4"/>
    <n v="1.5"/>
    <n v="6"/>
    <x v="2"/>
    <x v="1"/>
    <m/>
  </r>
  <r>
    <s v="TXN_6622980"/>
    <x v="3"/>
    <n v="4"/>
    <n v="5"/>
    <n v="20"/>
    <x v="3"/>
    <x v="0"/>
    <d v="2023-09-26T00:00:00"/>
  </r>
  <r>
    <s v="TXN_5744026"/>
    <x v="3"/>
    <n v="4"/>
    <n v="5"/>
    <n v="20"/>
    <x v="2"/>
    <x v="2"/>
    <d v="2023-04-03T00:00:00"/>
  </r>
  <r>
    <s v="TXN_1759314"/>
    <x v="3"/>
    <n v="5"/>
    <n v="5"/>
    <n v="25"/>
    <x v="2"/>
    <x v="2"/>
    <d v="2023-08-23T00:00:00"/>
  </r>
  <r>
    <s v="TXN_2050630"/>
    <x v="2"/>
    <n v="3"/>
    <n v="1"/>
    <n v="3"/>
    <x v="2"/>
    <x v="0"/>
    <d v="2023-01-18T00:00:00"/>
  </r>
  <r>
    <s v="TXN_3447575"/>
    <x v="6"/>
    <n v="4"/>
    <n v="4"/>
    <n v="16"/>
    <x v="0"/>
    <x v="0"/>
    <d v="2023-01-17T00:00:00"/>
  </r>
  <r>
    <s v="TXN_1131785"/>
    <x v="6"/>
    <n v="1"/>
    <n v="4"/>
    <n v="4"/>
    <x v="1"/>
    <x v="2"/>
    <d v="2023-12-19T00:00:00"/>
  </r>
  <r>
    <s v="TXN_8572783"/>
    <x v="3"/>
    <n v="3"/>
    <n v="5"/>
    <n v="15"/>
    <x v="2"/>
    <x v="2"/>
    <d v="2023-03-29T00:00:00"/>
  </r>
  <r>
    <s v="TXN_7928378"/>
    <x v="5"/>
    <n v="3"/>
    <n v="4"/>
    <n v="12"/>
    <x v="1"/>
    <x v="2"/>
    <d v="2023-07-04T00:00:00"/>
  </r>
  <r>
    <s v="TXN_4284507"/>
    <x v="4"/>
    <n v="4"/>
    <n v="4"/>
    <n v="16"/>
    <x v="2"/>
    <x v="2"/>
    <d v="2023-07-17T00:00:00"/>
  </r>
  <r>
    <s v="TXN_9819697"/>
    <x v="4"/>
    <n v="3"/>
    <n v="4"/>
    <n v="12"/>
    <x v="3"/>
    <x v="1"/>
    <d v="2023-05-16T00:00:00"/>
  </r>
  <r>
    <s v="TXN_1731476"/>
    <x v="6"/>
    <n v="1"/>
    <n v="4"/>
    <n v="4"/>
    <x v="3"/>
    <x v="0"/>
    <d v="2023-04-19T00:00:00"/>
  </r>
  <r>
    <s v="TXN_4152262"/>
    <x v="5"/>
    <n v="2"/>
    <n v="5"/>
    <n v="10"/>
    <x v="3"/>
    <x v="1"/>
    <d v="2023-06-19T00:00:00"/>
  </r>
  <r>
    <s v="TXN_1721342"/>
    <x v="4"/>
    <n v="5"/>
    <n v="4"/>
    <n v="20"/>
    <x v="3"/>
    <x v="1"/>
    <d v="2023-08-23T00:00:00"/>
  </r>
  <r>
    <s v="TXN_7278328"/>
    <x v="4"/>
    <n v="1"/>
    <n v="4"/>
    <n v="4"/>
    <x v="0"/>
    <x v="2"/>
    <d v="2023-01-29T00:00:00"/>
  </r>
  <r>
    <s v="TXN_6037924"/>
    <x v="0"/>
    <n v="4"/>
    <n v="2"/>
    <n v="8"/>
    <x v="2"/>
    <x v="0"/>
    <d v="2023-11-14T00:00:00"/>
  </r>
  <r>
    <s v="TXN_7046631"/>
    <x v="5"/>
    <n v="4"/>
    <n v="2"/>
    <n v="8"/>
    <x v="3"/>
    <x v="1"/>
    <d v="2023-05-18T00:00:00"/>
  </r>
  <r>
    <s v="TXN_7979028"/>
    <x v="6"/>
    <n v="3"/>
    <n v="4"/>
    <n v="12"/>
    <x v="1"/>
    <x v="0"/>
    <d v="2023-07-12T00:00:00"/>
  </r>
  <r>
    <s v="TXN_2474395"/>
    <x v="4"/>
    <n v="4"/>
    <n v="4"/>
    <n v="16"/>
    <x v="3"/>
    <x v="0"/>
    <d v="2023-12-28T00:00:00"/>
  </r>
  <r>
    <s v="TXN_9168898"/>
    <x v="7"/>
    <n v="2"/>
    <n v="3"/>
    <n v="6"/>
    <x v="1"/>
    <x v="0"/>
    <d v="2023-09-28T00:00:00"/>
  </r>
  <r>
    <s v="TXN_9675940"/>
    <x v="7"/>
    <n v="5"/>
    <n v="3"/>
    <n v="15"/>
    <x v="0"/>
    <x v="1"/>
    <d v="2023-06-02T00:00:00"/>
  </r>
  <r>
    <s v="TXN_3618603"/>
    <x v="3"/>
    <n v="4"/>
    <n v="5"/>
    <n v="20"/>
    <x v="1"/>
    <x v="2"/>
    <d v="2023-03-19T00:00:00"/>
  </r>
  <r>
    <s v="TXN_9653377"/>
    <x v="6"/>
    <n v="2"/>
    <n v="4"/>
    <n v="8"/>
    <x v="2"/>
    <x v="0"/>
    <d v="2023-07-31T00:00:00"/>
  </r>
  <r>
    <s v="TXN_1326993"/>
    <x v="2"/>
    <n v="3"/>
    <n v="1"/>
    <n v="3"/>
    <x v="2"/>
    <x v="1"/>
    <d v="2023-12-30T00:00:00"/>
  </r>
  <r>
    <s v="TXN_7427357"/>
    <x v="1"/>
    <n v="4"/>
    <n v="3"/>
    <n v="12"/>
    <x v="3"/>
    <x v="1"/>
    <d v="2023-10-31T00:00:00"/>
  </r>
  <r>
    <s v="TXN_5806624"/>
    <x v="2"/>
    <n v="5"/>
    <n v="1"/>
    <n v="5"/>
    <x v="0"/>
    <x v="1"/>
    <d v="2023-07-09T00:00:00"/>
  </r>
  <r>
    <s v="TXN_8329144"/>
    <x v="5"/>
    <n v="2"/>
    <n v="4"/>
    <n v="8"/>
    <x v="3"/>
    <x v="1"/>
    <d v="2023-03-04T00:00:00"/>
  </r>
  <r>
    <s v="TXN_6670371"/>
    <x v="8"/>
    <n v="3"/>
    <n v="1.5"/>
    <n v="4.5"/>
    <x v="0"/>
    <x v="0"/>
    <d v="2023-05-01T00:00:00"/>
  </r>
  <r>
    <s v="TXN_8708588"/>
    <x v="0"/>
    <n v="5"/>
    <n v="2"/>
    <n v="10"/>
    <x v="3"/>
    <x v="2"/>
    <d v="2023-06-03T00:00:00"/>
  </r>
  <r>
    <s v="TXN_6755874"/>
    <x v="4"/>
    <n v="3"/>
    <n v="4"/>
    <n v="12"/>
    <x v="2"/>
    <x v="1"/>
    <d v="2023-04-12T00:00:00"/>
  </r>
  <r>
    <s v="TXN_7777864"/>
    <x v="2"/>
    <n v="3"/>
    <n v="1"/>
    <n v="3"/>
    <x v="2"/>
    <x v="1"/>
    <d v="2023-02-06T00:00:00"/>
  </r>
  <r>
    <s v="TXN_1309055"/>
    <x v="5"/>
    <n v="2"/>
    <n v="2"/>
    <n v="4"/>
    <x v="0"/>
    <x v="0"/>
    <d v="2023-11-09T00:00:00"/>
  </r>
  <r>
    <s v="TXN_2250398"/>
    <x v="5"/>
    <n v="3"/>
    <n v="3"/>
    <n v="9"/>
    <x v="3"/>
    <x v="2"/>
    <d v="2023-05-31T00:00:00"/>
  </r>
  <r>
    <s v="TXN_8698717"/>
    <x v="0"/>
    <n v="4"/>
    <n v="2"/>
    <n v="8"/>
    <x v="3"/>
    <x v="2"/>
    <d v="2023-05-11T00:00:00"/>
  </r>
  <r>
    <s v="TXN_2302259"/>
    <x v="7"/>
    <n v="3"/>
    <n v="3"/>
    <n v="9"/>
    <x v="0"/>
    <x v="0"/>
    <d v="2023-09-20T00:00:00"/>
  </r>
  <r>
    <s v="TXN_7004494"/>
    <x v="0"/>
    <n v="4"/>
    <n v="2"/>
    <n v="8"/>
    <x v="2"/>
    <x v="0"/>
    <d v="2023-03-17T00:00:00"/>
  </r>
  <r>
    <s v="TXN_1302920"/>
    <x v="0"/>
    <n v="2"/>
    <n v="2"/>
    <n v="4"/>
    <x v="2"/>
    <x v="2"/>
    <d v="2023-08-16T00:00:00"/>
  </r>
  <r>
    <s v="TXN_8175702"/>
    <x v="8"/>
    <n v="1"/>
    <n v="1.5"/>
    <n v="1.5"/>
    <x v="2"/>
    <x v="0"/>
    <d v="2023-08-27T00:00:00"/>
  </r>
  <r>
    <s v="TXN_4921865"/>
    <x v="8"/>
    <n v="2"/>
    <n v="1.5"/>
    <n v="3"/>
    <x v="3"/>
    <x v="1"/>
    <d v="2023-02-06T00:00:00"/>
  </r>
  <r>
    <s v="TXN_7755372"/>
    <x v="7"/>
    <n v="5"/>
    <n v="3"/>
    <n v="15"/>
    <x v="2"/>
    <x v="0"/>
    <d v="2023-01-10T00:00:00"/>
  </r>
  <r>
    <s v="TXN_7218134"/>
    <x v="1"/>
    <n v="5"/>
    <n v="3"/>
    <n v="15"/>
    <x v="1"/>
    <x v="2"/>
    <d v="2023-01-14T00:00:00"/>
  </r>
  <r>
    <s v="TXN_2897794"/>
    <x v="2"/>
    <n v="4"/>
    <n v="1"/>
    <n v="4"/>
    <x v="0"/>
    <x v="0"/>
    <d v="2023-01-29T00:00:00"/>
  </r>
  <r>
    <s v="TXN_5743616"/>
    <x v="1"/>
    <n v="4"/>
    <n v="3"/>
    <n v="12"/>
    <x v="2"/>
    <x v="2"/>
    <d v="2023-12-14T00:00:00"/>
  </r>
  <r>
    <s v="TXN_4623642"/>
    <x v="6"/>
    <n v="1"/>
    <n v="4"/>
    <n v="4"/>
    <x v="1"/>
    <x v="0"/>
    <d v="2023-09-12T00:00:00"/>
  </r>
  <r>
    <s v="TXN_6047710"/>
    <x v="4"/>
    <n v="3"/>
    <n v="4"/>
    <n v="12"/>
    <x v="2"/>
    <x v="0"/>
    <d v="2023-06-16T00:00:00"/>
  </r>
  <r>
    <s v="TXN_2813872"/>
    <x v="3"/>
    <n v="1"/>
    <n v="5"/>
    <n v="5"/>
    <x v="0"/>
    <x v="0"/>
    <d v="2023-05-01T00:00:00"/>
  </r>
  <r>
    <s v="TXN_1891978"/>
    <x v="3"/>
    <n v="4"/>
    <n v="5"/>
    <n v="20"/>
    <x v="3"/>
    <x v="1"/>
    <d v="2023-09-13T00:00:00"/>
  </r>
  <r>
    <s v="TXN_6626928"/>
    <x v="6"/>
    <n v="2"/>
    <n v="4"/>
    <n v="8"/>
    <x v="2"/>
    <x v="1"/>
    <d v="2023-05-10T00:00:00"/>
  </r>
  <r>
    <s v="TXN_6320502"/>
    <x v="7"/>
    <n v="4"/>
    <n v="3"/>
    <n v="12"/>
    <x v="0"/>
    <x v="2"/>
    <d v="2023-08-16T00:00:00"/>
  </r>
  <r>
    <s v="TXN_1797690"/>
    <x v="1"/>
    <n v="5"/>
    <n v="3"/>
    <n v="15"/>
    <x v="0"/>
    <x v="0"/>
    <d v="2023-08-10T00:00:00"/>
  </r>
  <r>
    <s v="TXN_4587806"/>
    <x v="2"/>
    <n v="4"/>
    <n v="1"/>
    <n v="4"/>
    <x v="2"/>
    <x v="2"/>
    <d v="2023-07-27T00:00:00"/>
  </r>
  <r>
    <s v="TXN_7735127"/>
    <x v="4"/>
    <n v="1"/>
    <n v="4"/>
    <n v="4"/>
    <x v="2"/>
    <x v="0"/>
    <d v="2023-02-22T00:00:00"/>
  </r>
  <r>
    <s v="TXN_9831537"/>
    <x v="1"/>
    <n v="4"/>
    <n v="3"/>
    <n v="12"/>
    <x v="0"/>
    <x v="2"/>
    <d v="2023-08-07T00:00:00"/>
  </r>
  <r>
    <s v="TXN_7866805"/>
    <x v="6"/>
    <n v="3"/>
    <n v="4"/>
    <n v="12"/>
    <x v="3"/>
    <x v="1"/>
    <d v="2023-03-14T00:00:00"/>
  </r>
  <r>
    <s v="TXN_1760092"/>
    <x v="0"/>
    <n v="1"/>
    <n v="2"/>
    <n v="2"/>
    <x v="0"/>
    <x v="0"/>
    <d v="2023-04-15T00:00:00"/>
  </r>
  <r>
    <s v="TXN_1887555"/>
    <x v="7"/>
    <n v="2"/>
    <n v="3"/>
    <n v="6"/>
    <x v="1"/>
    <x v="1"/>
    <d v="2023-01-08T00:00:00"/>
  </r>
  <r>
    <s v="TXN_9872258"/>
    <x v="7"/>
    <n v="4"/>
    <n v="3"/>
    <n v="12"/>
    <x v="1"/>
    <x v="0"/>
    <d v="2023-07-24T00:00:00"/>
  </r>
  <r>
    <s v="TXN_2437725"/>
    <x v="6"/>
    <n v="4"/>
    <n v="4"/>
    <n v="16"/>
    <x v="0"/>
    <x v="0"/>
    <d v="2023-01-27T00:00:00"/>
  </r>
  <r>
    <s v="TXN_3240077"/>
    <x v="5"/>
    <n v="4"/>
    <n v="4"/>
    <n v="16"/>
    <x v="1"/>
    <x v="2"/>
    <d v="2023-12-14T00:00:00"/>
  </r>
  <r>
    <s v="TXN_6581580"/>
    <x v="0"/>
    <n v="3"/>
    <n v="2"/>
    <n v="6"/>
    <x v="2"/>
    <x v="1"/>
    <d v="2023-06-18T00:00:00"/>
  </r>
  <r>
    <s v="TXN_6440109"/>
    <x v="1"/>
    <n v="2"/>
    <n v="3"/>
    <n v="6"/>
    <x v="2"/>
    <x v="1"/>
    <d v="2023-09-09T00:00:00"/>
  </r>
  <r>
    <s v="TXN_8790282"/>
    <x v="0"/>
    <n v="3"/>
    <n v="2"/>
    <n v="6"/>
    <x v="2"/>
    <x v="2"/>
    <d v="2023-10-18T00:00:00"/>
  </r>
  <r>
    <s v="TXN_7581760"/>
    <x v="0"/>
    <n v="3"/>
    <n v="2"/>
    <n v="6"/>
    <x v="2"/>
    <x v="2"/>
    <d v="2023-08-13T00:00:00"/>
  </r>
  <r>
    <s v="TXN_2903973"/>
    <x v="1"/>
    <n v="2"/>
    <n v="3"/>
    <n v="6"/>
    <x v="0"/>
    <x v="0"/>
    <d v="2023-12-26T00:00:00"/>
  </r>
  <r>
    <s v="TXN_9107842"/>
    <x v="8"/>
    <n v="2"/>
    <n v="1.5"/>
    <n v="3"/>
    <x v="2"/>
    <x v="0"/>
    <d v="2023-12-04T00:00:00"/>
  </r>
  <r>
    <s v="TXN_8306630"/>
    <x v="6"/>
    <n v="2"/>
    <n v="4"/>
    <n v="8"/>
    <x v="0"/>
    <x v="1"/>
    <d v="2023-04-26T00:00:00"/>
  </r>
  <r>
    <s v="TXN_2194660"/>
    <x v="5"/>
    <n v="1"/>
    <n v="5"/>
    <n v="5"/>
    <x v="2"/>
    <x v="2"/>
    <m/>
  </r>
  <r>
    <s v="TXN_4612207"/>
    <x v="7"/>
    <n v="5"/>
    <n v="3"/>
    <n v="15"/>
    <x v="3"/>
    <x v="2"/>
    <d v="2023-01-21T00:00:00"/>
  </r>
  <r>
    <s v="TXN_1811216"/>
    <x v="6"/>
    <n v="1"/>
    <n v="4"/>
    <n v="4"/>
    <x v="3"/>
    <x v="0"/>
    <d v="2023-01-18T00:00:00"/>
  </r>
  <r>
    <s v="TXN_3739424"/>
    <x v="5"/>
    <n v="1"/>
    <n v="3"/>
    <n v="3"/>
    <x v="0"/>
    <x v="2"/>
    <d v="2023-06-03T00:00:00"/>
  </r>
  <r>
    <s v="TXN_9487384"/>
    <x v="1"/>
    <n v="1"/>
    <n v="3"/>
    <n v="3"/>
    <x v="0"/>
    <x v="2"/>
    <d v="2023-11-27T00:00:00"/>
  </r>
  <r>
    <s v="TXN_2205690"/>
    <x v="2"/>
    <n v="5"/>
    <n v="1"/>
    <n v="5"/>
    <x v="2"/>
    <x v="1"/>
    <d v="2023-03-02T00:00:00"/>
  </r>
  <r>
    <s v="TXN_9219961"/>
    <x v="0"/>
    <n v="5"/>
    <n v="2"/>
    <n v="10"/>
    <x v="0"/>
    <x v="2"/>
    <d v="2023-04-04T00:00:00"/>
  </r>
  <r>
    <s v="TXN_6425954"/>
    <x v="6"/>
    <n v="2"/>
    <n v="4"/>
    <n v="8"/>
    <x v="2"/>
    <x v="1"/>
    <d v="2023-03-28T00:00:00"/>
  </r>
  <r>
    <s v="TXN_9131153"/>
    <x v="4"/>
    <n v="3"/>
    <n v="4"/>
    <n v="12"/>
    <x v="2"/>
    <x v="0"/>
    <d v="2023-11-17T00:00:00"/>
  </r>
  <r>
    <s v="TXN_1332623"/>
    <x v="2"/>
    <n v="2"/>
    <n v="1"/>
    <n v="2"/>
    <x v="2"/>
    <x v="0"/>
    <d v="2023-07-15T00:00:00"/>
  </r>
  <r>
    <s v="TXN_9248370"/>
    <x v="5"/>
    <n v="2"/>
    <n v="1"/>
    <n v="2"/>
    <x v="0"/>
    <x v="1"/>
    <d v="2023-02-17T00:00:00"/>
  </r>
  <r>
    <s v="TXN_5549522"/>
    <x v="7"/>
    <n v="5"/>
    <n v="3"/>
    <n v="15"/>
    <x v="3"/>
    <x v="0"/>
    <d v="2023-12-16T00:00:00"/>
  </r>
  <r>
    <s v="TXN_4234750"/>
    <x v="7"/>
    <n v="2"/>
    <n v="3"/>
    <n v="6"/>
    <x v="1"/>
    <x v="2"/>
    <d v="2023-09-03T00:00:00"/>
  </r>
  <r>
    <s v="TXN_9694799"/>
    <x v="8"/>
    <n v="3"/>
    <n v="1.5"/>
    <n v="4.5"/>
    <x v="1"/>
    <x v="0"/>
    <d v="2023-04-14T00:00:00"/>
  </r>
  <r>
    <s v="TXN_6733436"/>
    <x v="7"/>
    <n v="2"/>
    <n v="3"/>
    <n v="6"/>
    <x v="0"/>
    <x v="0"/>
    <d v="2023-02-02T00:00:00"/>
  </r>
  <r>
    <s v="TXN_4423879"/>
    <x v="7"/>
    <n v="5"/>
    <n v="3"/>
    <n v="15"/>
    <x v="2"/>
    <x v="2"/>
    <d v="2023-02-12T00:00:00"/>
  </r>
  <r>
    <s v="TXN_8496788"/>
    <x v="7"/>
    <n v="4"/>
    <n v="3"/>
    <n v="12"/>
    <x v="1"/>
    <x v="2"/>
    <d v="2023-06-14T00:00:00"/>
  </r>
  <r>
    <s v="TXN_3131168"/>
    <x v="6"/>
    <n v="3"/>
    <n v="4"/>
    <n v="12"/>
    <x v="1"/>
    <x v="2"/>
    <d v="2023-03-24T00:00:00"/>
  </r>
  <r>
    <s v="TXN_1995528"/>
    <x v="0"/>
    <n v="5"/>
    <n v="2"/>
    <n v="10"/>
    <x v="2"/>
    <x v="1"/>
    <d v="2023-06-24T00:00:00"/>
  </r>
  <r>
    <s v="TXN_2311707"/>
    <x v="8"/>
    <n v="5"/>
    <n v="1.5"/>
    <n v="7.5"/>
    <x v="1"/>
    <x v="1"/>
    <d v="2023-08-03T00:00:00"/>
  </r>
  <r>
    <s v="TXN_9617269"/>
    <x v="0"/>
    <n v="1"/>
    <n v="2"/>
    <n v="2"/>
    <x v="3"/>
    <x v="2"/>
    <m/>
  </r>
  <r>
    <s v="TXN_1727281"/>
    <x v="7"/>
    <n v="4"/>
    <n v="3"/>
    <n v="12"/>
    <x v="2"/>
    <x v="0"/>
    <d v="2023-01-05T00:00:00"/>
  </r>
  <r>
    <s v="TXN_2437112"/>
    <x v="2"/>
    <n v="3"/>
    <n v="1"/>
    <n v="3"/>
    <x v="2"/>
    <x v="2"/>
    <d v="2023-04-06T00:00:00"/>
  </r>
  <r>
    <s v="TXN_8240436"/>
    <x v="3"/>
    <n v="5"/>
    <n v="5"/>
    <n v="25"/>
    <x v="2"/>
    <x v="1"/>
    <d v="2023-07-05T00:00:00"/>
  </r>
  <r>
    <s v="TXN_4177796"/>
    <x v="7"/>
    <n v="4"/>
    <n v="3"/>
    <n v="12"/>
    <x v="1"/>
    <x v="0"/>
    <d v="2023-04-17T00:00:00"/>
  </r>
  <r>
    <s v="TXN_9761314"/>
    <x v="5"/>
    <n v="4"/>
    <n v="4"/>
    <n v="16"/>
    <x v="0"/>
    <x v="2"/>
    <d v="2023-12-14T00:00:00"/>
  </r>
  <r>
    <s v="TXN_2905118"/>
    <x v="8"/>
    <n v="5"/>
    <n v="1.5"/>
    <n v="7.5"/>
    <x v="3"/>
    <x v="0"/>
    <d v="2023-03-04T00:00:00"/>
  </r>
  <r>
    <s v="TXN_8058105"/>
    <x v="8"/>
    <n v="3"/>
    <n v="1.5"/>
    <n v="4.5"/>
    <x v="1"/>
    <x v="2"/>
    <d v="2023-03-07T00:00:00"/>
  </r>
  <r>
    <s v="TXN_5005793"/>
    <x v="6"/>
    <n v="4"/>
    <n v="4"/>
    <n v="16"/>
    <x v="0"/>
    <x v="1"/>
    <d v="2023-01-21T00:00:00"/>
  </r>
  <r>
    <s v="TXN_2840861"/>
    <x v="8"/>
    <n v="2"/>
    <n v="1.5"/>
    <n v="3"/>
    <x v="3"/>
    <x v="0"/>
    <d v="2023-05-31T00:00:00"/>
  </r>
  <r>
    <s v="TXN_1088497"/>
    <x v="6"/>
    <n v="1"/>
    <n v="4"/>
    <n v="4"/>
    <x v="3"/>
    <x v="0"/>
    <d v="2023-07-05T00:00:00"/>
  </r>
  <r>
    <s v="TXN_4083872"/>
    <x v="3"/>
    <n v="2"/>
    <n v="5"/>
    <n v="10"/>
    <x v="3"/>
    <x v="0"/>
    <d v="2023-08-05T00:00:00"/>
  </r>
  <r>
    <s v="TXN_5296083"/>
    <x v="6"/>
    <n v="3"/>
    <n v="4"/>
    <n v="12"/>
    <x v="2"/>
    <x v="2"/>
    <d v="2023-12-08T00:00:00"/>
  </r>
  <r>
    <s v="TXN_3052953"/>
    <x v="0"/>
    <n v="5"/>
    <n v="2"/>
    <n v="10"/>
    <x v="3"/>
    <x v="2"/>
    <d v="2023-02-28T00:00:00"/>
  </r>
  <r>
    <s v="TXN_2017793"/>
    <x v="8"/>
    <n v="3"/>
    <n v="1.5"/>
    <n v="4.5"/>
    <x v="3"/>
    <x v="2"/>
    <d v="2023-07-18T00:00:00"/>
  </r>
  <r>
    <s v="TXN_4064326"/>
    <x v="2"/>
    <n v="2"/>
    <n v="1"/>
    <n v="2"/>
    <x v="1"/>
    <x v="0"/>
    <d v="2023-01-07T00:00:00"/>
  </r>
  <r>
    <s v="TXN_8749775"/>
    <x v="1"/>
    <n v="5"/>
    <n v="3"/>
    <n v="15"/>
    <x v="1"/>
    <x v="0"/>
    <d v="2023-10-30T00:00:00"/>
  </r>
  <r>
    <s v="TXN_6541284"/>
    <x v="8"/>
    <n v="4"/>
    <n v="1.5"/>
    <n v="6"/>
    <x v="1"/>
    <x v="0"/>
    <d v="2023-03-01T00:00:00"/>
  </r>
  <r>
    <s v="TXN_7937905"/>
    <x v="3"/>
    <n v="5"/>
    <n v="5"/>
    <n v="25"/>
    <x v="2"/>
    <x v="2"/>
    <d v="2023-10-15T00:00:00"/>
  </r>
  <r>
    <s v="TXN_1311519"/>
    <x v="4"/>
    <n v="5"/>
    <n v="4"/>
    <n v="20"/>
    <x v="1"/>
    <x v="2"/>
    <d v="2023-01-28T00:00:00"/>
  </r>
  <r>
    <s v="TXN_8209509"/>
    <x v="2"/>
    <n v="4"/>
    <n v="1"/>
    <n v="4"/>
    <x v="2"/>
    <x v="0"/>
    <d v="2023-11-09T00:00:00"/>
  </r>
  <r>
    <s v="TXN_3413156"/>
    <x v="7"/>
    <n v="1"/>
    <n v="3"/>
    <n v="3"/>
    <x v="0"/>
    <x v="1"/>
    <d v="2023-10-16T00:00:00"/>
  </r>
  <r>
    <s v="TXN_3130302"/>
    <x v="4"/>
    <n v="3"/>
    <n v="4"/>
    <n v="12"/>
    <x v="0"/>
    <x v="1"/>
    <m/>
  </r>
  <r>
    <s v="TXN_7418152"/>
    <x v="2"/>
    <n v="4"/>
    <n v="1"/>
    <n v="4"/>
    <x v="1"/>
    <x v="0"/>
    <d v="2023-09-21T00:00:00"/>
  </r>
  <r>
    <s v="TXN_7991782"/>
    <x v="7"/>
    <n v="2"/>
    <n v="3"/>
    <n v="6"/>
    <x v="2"/>
    <x v="1"/>
    <d v="2023-01-11T00:00:00"/>
  </r>
  <r>
    <s v="TXN_2822949"/>
    <x v="4"/>
    <n v="2"/>
    <n v="4"/>
    <n v="8"/>
    <x v="3"/>
    <x v="2"/>
    <d v="2023-11-19T00:00:00"/>
  </r>
  <r>
    <s v="TXN_5868082"/>
    <x v="0"/>
    <n v="5"/>
    <n v="2"/>
    <n v="10"/>
    <x v="0"/>
    <x v="1"/>
    <d v="2023-10-22T00:00:00"/>
  </r>
  <r>
    <s v="TXN_1559521"/>
    <x v="5"/>
    <n v="5"/>
    <n v="2"/>
    <n v="10"/>
    <x v="2"/>
    <x v="1"/>
    <d v="2023-07-05T00:00:00"/>
  </r>
  <r>
    <s v="TXN_2250898"/>
    <x v="4"/>
    <n v="3"/>
    <n v="4"/>
    <n v="12"/>
    <x v="0"/>
    <x v="2"/>
    <d v="2023-12-23T00:00:00"/>
  </r>
  <r>
    <s v="TXN_2947622"/>
    <x v="4"/>
    <n v="5"/>
    <n v="4"/>
    <n v="20"/>
    <x v="2"/>
    <x v="2"/>
    <d v="2023-08-06T00:00:00"/>
  </r>
  <r>
    <s v="TXN_1413335"/>
    <x v="3"/>
    <n v="1"/>
    <n v="5"/>
    <n v="5"/>
    <x v="3"/>
    <x v="0"/>
    <d v="2023-05-17T00:00:00"/>
  </r>
  <r>
    <s v="TXN_7086603"/>
    <x v="1"/>
    <n v="4"/>
    <n v="3"/>
    <n v="12"/>
    <x v="0"/>
    <x v="2"/>
    <d v="2023-03-18T00:00:00"/>
  </r>
  <r>
    <s v="TXN_6919325"/>
    <x v="1"/>
    <n v="3"/>
    <n v="3"/>
    <n v="9"/>
    <x v="1"/>
    <x v="2"/>
    <d v="2023-02-05T00:00:00"/>
  </r>
  <r>
    <s v="TXN_7286934"/>
    <x v="4"/>
    <n v="2"/>
    <n v="4"/>
    <n v="8"/>
    <x v="0"/>
    <x v="1"/>
    <d v="2023-03-27T00:00:00"/>
  </r>
  <r>
    <s v="TXN_5213014"/>
    <x v="6"/>
    <n v="3"/>
    <n v="4"/>
    <n v="12"/>
    <x v="0"/>
    <x v="2"/>
    <d v="2023-05-09T00:00:00"/>
  </r>
  <r>
    <s v="TXN_3121483"/>
    <x v="3"/>
    <n v="2"/>
    <n v="5"/>
    <n v="10"/>
    <x v="2"/>
    <x v="0"/>
    <d v="2023-01-06T00:00:00"/>
  </r>
  <r>
    <s v="TXN_1670848"/>
    <x v="1"/>
    <n v="2"/>
    <n v="3"/>
    <n v="6"/>
    <x v="0"/>
    <x v="2"/>
    <d v="2023-08-04T00:00:00"/>
  </r>
  <r>
    <s v="TXN_7595042"/>
    <x v="3"/>
    <n v="1"/>
    <n v="5"/>
    <n v="5"/>
    <x v="2"/>
    <x v="0"/>
    <d v="2023-04-03T00:00:00"/>
  </r>
  <r>
    <s v="TXN_3447594"/>
    <x v="5"/>
    <n v="1"/>
    <n v="5"/>
    <n v="5"/>
    <x v="3"/>
    <x v="1"/>
    <d v="2023-02-24T00:00:00"/>
  </r>
  <r>
    <s v="TXN_9250024"/>
    <x v="2"/>
    <n v="2"/>
    <n v="1"/>
    <n v="2"/>
    <x v="3"/>
    <x v="2"/>
    <d v="2023-03-21T00:00:00"/>
  </r>
  <r>
    <s v="TXN_1353266"/>
    <x v="4"/>
    <n v="1"/>
    <n v="4"/>
    <n v="4"/>
    <x v="3"/>
    <x v="0"/>
    <d v="2023-08-30T00:00:00"/>
  </r>
  <r>
    <s v="TXN_3950331"/>
    <x v="8"/>
    <n v="5"/>
    <n v="1.5"/>
    <n v="7.5"/>
    <x v="3"/>
    <x v="2"/>
    <d v="2023-03-02T00:00:00"/>
  </r>
  <r>
    <s v="TXN_3766657"/>
    <x v="4"/>
    <n v="5"/>
    <n v="4"/>
    <n v="20"/>
    <x v="2"/>
    <x v="2"/>
    <d v="2023-08-16T00:00:00"/>
  </r>
  <r>
    <s v="TXN_6034596"/>
    <x v="5"/>
    <n v="1"/>
    <n v="5"/>
    <n v="5"/>
    <x v="2"/>
    <x v="0"/>
    <d v="2023-04-07T00:00:00"/>
  </r>
  <r>
    <s v="TXN_7233393"/>
    <x v="7"/>
    <n v="5"/>
    <n v="3"/>
    <n v="15"/>
    <x v="0"/>
    <x v="1"/>
    <d v="2023-11-22T00:00:00"/>
  </r>
  <r>
    <s v="TXN_8273645"/>
    <x v="7"/>
    <n v="2"/>
    <n v="3"/>
    <n v="6"/>
    <x v="1"/>
    <x v="0"/>
    <d v="2023-11-02T00:00:00"/>
  </r>
  <r>
    <s v="TXN_2474286"/>
    <x v="7"/>
    <n v="2"/>
    <n v="3"/>
    <n v="6"/>
    <x v="3"/>
    <x v="1"/>
    <d v="2023-12-09T00:00:00"/>
  </r>
  <r>
    <s v="TXN_5145016"/>
    <x v="6"/>
    <n v="1"/>
    <n v="4"/>
    <n v="4"/>
    <x v="1"/>
    <x v="0"/>
    <m/>
  </r>
  <r>
    <s v="TXN_6700141"/>
    <x v="6"/>
    <n v="1"/>
    <n v="4"/>
    <n v="4"/>
    <x v="1"/>
    <x v="0"/>
    <d v="2023-04-12T00:00:00"/>
  </r>
  <r>
    <s v="TXN_4006771"/>
    <x v="2"/>
    <n v="3"/>
    <n v="1"/>
    <n v="3"/>
    <x v="0"/>
    <x v="2"/>
    <d v="2023-02-06T00:00:00"/>
  </r>
  <r>
    <s v="TXN_4406290"/>
    <x v="0"/>
    <n v="5"/>
    <n v="2"/>
    <n v="10"/>
    <x v="2"/>
    <x v="1"/>
    <d v="2023-07-02T00:00:00"/>
  </r>
  <r>
    <s v="TXN_2714524"/>
    <x v="6"/>
    <n v="4"/>
    <n v="4"/>
    <n v="16"/>
    <x v="1"/>
    <x v="0"/>
    <d v="2023-01-02T00:00:00"/>
  </r>
  <r>
    <s v="TXN_3585097"/>
    <x v="0"/>
    <n v="3"/>
    <n v="2"/>
    <n v="6"/>
    <x v="2"/>
    <x v="0"/>
    <d v="2023-05-31T00:00:00"/>
  </r>
  <r>
    <s v="TXN_5432582"/>
    <x v="7"/>
    <n v="3"/>
    <n v="3"/>
    <n v="9"/>
    <x v="2"/>
    <x v="2"/>
    <d v="2023-08-30T00:00:00"/>
  </r>
  <r>
    <s v="TXN_5367923"/>
    <x v="6"/>
    <n v="4"/>
    <n v="4"/>
    <n v="16"/>
    <x v="2"/>
    <x v="2"/>
    <d v="2023-04-19T00:00:00"/>
  </r>
  <r>
    <s v="TXN_4030519"/>
    <x v="4"/>
    <n v="2"/>
    <n v="4"/>
    <n v="8"/>
    <x v="3"/>
    <x v="0"/>
    <d v="2023-01-22T00:00:00"/>
  </r>
  <r>
    <s v="TXN_8716594"/>
    <x v="3"/>
    <n v="4"/>
    <n v="5"/>
    <n v="20"/>
    <x v="0"/>
    <x v="0"/>
    <d v="2023-08-26T00:00:00"/>
  </r>
  <r>
    <s v="TXN_5159483"/>
    <x v="7"/>
    <n v="2"/>
    <n v="3"/>
    <n v="6"/>
    <x v="3"/>
    <x v="1"/>
    <d v="2023-05-24T00:00:00"/>
  </r>
  <r>
    <s v="TXN_6347482"/>
    <x v="8"/>
    <n v="2"/>
    <n v="1.5"/>
    <n v="3"/>
    <x v="3"/>
    <x v="2"/>
    <d v="2023-07-10T00:00:00"/>
  </r>
  <r>
    <s v="TXN_4688236"/>
    <x v="0"/>
    <n v="4"/>
    <n v="2"/>
    <n v="8"/>
    <x v="1"/>
    <x v="1"/>
    <d v="2023-07-05T00:00:00"/>
  </r>
  <r>
    <s v="TXN_7021722"/>
    <x v="8"/>
    <n v="3"/>
    <n v="1.5"/>
    <n v="4.5"/>
    <x v="2"/>
    <x v="0"/>
    <d v="2023-07-27T00:00:00"/>
  </r>
  <r>
    <s v="TXN_1466002"/>
    <x v="5"/>
    <n v="3"/>
    <n v="3"/>
    <n v="9"/>
    <x v="2"/>
    <x v="2"/>
    <d v="2023-11-23T00:00:00"/>
  </r>
  <r>
    <s v="TXN_4878020"/>
    <x v="1"/>
    <n v="3"/>
    <n v="3"/>
    <n v="9"/>
    <x v="2"/>
    <x v="1"/>
    <d v="2023-03-17T00:00:00"/>
  </r>
  <r>
    <s v="TXN_3158921"/>
    <x v="6"/>
    <n v="1"/>
    <n v="4"/>
    <n v="4"/>
    <x v="3"/>
    <x v="1"/>
    <d v="2023-04-16T00:00:00"/>
  </r>
  <r>
    <s v="TXN_8555334"/>
    <x v="0"/>
    <n v="1"/>
    <n v="2"/>
    <n v="2"/>
    <x v="2"/>
    <x v="1"/>
    <d v="2023-06-16T00:00:00"/>
  </r>
  <r>
    <s v="TXN_9749790"/>
    <x v="8"/>
    <n v="3"/>
    <n v="1.5"/>
    <n v="4.5"/>
    <x v="2"/>
    <x v="0"/>
    <d v="2023-10-17T00:00:00"/>
  </r>
  <r>
    <s v="TXN_7476268"/>
    <x v="7"/>
    <n v="2"/>
    <n v="3"/>
    <n v="6"/>
    <x v="0"/>
    <x v="2"/>
    <d v="2023-06-07T00:00:00"/>
  </r>
  <r>
    <s v="TXN_2741928"/>
    <x v="1"/>
    <n v="1"/>
    <n v="3"/>
    <n v="3"/>
    <x v="3"/>
    <x v="1"/>
    <d v="2023-10-06T00:00:00"/>
  </r>
  <r>
    <s v="TXN_8477945"/>
    <x v="2"/>
    <n v="4"/>
    <n v="1"/>
    <n v="4"/>
    <x v="2"/>
    <x v="1"/>
    <d v="2023-07-19T00:00:00"/>
  </r>
  <r>
    <s v="TXN_2838958"/>
    <x v="0"/>
    <n v="1"/>
    <n v="2"/>
    <n v="2"/>
    <x v="1"/>
    <x v="0"/>
    <d v="2023-03-10T00:00:00"/>
  </r>
  <r>
    <s v="TXN_4937411"/>
    <x v="7"/>
    <n v="1"/>
    <n v="3"/>
    <n v="3"/>
    <x v="2"/>
    <x v="0"/>
    <d v="2023-08-21T00:00:00"/>
  </r>
  <r>
    <s v="TXN_1293509"/>
    <x v="7"/>
    <n v="3"/>
    <n v="3"/>
    <n v="9"/>
    <x v="1"/>
    <x v="1"/>
    <m/>
  </r>
  <r>
    <s v="TXN_1124655"/>
    <x v="3"/>
    <n v="3"/>
    <n v="5"/>
    <n v="15"/>
    <x v="1"/>
    <x v="2"/>
    <d v="2023-10-23T00:00:00"/>
  </r>
  <r>
    <s v="TXN_1367723"/>
    <x v="0"/>
    <n v="3"/>
    <n v="2"/>
    <n v="6"/>
    <x v="1"/>
    <x v="1"/>
    <d v="2023-10-25T00:00:00"/>
  </r>
  <r>
    <s v="TXN_1710476"/>
    <x v="7"/>
    <n v="4"/>
    <n v="3"/>
    <n v="12"/>
    <x v="3"/>
    <x v="0"/>
    <d v="2023-05-22T00:00:00"/>
  </r>
  <r>
    <s v="TXN_2248497"/>
    <x v="3"/>
    <n v="2"/>
    <n v="5"/>
    <n v="10"/>
    <x v="1"/>
    <x v="0"/>
    <d v="2023-03-07T00:00:00"/>
  </r>
  <r>
    <s v="TXN_9403754"/>
    <x v="1"/>
    <n v="5"/>
    <n v="3"/>
    <n v="15"/>
    <x v="0"/>
    <x v="0"/>
    <d v="2023-06-19T00:00:00"/>
  </r>
  <r>
    <s v="TXN_2457189"/>
    <x v="5"/>
    <n v="3"/>
    <n v="4"/>
    <n v="12"/>
    <x v="3"/>
    <x v="0"/>
    <d v="2023-08-28T00:00:00"/>
  </r>
  <r>
    <s v="TXN_2495788"/>
    <x v="2"/>
    <n v="2"/>
    <n v="1"/>
    <n v="2"/>
    <x v="0"/>
    <x v="0"/>
    <d v="2023-12-16T00:00:00"/>
  </r>
  <r>
    <s v="TXN_7528294"/>
    <x v="7"/>
    <n v="3"/>
    <n v="3"/>
    <n v="9"/>
    <x v="3"/>
    <x v="2"/>
    <d v="2023-09-27T00:00:00"/>
  </r>
  <r>
    <s v="TXN_2844982"/>
    <x v="2"/>
    <n v="1"/>
    <n v="1"/>
    <n v="1"/>
    <x v="3"/>
    <x v="0"/>
    <d v="2023-03-04T00:00:00"/>
  </r>
  <r>
    <s v="TXN_9345439"/>
    <x v="0"/>
    <n v="2"/>
    <n v="2"/>
    <n v="4"/>
    <x v="1"/>
    <x v="0"/>
    <d v="2023-08-07T00:00:00"/>
  </r>
  <r>
    <s v="TXN_4558455"/>
    <x v="5"/>
    <n v="3"/>
    <n v="5"/>
    <n v="15"/>
    <x v="0"/>
    <x v="1"/>
    <m/>
  </r>
  <r>
    <s v="TXN_6347567"/>
    <x v="7"/>
    <n v="5"/>
    <n v="3"/>
    <n v="15"/>
    <x v="1"/>
    <x v="1"/>
    <d v="2023-03-31T00:00:00"/>
  </r>
  <r>
    <s v="TXN_9710430"/>
    <x v="6"/>
    <n v="3"/>
    <n v="4"/>
    <n v="12"/>
    <x v="0"/>
    <x v="0"/>
    <d v="2023-01-10T00:00:00"/>
  </r>
  <r>
    <s v="TXN_8859035"/>
    <x v="1"/>
    <n v="3"/>
    <n v="3"/>
    <n v="9"/>
    <x v="3"/>
    <x v="0"/>
    <d v="2023-01-19T00:00:00"/>
  </r>
  <r>
    <s v="TXN_7131251"/>
    <x v="8"/>
    <n v="2"/>
    <n v="1.5"/>
    <n v="3"/>
    <x v="2"/>
    <x v="1"/>
    <d v="2023-06-28T00:00:00"/>
  </r>
  <r>
    <s v="TXN_9577339"/>
    <x v="1"/>
    <n v="2"/>
    <n v="3"/>
    <n v="6"/>
    <x v="3"/>
    <x v="2"/>
    <d v="2023-03-10T00:00:00"/>
  </r>
  <r>
    <s v="TXN_9206049"/>
    <x v="2"/>
    <n v="1"/>
    <n v="1"/>
    <n v="1"/>
    <x v="0"/>
    <x v="1"/>
    <d v="2023-09-17T00:00:00"/>
  </r>
  <r>
    <s v="TXN_8748070"/>
    <x v="2"/>
    <n v="2"/>
    <n v="1"/>
    <n v="2"/>
    <x v="0"/>
    <x v="1"/>
    <d v="2023-07-31T00:00:00"/>
  </r>
  <r>
    <s v="TXN_1079241"/>
    <x v="7"/>
    <n v="3"/>
    <n v="3"/>
    <n v="9"/>
    <x v="3"/>
    <x v="0"/>
    <d v="2023-07-16T00:00:00"/>
  </r>
  <r>
    <s v="TXN_8250845"/>
    <x v="2"/>
    <n v="1"/>
    <n v="1"/>
    <n v="1"/>
    <x v="1"/>
    <x v="2"/>
    <d v="2023-12-09T00:00:00"/>
  </r>
  <r>
    <s v="TXN_7878520"/>
    <x v="6"/>
    <n v="3"/>
    <n v="4"/>
    <n v="12"/>
    <x v="3"/>
    <x v="0"/>
    <d v="2023-08-29T00:00:00"/>
  </r>
  <r>
    <s v="TXN_8990101"/>
    <x v="4"/>
    <n v="5"/>
    <n v="4"/>
    <n v="20"/>
    <x v="2"/>
    <x v="1"/>
    <d v="2023-11-25T00:00:00"/>
  </r>
  <r>
    <s v="TXN_8789137"/>
    <x v="6"/>
    <n v="1"/>
    <n v="4"/>
    <n v="4"/>
    <x v="2"/>
    <x v="0"/>
    <d v="2023-09-25T00:00:00"/>
  </r>
  <r>
    <s v="TXN_1236779"/>
    <x v="7"/>
    <n v="3"/>
    <n v="3"/>
    <n v="9"/>
    <x v="0"/>
    <x v="1"/>
    <d v="2023-12-29T00:00:00"/>
  </r>
  <r>
    <s v="TXN_6846861"/>
    <x v="4"/>
    <n v="4"/>
    <n v="4"/>
    <n v="16"/>
    <x v="2"/>
    <x v="1"/>
    <d v="2023-11-26T00:00:00"/>
  </r>
  <r>
    <s v="TXN_7682621"/>
    <x v="6"/>
    <n v="4"/>
    <n v="4"/>
    <n v="16"/>
    <x v="1"/>
    <x v="0"/>
    <d v="2023-11-07T00:00:00"/>
  </r>
  <r>
    <s v="TXN_2770536"/>
    <x v="4"/>
    <n v="2"/>
    <n v="4"/>
    <n v="8"/>
    <x v="2"/>
    <x v="1"/>
    <d v="2023-11-03T00:00:00"/>
  </r>
  <r>
    <s v="TXN_3291900"/>
    <x v="4"/>
    <n v="4"/>
    <n v="4"/>
    <n v="16"/>
    <x v="1"/>
    <x v="0"/>
    <d v="2023-05-04T00:00:00"/>
  </r>
  <r>
    <s v="TXN_1390917"/>
    <x v="6"/>
    <n v="1"/>
    <n v="4"/>
    <n v="4"/>
    <x v="0"/>
    <x v="2"/>
    <d v="2023-01-16T00:00:00"/>
  </r>
  <r>
    <s v="TXN_5406411"/>
    <x v="5"/>
    <n v="5"/>
    <n v="4"/>
    <n v="20"/>
    <x v="0"/>
    <x v="1"/>
    <d v="2023-04-14T00:00:00"/>
  </r>
  <r>
    <s v="TXN_4628338"/>
    <x v="0"/>
    <m/>
    <n v="2"/>
    <m/>
    <x v="1"/>
    <x v="2"/>
    <d v="2023-12-25T00:00:00"/>
  </r>
  <r>
    <s v="TXN_4532280"/>
    <x v="0"/>
    <n v="5"/>
    <n v="2"/>
    <n v="10"/>
    <x v="0"/>
    <x v="2"/>
    <d v="2023-01-10T00:00:00"/>
  </r>
  <r>
    <s v="TXN_2879543"/>
    <x v="7"/>
    <n v="5"/>
    <n v="3"/>
    <n v="15"/>
    <x v="2"/>
    <x v="2"/>
    <d v="2023-03-30T00:00:00"/>
  </r>
  <r>
    <s v="TXN_7334418"/>
    <x v="2"/>
    <n v="2"/>
    <n v="1"/>
    <n v="2"/>
    <x v="3"/>
    <x v="2"/>
    <d v="2023-03-24T00:00:00"/>
  </r>
  <r>
    <s v="TXN_7927109"/>
    <x v="8"/>
    <n v="1"/>
    <n v="1.5"/>
    <n v="1.5"/>
    <x v="1"/>
    <x v="2"/>
    <d v="2023-04-18T00:00:00"/>
  </r>
  <r>
    <s v="TXN_9352814"/>
    <x v="8"/>
    <n v="4"/>
    <n v="1.5"/>
    <n v="6"/>
    <x v="1"/>
    <x v="2"/>
    <d v="2023-09-10T00:00:00"/>
  </r>
  <r>
    <s v="TXN_8872984"/>
    <x v="3"/>
    <n v="5"/>
    <n v="5"/>
    <n v="25"/>
    <x v="0"/>
    <x v="1"/>
    <d v="2023-08-23T00:00:00"/>
  </r>
  <r>
    <s v="TXN_8305586"/>
    <x v="0"/>
    <n v="4"/>
    <n v="2"/>
    <n v="8"/>
    <x v="1"/>
    <x v="2"/>
    <d v="2023-01-06T00:00:00"/>
  </r>
  <r>
    <s v="TXN_6501091"/>
    <x v="7"/>
    <n v="2"/>
    <n v="3"/>
    <n v="6"/>
    <x v="3"/>
    <x v="0"/>
    <d v="2023-05-07T00:00:00"/>
  </r>
  <r>
    <s v="TXN_8197935"/>
    <x v="6"/>
    <n v="5"/>
    <n v="4"/>
    <n v="20"/>
    <x v="1"/>
    <x v="1"/>
    <d v="2023-03-28T00:00:00"/>
  </r>
  <r>
    <s v="TXN_8349096"/>
    <x v="2"/>
    <n v="5"/>
    <n v="1"/>
    <n v="5"/>
    <x v="2"/>
    <x v="2"/>
    <d v="2023-12-12T00:00:00"/>
  </r>
  <r>
    <s v="TXN_1721366"/>
    <x v="4"/>
    <n v="5"/>
    <n v="4"/>
    <n v="20"/>
    <x v="3"/>
    <x v="1"/>
    <d v="2023-04-09T00:00:00"/>
  </r>
  <r>
    <s v="TXN_3924170"/>
    <x v="8"/>
    <n v="3"/>
    <n v="1.5"/>
    <n v="4.5"/>
    <x v="0"/>
    <x v="1"/>
    <d v="2023-08-07T00:00:00"/>
  </r>
  <r>
    <s v="TXN_6206421"/>
    <x v="6"/>
    <n v="2"/>
    <n v="4"/>
    <n v="8"/>
    <x v="2"/>
    <x v="1"/>
    <d v="2023-04-06T00:00:00"/>
  </r>
  <r>
    <s v="TXN_3740465"/>
    <x v="2"/>
    <n v="4"/>
    <n v="1"/>
    <n v="4"/>
    <x v="3"/>
    <x v="2"/>
    <d v="2023-03-08T00:00:00"/>
  </r>
  <r>
    <s v="TXN_5227798"/>
    <x v="3"/>
    <n v="4"/>
    <n v="5"/>
    <n v="20"/>
    <x v="1"/>
    <x v="2"/>
    <d v="2023-09-02T00:00:00"/>
  </r>
  <r>
    <s v="TXN_9374286"/>
    <x v="0"/>
    <n v="5"/>
    <n v="2"/>
    <n v="10"/>
    <x v="1"/>
    <x v="1"/>
    <d v="2023-08-07T00:00:00"/>
  </r>
  <r>
    <s v="TXN_6577619"/>
    <x v="3"/>
    <n v="3"/>
    <n v="5"/>
    <n v="15"/>
    <x v="0"/>
    <x v="1"/>
    <d v="2023-07-22T00:00:00"/>
  </r>
  <r>
    <s v="TXN_5154112"/>
    <x v="1"/>
    <n v="3"/>
    <n v="3"/>
    <n v="9"/>
    <x v="0"/>
    <x v="0"/>
    <m/>
  </r>
  <r>
    <s v="TXN_5209716"/>
    <x v="5"/>
    <n v="5"/>
    <n v="1"/>
    <n v="5"/>
    <x v="1"/>
    <x v="2"/>
    <d v="2023-10-06T00:00:00"/>
  </r>
  <r>
    <s v="TXN_6412590"/>
    <x v="3"/>
    <n v="1"/>
    <n v="5"/>
    <n v="5"/>
    <x v="3"/>
    <x v="2"/>
    <d v="2023-06-12T00:00:00"/>
  </r>
  <r>
    <s v="TXN_1577802"/>
    <x v="7"/>
    <n v="2"/>
    <n v="3"/>
    <n v="6"/>
    <x v="0"/>
    <x v="1"/>
    <d v="2023-11-29T00:00:00"/>
  </r>
  <r>
    <s v="TXN_3202346"/>
    <x v="3"/>
    <n v="2"/>
    <n v="5"/>
    <n v="10"/>
    <x v="2"/>
    <x v="1"/>
    <d v="2023-11-19T00:00:00"/>
  </r>
  <r>
    <s v="TXN_2141924"/>
    <x v="3"/>
    <n v="5"/>
    <n v="5"/>
    <n v="25"/>
    <x v="1"/>
    <x v="1"/>
    <d v="2023-11-27T00:00:00"/>
  </r>
  <r>
    <s v="TXN_6775972"/>
    <x v="0"/>
    <n v="3"/>
    <n v="2"/>
    <n v="6"/>
    <x v="0"/>
    <x v="2"/>
    <d v="2023-09-15T00:00:00"/>
  </r>
  <r>
    <s v="TXN_8799599"/>
    <x v="0"/>
    <n v="1"/>
    <n v="2"/>
    <n v="2"/>
    <x v="0"/>
    <x v="2"/>
    <d v="2023-09-10T00:00:00"/>
  </r>
  <r>
    <s v="TXN_2866735"/>
    <x v="2"/>
    <n v="4"/>
    <n v="1"/>
    <n v="4"/>
    <x v="1"/>
    <x v="0"/>
    <d v="2023-03-13T00:00:00"/>
  </r>
  <r>
    <s v="TXN_2199500"/>
    <x v="4"/>
    <n v="1"/>
    <n v="4"/>
    <n v="4"/>
    <x v="0"/>
    <x v="2"/>
    <d v="2023-04-04T00:00:00"/>
  </r>
  <r>
    <s v="TXN_3402368"/>
    <x v="5"/>
    <n v="2"/>
    <n v="1.5"/>
    <n v="3"/>
    <x v="2"/>
    <x v="1"/>
    <d v="2023-02-01T00:00:00"/>
  </r>
  <r>
    <s v="TXN_8279269"/>
    <x v="4"/>
    <n v="4"/>
    <n v="4"/>
    <n v="16"/>
    <x v="3"/>
    <x v="2"/>
    <d v="2023-06-14T00:00:00"/>
  </r>
  <r>
    <s v="TXN_2829951"/>
    <x v="4"/>
    <n v="4"/>
    <n v="4"/>
    <n v="16"/>
    <x v="0"/>
    <x v="2"/>
    <d v="2023-06-28T00:00:00"/>
  </r>
  <r>
    <s v="TXN_6748374"/>
    <x v="3"/>
    <n v="1"/>
    <n v="5"/>
    <n v="5"/>
    <x v="0"/>
    <x v="0"/>
    <d v="2023-07-24T00:00:00"/>
  </r>
  <r>
    <s v="TXN_5056971"/>
    <x v="8"/>
    <n v="4"/>
    <n v="1.5"/>
    <n v="6"/>
    <x v="1"/>
    <x v="0"/>
    <d v="2023-08-22T00:00:00"/>
  </r>
  <r>
    <s v="TXN_8675052"/>
    <x v="2"/>
    <n v="3"/>
    <n v="1"/>
    <n v="3"/>
    <x v="0"/>
    <x v="2"/>
    <d v="2023-11-23T00:00:00"/>
  </r>
  <r>
    <s v="TXN_6481150"/>
    <x v="3"/>
    <n v="4"/>
    <n v="5"/>
    <n v="20"/>
    <x v="3"/>
    <x v="1"/>
    <d v="2023-03-30T00:00:00"/>
  </r>
  <r>
    <s v="TXN_2371827"/>
    <x v="2"/>
    <n v="5"/>
    <n v="1"/>
    <n v="5"/>
    <x v="1"/>
    <x v="1"/>
    <d v="2023-04-03T00:00:00"/>
  </r>
  <r>
    <s v="TXN_3677109"/>
    <x v="1"/>
    <n v="5"/>
    <n v="3"/>
    <n v="15"/>
    <x v="3"/>
    <x v="2"/>
    <d v="2023-12-02T00:00:00"/>
  </r>
  <r>
    <s v="TXN_5457767"/>
    <x v="1"/>
    <n v="3"/>
    <n v="3"/>
    <n v="9"/>
    <x v="1"/>
    <x v="1"/>
    <d v="2023-08-14T00:00:00"/>
  </r>
  <r>
    <s v="TXN_1704642"/>
    <x v="5"/>
    <n v="5"/>
    <n v="3"/>
    <n v="15"/>
    <x v="3"/>
    <x v="1"/>
    <m/>
  </r>
  <r>
    <s v="TXN_3661311"/>
    <x v="7"/>
    <n v="2"/>
    <n v="3"/>
    <n v="6"/>
    <x v="3"/>
    <x v="2"/>
    <d v="2023-04-30T00:00:00"/>
  </r>
  <r>
    <s v="TXN_5520841"/>
    <x v="1"/>
    <n v="1"/>
    <n v="3"/>
    <n v="3"/>
    <x v="2"/>
    <x v="0"/>
    <d v="2023-09-04T00:00:00"/>
  </r>
  <r>
    <s v="TXN_6443522"/>
    <x v="4"/>
    <n v="4"/>
    <n v="4"/>
    <n v="16"/>
    <x v="3"/>
    <x v="1"/>
    <d v="2023-06-22T00:00:00"/>
  </r>
  <r>
    <s v="TXN_4907008"/>
    <x v="0"/>
    <n v="3"/>
    <n v="2"/>
    <n v="6"/>
    <x v="2"/>
    <x v="1"/>
    <d v="2023-10-30T00:00:00"/>
  </r>
  <r>
    <s v="TXN_9833793"/>
    <x v="2"/>
    <n v="1"/>
    <n v="1"/>
    <n v="1"/>
    <x v="2"/>
    <x v="0"/>
    <d v="2023-12-01T00:00:00"/>
  </r>
  <r>
    <s v="TXN_6297375"/>
    <x v="0"/>
    <n v="5"/>
    <n v="2"/>
    <n v="10"/>
    <x v="2"/>
    <x v="2"/>
    <d v="2023-07-16T00:00:00"/>
  </r>
  <r>
    <s v="TXN_1641000"/>
    <x v="6"/>
    <n v="2"/>
    <n v="4"/>
    <n v="8"/>
    <x v="1"/>
    <x v="2"/>
    <d v="2023-08-19T00:00:00"/>
  </r>
  <r>
    <s v="TXN_8588174"/>
    <x v="5"/>
    <n v="3"/>
    <n v="5"/>
    <n v="15"/>
    <x v="2"/>
    <x v="1"/>
    <d v="2023-02-07T00:00:00"/>
  </r>
  <r>
    <s v="TXN_1228888"/>
    <x v="2"/>
    <n v="1"/>
    <n v="1"/>
    <n v="1"/>
    <x v="0"/>
    <x v="1"/>
    <d v="2023-10-05T00:00:00"/>
  </r>
  <r>
    <s v="TXN_2917349"/>
    <x v="8"/>
    <n v="4"/>
    <n v="1.5"/>
    <n v="6"/>
    <x v="2"/>
    <x v="2"/>
    <d v="2023-01-15T00:00:00"/>
  </r>
  <r>
    <s v="TXN_8099578"/>
    <x v="0"/>
    <n v="3"/>
    <n v="2"/>
    <n v="6"/>
    <x v="2"/>
    <x v="0"/>
    <d v="2023-03-02T00:00:00"/>
  </r>
  <r>
    <s v="TXN_9949241"/>
    <x v="3"/>
    <n v="1"/>
    <n v="5"/>
    <n v="5"/>
    <x v="2"/>
    <x v="1"/>
    <d v="2023-07-26T00:00:00"/>
  </r>
  <r>
    <s v="TXN_5662517"/>
    <x v="8"/>
    <n v="2"/>
    <n v="1.5"/>
    <n v="3"/>
    <x v="0"/>
    <x v="0"/>
    <d v="2023-01-05T00:00:00"/>
  </r>
  <r>
    <s v="TXN_3221795"/>
    <x v="6"/>
    <n v="5"/>
    <n v="4"/>
    <n v="20"/>
    <x v="1"/>
    <x v="2"/>
    <d v="2023-10-01T00:00:00"/>
  </r>
  <r>
    <s v="TXN_8432624"/>
    <x v="7"/>
    <n v="3"/>
    <n v="3"/>
    <n v="9"/>
    <x v="1"/>
    <x v="0"/>
    <d v="2023-06-24T00:00:00"/>
  </r>
  <r>
    <s v="TXN_1883231"/>
    <x v="7"/>
    <n v="5"/>
    <n v="3"/>
    <n v="15"/>
    <x v="2"/>
    <x v="1"/>
    <d v="2023-10-21T00:00:00"/>
  </r>
  <r>
    <s v="TXN_2490699"/>
    <x v="0"/>
    <n v="1"/>
    <n v="2"/>
    <n v="2"/>
    <x v="1"/>
    <x v="2"/>
    <d v="2023-10-05T00:00:00"/>
  </r>
  <r>
    <s v="TXN_1898102"/>
    <x v="1"/>
    <n v="4"/>
    <n v="3"/>
    <n v="12"/>
    <x v="0"/>
    <x v="0"/>
    <d v="2023-10-17T00:00:00"/>
  </r>
  <r>
    <s v="TXN_9614646"/>
    <x v="0"/>
    <n v="3"/>
    <n v="2"/>
    <n v="6"/>
    <x v="2"/>
    <x v="1"/>
    <d v="2023-03-18T00:00:00"/>
  </r>
  <r>
    <s v="TXN_6142529"/>
    <x v="8"/>
    <n v="5"/>
    <n v="1.5"/>
    <n v="7.5"/>
    <x v="0"/>
    <x v="1"/>
    <d v="2023-07-21T00:00:00"/>
  </r>
  <r>
    <s v="TXN_9279935"/>
    <x v="0"/>
    <n v="2"/>
    <n v="2"/>
    <n v="4"/>
    <x v="3"/>
    <x v="1"/>
    <d v="2023-06-02T00:00:00"/>
  </r>
  <r>
    <s v="TXN_3233211"/>
    <x v="8"/>
    <n v="2"/>
    <n v="1.5"/>
    <n v="3"/>
    <x v="2"/>
    <x v="0"/>
    <d v="2023-06-07T00:00:00"/>
  </r>
  <r>
    <s v="TXN_1607650"/>
    <x v="2"/>
    <n v="2"/>
    <n v="1"/>
    <n v="2"/>
    <x v="2"/>
    <x v="2"/>
    <d v="2023-04-27T00:00:00"/>
  </r>
  <r>
    <s v="TXN_1873852"/>
    <x v="5"/>
    <n v="3"/>
    <n v="3"/>
    <n v="9"/>
    <x v="3"/>
    <x v="0"/>
    <d v="2023-07-07T00:00:00"/>
  </r>
  <r>
    <s v="TXN_2501656"/>
    <x v="1"/>
    <n v="5"/>
    <n v="3"/>
    <n v="15"/>
    <x v="3"/>
    <x v="0"/>
    <d v="2023-07-02T00:00:00"/>
  </r>
  <r>
    <s v="TXN_6125085"/>
    <x v="5"/>
    <n v="3"/>
    <n v="3"/>
    <n v="9"/>
    <x v="2"/>
    <x v="0"/>
    <d v="2023-05-24T00:00:00"/>
  </r>
  <r>
    <s v="TXN_8917809"/>
    <x v="3"/>
    <n v="5"/>
    <n v="5"/>
    <n v="25"/>
    <x v="1"/>
    <x v="2"/>
    <d v="2023-07-29T00:00:00"/>
  </r>
  <r>
    <s v="TXN_8850815"/>
    <x v="4"/>
    <n v="5"/>
    <n v="4"/>
    <n v="20"/>
    <x v="2"/>
    <x v="2"/>
    <d v="2023-07-23T00:00:00"/>
  </r>
  <r>
    <s v="TXN_6959065"/>
    <x v="0"/>
    <n v="5"/>
    <n v="2"/>
    <n v="10"/>
    <x v="3"/>
    <x v="0"/>
    <d v="2023-05-05T00:00:00"/>
  </r>
  <r>
    <s v="TXN_4784154"/>
    <x v="8"/>
    <n v="5"/>
    <n v="1.5"/>
    <n v="7.5"/>
    <x v="0"/>
    <x v="1"/>
    <d v="2023-09-06T00:00:00"/>
  </r>
  <r>
    <s v="TXN_1893337"/>
    <x v="1"/>
    <n v="2"/>
    <n v="3"/>
    <n v="6"/>
    <x v="2"/>
    <x v="0"/>
    <d v="2023-05-16T00:00:00"/>
  </r>
  <r>
    <s v="TXN_4865947"/>
    <x v="8"/>
    <n v="2"/>
    <n v="1.5"/>
    <n v="3"/>
    <x v="1"/>
    <x v="0"/>
    <m/>
  </r>
  <r>
    <s v="TXN_5468350"/>
    <x v="3"/>
    <n v="4"/>
    <n v="5"/>
    <n v="20"/>
    <x v="0"/>
    <x v="1"/>
    <m/>
  </r>
  <r>
    <s v="TXN_6907555"/>
    <x v="8"/>
    <n v="2"/>
    <n v="1.5"/>
    <n v="3"/>
    <x v="0"/>
    <x v="2"/>
    <d v="2023-09-21T00:00:00"/>
  </r>
  <r>
    <s v="TXN_2437751"/>
    <x v="6"/>
    <n v="1"/>
    <n v="4"/>
    <n v="4"/>
    <x v="2"/>
    <x v="1"/>
    <d v="2023-03-18T00:00:00"/>
  </r>
  <r>
    <s v="TXN_8285283"/>
    <x v="7"/>
    <n v="5"/>
    <n v="3"/>
    <n v="15"/>
    <x v="3"/>
    <x v="2"/>
    <d v="2023-09-21T00:00:00"/>
  </r>
  <r>
    <s v="TXN_4795208"/>
    <x v="6"/>
    <n v="2"/>
    <n v="4"/>
    <n v="8"/>
    <x v="3"/>
    <x v="0"/>
    <d v="2023-05-03T00:00:00"/>
  </r>
  <r>
    <s v="TXN_5426405"/>
    <x v="8"/>
    <n v="5"/>
    <n v="1.5"/>
    <n v="7.5"/>
    <x v="2"/>
    <x v="1"/>
    <d v="2023-11-26T00:00:00"/>
  </r>
  <r>
    <s v="TXN_6794035"/>
    <x v="6"/>
    <n v="1"/>
    <n v="4"/>
    <n v="4"/>
    <x v="3"/>
    <x v="2"/>
    <d v="2023-11-04T00:00:00"/>
  </r>
  <r>
    <s v="TXN_6265760"/>
    <x v="1"/>
    <n v="1"/>
    <n v="3"/>
    <n v="3"/>
    <x v="0"/>
    <x v="0"/>
    <d v="2023-06-21T00:00:00"/>
  </r>
  <r>
    <s v="TXN_9905396"/>
    <x v="3"/>
    <n v="1"/>
    <n v="5"/>
    <n v="5"/>
    <x v="2"/>
    <x v="2"/>
    <d v="2023-08-20T00:00:00"/>
  </r>
  <r>
    <s v="TXN_1955127"/>
    <x v="7"/>
    <n v="5"/>
    <n v="3"/>
    <n v="15"/>
    <x v="2"/>
    <x v="1"/>
    <d v="2023-02-18T00:00:00"/>
  </r>
  <r>
    <s v="TXN_1296879"/>
    <x v="1"/>
    <n v="1"/>
    <n v="3"/>
    <n v="3"/>
    <x v="2"/>
    <x v="0"/>
    <d v="2023-11-17T00:00:00"/>
  </r>
  <r>
    <s v="TXN_8882176"/>
    <x v="2"/>
    <n v="4"/>
    <n v="1"/>
    <n v="4"/>
    <x v="1"/>
    <x v="0"/>
    <d v="2023-03-28T00:00:00"/>
  </r>
  <r>
    <s v="TXN_7052672"/>
    <x v="7"/>
    <n v="1"/>
    <n v="3"/>
    <n v="3"/>
    <x v="2"/>
    <x v="1"/>
    <d v="2023-06-29T00:00:00"/>
  </r>
  <r>
    <s v="TXN_3492861"/>
    <x v="2"/>
    <n v="5"/>
    <n v="1"/>
    <n v="5"/>
    <x v="1"/>
    <x v="2"/>
    <d v="2023-11-09T00:00:00"/>
  </r>
  <r>
    <s v="TXN_3655322"/>
    <x v="7"/>
    <n v="3"/>
    <n v="3"/>
    <n v="9"/>
    <x v="3"/>
    <x v="0"/>
    <d v="2023-10-03T00:00:00"/>
  </r>
  <r>
    <s v="TXN_7584389"/>
    <x v="0"/>
    <n v="4"/>
    <n v="2"/>
    <n v="8"/>
    <x v="1"/>
    <x v="2"/>
    <d v="2023-03-09T00:00:00"/>
  </r>
  <r>
    <s v="TXN_5734319"/>
    <x v="0"/>
    <n v="5"/>
    <n v="2"/>
    <n v="10"/>
    <x v="1"/>
    <x v="0"/>
    <d v="2023-06-01T00:00:00"/>
  </r>
  <r>
    <s v="TXN_2535662"/>
    <x v="7"/>
    <n v="1"/>
    <n v="3"/>
    <n v="3"/>
    <x v="1"/>
    <x v="2"/>
    <d v="2023-05-01T00:00:00"/>
  </r>
  <r>
    <s v="TXN_8436360"/>
    <x v="7"/>
    <n v="2"/>
    <n v="3"/>
    <n v="6"/>
    <x v="2"/>
    <x v="2"/>
    <d v="2023-12-16T00:00:00"/>
  </r>
  <r>
    <s v="TXN_1370465"/>
    <x v="2"/>
    <n v="4"/>
    <n v="1"/>
    <n v="4"/>
    <x v="3"/>
    <x v="2"/>
    <d v="2023-03-25T00:00:00"/>
  </r>
  <r>
    <s v="TXN_7343660"/>
    <x v="3"/>
    <n v="5"/>
    <n v="5"/>
    <n v="25"/>
    <x v="0"/>
    <x v="1"/>
    <d v="2023-08-06T00:00:00"/>
  </r>
  <r>
    <s v="TXN_7777602"/>
    <x v="3"/>
    <n v="1"/>
    <n v="5"/>
    <n v="5"/>
    <x v="1"/>
    <x v="2"/>
    <d v="2023-04-26T00:00:00"/>
  </r>
  <r>
    <s v="TXN_3430805"/>
    <x v="7"/>
    <n v="4"/>
    <n v="3"/>
    <n v="12"/>
    <x v="0"/>
    <x v="2"/>
    <d v="2023-11-12T00:00:00"/>
  </r>
  <r>
    <s v="TXN_3886176"/>
    <x v="2"/>
    <n v="4"/>
    <n v="1"/>
    <n v="4"/>
    <x v="1"/>
    <x v="2"/>
    <m/>
  </r>
  <r>
    <s v="TXN_8219472"/>
    <x v="2"/>
    <n v="4"/>
    <n v="1"/>
    <n v="4"/>
    <x v="0"/>
    <x v="2"/>
    <d v="2023-11-09T00:00:00"/>
  </r>
  <r>
    <s v="TXN_7171303"/>
    <x v="6"/>
    <n v="1"/>
    <n v="4"/>
    <n v="4"/>
    <x v="2"/>
    <x v="2"/>
    <d v="2023-04-30T00:00:00"/>
  </r>
  <r>
    <s v="TXN_2330694"/>
    <x v="3"/>
    <n v="3"/>
    <n v="5"/>
    <n v="15"/>
    <x v="1"/>
    <x v="1"/>
    <d v="2023-05-31T00:00:00"/>
  </r>
  <r>
    <s v="TXN_4476076"/>
    <x v="4"/>
    <n v="2"/>
    <n v="4"/>
    <n v="8"/>
    <x v="3"/>
    <x v="0"/>
    <d v="2023-03-26T00:00:00"/>
  </r>
  <r>
    <s v="TXN_4183749"/>
    <x v="1"/>
    <n v="4"/>
    <n v="3"/>
    <n v="12"/>
    <x v="0"/>
    <x v="0"/>
    <d v="2023-01-25T00:00:00"/>
  </r>
  <r>
    <s v="TXN_8132145"/>
    <x v="8"/>
    <n v="1"/>
    <n v="1.5"/>
    <n v="1.5"/>
    <x v="3"/>
    <x v="2"/>
    <d v="2023-08-04T00:00:00"/>
  </r>
  <r>
    <s v="TXN_9286960"/>
    <x v="2"/>
    <n v="3"/>
    <n v="1"/>
    <n v="3"/>
    <x v="1"/>
    <x v="2"/>
    <d v="2023-12-26T00:00:00"/>
  </r>
  <r>
    <s v="TXN_6901619"/>
    <x v="8"/>
    <n v="2"/>
    <n v="1.5"/>
    <n v="3"/>
    <x v="3"/>
    <x v="1"/>
    <d v="2023-10-16T00:00:00"/>
  </r>
  <r>
    <s v="TXN_6699343"/>
    <x v="7"/>
    <n v="3"/>
    <n v="3"/>
    <n v="9"/>
    <x v="2"/>
    <x v="0"/>
    <d v="2023-10-31T00:00:00"/>
  </r>
  <r>
    <s v="TXN_4461853"/>
    <x v="1"/>
    <n v="5"/>
    <n v="3"/>
    <n v="15"/>
    <x v="0"/>
    <x v="1"/>
    <m/>
  </r>
  <r>
    <s v="TXN_2184573"/>
    <x v="8"/>
    <n v="4"/>
    <n v="1.5"/>
    <n v="6"/>
    <x v="2"/>
    <x v="0"/>
    <d v="2023-04-26T00:00:00"/>
  </r>
  <r>
    <s v="TXN_4779439"/>
    <x v="5"/>
    <n v="4"/>
    <n v="3"/>
    <n v="12"/>
    <x v="2"/>
    <x v="1"/>
    <d v="2023-08-23T00:00:00"/>
  </r>
  <r>
    <s v="TXN_1789504"/>
    <x v="5"/>
    <n v="1"/>
    <n v="5"/>
    <n v="5"/>
    <x v="0"/>
    <x v="2"/>
    <d v="2023-06-12T00:00:00"/>
  </r>
  <r>
    <s v="TXN_6337189"/>
    <x v="1"/>
    <n v="1"/>
    <n v="3"/>
    <n v="3"/>
    <x v="2"/>
    <x v="2"/>
    <d v="2023-04-11T00:00:00"/>
  </r>
  <r>
    <s v="TXN_6071905"/>
    <x v="1"/>
    <n v="1"/>
    <n v="3"/>
    <n v="3"/>
    <x v="2"/>
    <x v="1"/>
    <d v="2023-11-06T00:00:00"/>
  </r>
  <r>
    <s v="TXN_7847913"/>
    <x v="4"/>
    <n v="3"/>
    <n v="4"/>
    <n v="12"/>
    <x v="3"/>
    <x v="1"/>
    <d v="2023-05-17T00:00:00"/>
  </r>
  <r>
    <s v="TXN_1792405"/>
    <x v="8"/>
    <n v="3"/>
    <n v="1.5"/>
    <n v="4.5"/>
    <x v="3"/>
    <x v="0"/>
    <d v="2023-07-06T00:00:00"/>
  </r>
  <r>
    <s v="TXN_6101067"/>
    <x v="4"/>
    <n v="1"/>
    <n v="4"/>
    <n v="4"/>
    <x v="0"/>
    <x v="0"/>
    <d v="2023-09-05T00:00:00"/>
  </r>
  <r>
    <s v="TXN_2260070"/>
    <x v="3"/>
    <n v="1"/>
    <n v="5"/>
    <n v="5"/>
    <x v="1"/>
    <x v="2"/>
    <d v="2023-10-06T00:00:00"/>
  </r>
  <r>
    <s v="TXN_5641209"/>
    <x v="3"/>
    <n v="3"/>
    <n v="5"/>
    <n v="15"/>
    <x v="2"/>
    <x v="0"/>
    <d v="2023-12-03T00:00:00"/>
  </r>
  <r>
    <s v="TXN_3994585"/>
    <x v="1"/>
    <n v="3"/>
    <n v="3"/>
    <n v="9"/>
    <x v="3"/>
    <x v="1"/>
    <d v="2023-07-24T00:00:00"/>
  </r>
  <r>
    <s v="TXN_5202752"/>
    <x v="4"/>
    <n v="5"/>
    <n v="4"/>
    <n v="20"/>
    <x v="0"/>
    <x v="0"/>
    <d v="2023-05-08T00:00:00"/>
  </r>
  <r>
    <s v="TXN_8714850"/>
    <x v="7"/>
    <n v="5"/>
    <n v="3"/>
    <n v="15"/>
    <x v="1"/>
    <x v="1"/>
    <d v="2023-04-30T00:00:00"/>
  </r>
  <r>
    <s v="TXN_3504925"/>
    <x v="4"/>
    <n v="5"/>
    <n v="4"/>
    <n v="20"/>
    <x v="1"/>
    <x v="2"/>
    <d v="2023-09-21T00:00:00"/>
  </r>
  <r>
    <s v="TXN_4919285"/>
    <x v="0"/>
    <n v="4"/>
    <n v="2"/>
    <n v="8"/>
    <x v="1"/>
    <x v="0"/>
    <d v="2023-10-15T00:00:00"/>
  </r>
  <r>
    <s v="TXN_4876398"/>
    <x v="3"/>
    <n v="2"/>
    <n v="5"/>
    <n v="10"/>
    <x v="1"/>
    <x v="2"/>
    <d v="2023-04-21T00:00:00"/>
  </r>
  <r>
    <s v="TXN_5456362"/>
    <x v="4"/>
    <n v="4"/>
    <n v="4"/>
    <n v="16"/>
    <x v="0"/>
    <x v="2"/>
    <d v="2023-07-06T00:00:00"/>
  </r>
  <r>
    <s v="TXN_4377249"/>
    <x v="0"/>
    <n v="3"/>
    <n v="2"/>
    <n v="6"/>
    <x v="3"/>
    <x v="2"/>
    <d v="2023-07-26T00:00:00"/>
  </r>
  <r>
    <s v="TXN_6566716"/>
    <x v="0"/>
    <n v="1"/>
    <n v="2"/>
    <n v="2"/>
    <x v="0"/>
    <x v="2"/>
    <d v="2023-01-01T00:00:00"/>
  </r>
  <r>
    <s v="TXN_1571824"/>
    <x v="2"/>
    <n v="4"/>
    <n v="1"/>
    <n v="4"/>
    <x v="1"/>
    <x v="0"/>
    <d v="2023-10-16T00:00:00"/>
  </r>
  <r>
    <s v="TXN_3920273"/>
    <x v="4"/>
    <n v="4"/>
    <n v="4"/>
    <n v="16"/>
    <x v="3"/>
    <x v="1"/>
    <d v="2023-09-05T00:00:00"/>
  </r>
  <r>
    <s v="TXN_8222593"/>
    <x v="6"/>
    <n v="4"/>
    <n v="4"/>
    <n v="16"/>
    <x v="0"/>
    <x v="2"/>
    <d v="2023-05-11T00:00:00"/>
  </r>
  <r>
    <s v="TXN_5054719"/>
    <x v="6"/>
    <n v="2"/>
    <n v="4"/>
    <n v="8"/>
    <x v="0"/>
    <x v="2"/>
    <d v="2023-04-17T00:00:00"/>
  </r>
  <r>
    <s v="TXN_2242015"/>
    <x v="8"/>
    <n v="2"/>
    <n v="1.5"/>
    <n v="3"/>
    <x v="1"/>
    <x v="2"/>
    <d v="2023-08-26T00:00:00"/>
  </r>
  <r>
    <s v="TXN_5208377"/>
    <x v="5"/>
    <n v="2"/>
    <n v="1.5"/>
    <n v="3"/>
    <x v="2"/>
    <x v="0"/>
    <d v="2023-03-06T00:00:00"/>
  </r>
  <r>
    <s v="TXN_1322520"/>
    <x v="5"/>
    <n v="5"/>
    <n v="5"/>
    <n v="25"/>
    <x v="1"/>
    <x v="2"/>
    <d v="2023-07-12T00:00:00"/>
  </r>
  <r>
    <s v="TXN_7268387"/>
    <x v="7"/>
    <n v="3"/>
    <n v="3"/>
    <n v="9"/>
    <x v="0"/>
    <x v="0"/>
    <d v="2023-04-09T00:00:00"/>
  </r>
  <r>
    <s v="TXN_6268823"/>
    <x v="4"/>
    <n v="2"/>
    <n v="4"/>
    <n v="8"/>
    <x v="3"/>
    <x v="0"/>
    <d v="2023-04-18T00:00:00"/>
  </r>
  <r>
    <s v="TXN_5578828"/>
    <x v="2"/>
    <n v="4"/>
    <n v="1"/>
    <n v="4"/>
    <x v="1"/>
    <x v="1"/>
    <d v="2023-05-12T00:00:00"/>
  </r>
  <r>
    <s v="TXN_5727550"/>
    <x v="0"/>
    <n v="3"/>
    <n v="2"/>
    <n v="6"/>
    <x v="3"/>
    <x v="2"/>
    <d v="2023-10-11T00:00:00"/>
  </r>
  <r>
    <s v="TXN_9597063"/>
    <x v="0"/>
    <n v="2"/>
    <n v="2"/>
    <n v="4"/>
    <x v="3"/>
    <x v="1"/>
    <d v="2023-07-20T00:00:00"/>
  </r>
  <r>
    <s v="TXN_6867132"/>
    <x v="1"/>
    <n v="2"/>
    <n v="3"/>
    <n v="6"/>
    <x v="1"/>
    <x v="1"/>
    <d v="2023-02-01T00:00:00"/>
  </r>
  <r>
    <s v="TXN_1971865"/>
    <x v="1"/>
    <n v="1"/>
    <n v="3"/>
    <n v="3"/>
    <x v="3"/>
    <x v="0"/>
    <d v="2023-04-11T00:00:00"/>
  </r>
  <r>
    <s v="TXN_6067546"/>
    <x v="8"/>
    <n v="5"/>
    <n v="1.5"/>
    <n v="7.5"/>
    <x v="3"/>
    <x v="0"/>
    <d v="2023-08-25T00:00:00"/>
  </r>
  <r>
    <s v="TXN_3699636"/>
    <x v="5"/>
    <n v="3"/>
    <n v="5"/>
    <n v="15"/>
    <x v="3"/>
    <x v="2"/>
    <d v="2023-01-12T00:00:00"/>
  </r>
  <r>
    <s v="TXN_6724588"/>
    <x v="7"/>
    <n v="2"/>
    <n v="3"/>
    <n v="6"/>
    <x v="3"/>
    <x v="1"/>
    <d v="2023-10-16T00:00:00"/>
  </r>
  <r>
    <s v="TXN_2929426"/>
    <x v="3"/>
    <n v="5"/>
    <n v="5"/>
    <n v="25"/>
    <x v="1"/>
    <x v="0"/>
    <d v="2023-01-29T00:00:00"/>
  </r>
  <r>
    <s v="TXN_9669749"/>
    <x v="3"/>
    <n v="4"/>
    <n v="5"/>
    <n v="20"/>
    <x v="0"/>
    <x v="2"/>
    <d v="2023-03-26T00:00:00"/>
  </r>
  <r>
    <s v="TXN_9105374"/>
    <x v="7"/>
    <n v="4"/>
    <n v="3"/>
    <n v="12"/>
    <x v="3"/>
    <x v="1"/>
    <d v="2023-01-25T00:00:00"/>
  </r>
  <r>
    <s v="TXN_6553641"/>
    <x v="3"/>
    <n v="1"/>
    <n v="5"/>
    <n v="5"/>
    <x v="1"/>
    <x v="1"/>
    <m/>
  </r>
  <r>
    <s v="TXN_3346749"/>
    <x v="8"/>
    <n v="2"/>
    <n v="1.5"/>
    <n v="3"/>
    <x v="2"/>
    <x v="2"/>
    <d v="2023-05-06T00:00:00"/>
  </r>
  <r>
    <s v="TXN_5594043"/>
    <x v="1"/>
    <n v="4"/>
    <n v="3"/>
    <n v="12"/>
    <x v="1"/>
    <x v="2"/>
    <d v="2023-06-22T00:00:00"/>
  </r>
  <r>
    <s v="TXN_1170807"/>
    <x v="4"/>
    <n v="5"/>
    <n v="4"/>
    <n v="20"/>
    <x v="2"/>
    <x v="1"/>
    <d v="2023-09-15T00:00:00"/>
  </r>
  <r>
    <s v="TXN_2882571"/>
    <x v="1"/>
    <n v="1"/>
    <n v="3"/>
    <n v="3"/>
    <x v="0"/>
    <x v="1"/>
    <d v="2023-05-24T00:00:00"/>
  </r>
  <r>
    <s v="TXN_6640488"/>
    <x v="8"/>
    <n v="3"/>
    <n v="1.5"/>
    <n v="4.5"/>
    <x v="0"/>
    <x v="0"/>
    <d v="2023-04-01T00:00:00"/>
  </r>
  <r>
    <s v="TXN_7621512"/>
    <x v="3"/>
    <n v="4"/>
    <n v="5"/>
    <n v="20"/>
    <x v="3"/>
    <x v="1"/>
    <d v="2023-07-24T00:00:00"/>
  </r>
  <r>
    <s v="TXN_9529846"/>
    <x v="4"/>
    <n v="5"/>
    <n v="4"/>
    <n v="20"/>
    <x v="2"/>
    <x v="2"/>
    <d v="2023-09-23T00:00:00"/>
  </r>
  <r>
    <s v="TXN_3338458"/>
    <x v="1"/>
    <n v="5"/>
    <n v="3"/>
    <n v="15"/>
    <x v="1"/>
    <x v="2"/>
    <d v="2023-10-27T00:00:00"/>
  </r>
  <r>
    <s v="TXN_3104867"/>
    <x v="7"/>
    <n v="3"/>
    <n v="3"/>
    <n v="9"/>
    <x v="3"/>
    <x v="2"/>
    <d v="2023-03-28T00:00:00"/>
  </r>
  <r>
    <s v="TXN_9286019"/>
    <x v="4"/>
    <n v="4"/>
    <n v="4"/>
    <n v="16"/>
    <x v="1"/>
    <x v="0"/>
    <d v="2023-05-28T00:00:00"/>
  </r>
  <r>
    <s v="TXN_1923263"/>
    <x v="6"/>
    <n v="4"/>
    <n v="4"/>
    <n v="16"/>
    <x v="3"/>
    <x v="1"/>
    <d v="2023-03-12T00:00:00"/>
  </r>
  <r>
    <s v="TXN_3172621"/>
    <x v="6"/>
    <n v="4"/>
    <n v="4"/>
    <n v="16"/>
    <x v="2"/>
    <x v="0"/>
    <d v="2023-10-15T00:00:00"/>
  </r>
  <r>
    <s v="TXN_5830991"/>
    <x v="2"/>
    <n v="4"/>
    <n v="1"/>
    <n v="4"/>
    <x v="2"/>
    <x v="0"/>
    <d v="2023-11-07T00:00:00"/>
  </r>
  <r>
    <s v="TXN_8719561"/>
    <x v="5"/>
    <n v="3"/>
    <n v="3"/>
    <n v="9"/>
    <x v="2"/>
    <x v="2"/>
    <d v="2023-09-13T00:00:00"/>
  </r>
  <r>
    <s v="TXN_7396497"/>
    <x v="5"/>
    <n v="5"/>
    <n v="4"/>
    <n v="20"/>
    <x v="0"/>
    <x v="1"/>
    <d v="2023-02-10T00:00:00"/>
  </r>
  <r>
    <s v="TXN_7629728"/>
    <x v="0"/>
    <n v="4"/>
    <n v="2"/>
    <n v="8"/>
    <x v="3"/>
    <x v="1"/>
    <d v="2023-12-15T00:00:00"/>
  </r>
  <r>
    <s v="TXN_2831842"/>
    <x v="1"/>
    <n v="2"/>
    <n v="3"/>
    <n v="6"/>
    <x v="2"/>
    <x v="2"/>
    <d v="2023-05-20T00:00:00"/>
  </r>
  <r>
    <s v="TXN_8903958"/>
    <x v="7"/>
    <n v="2"/>
    <n v="3"/>
    <n v="6"/>
    <x v="3"/>
    <x v="0"/>
    <d v="2023-11-12T00:00:00"/>
  </r>
  <r>
    <s v="TXN_8951525"/>
    <x v="7"/>
    <n v="3"/>
    <n v="3"/>
    <n v="9"/>
    <x v="2"/>
    <x v="2"/>
    <d v="2023-06-08T00:00:00"/>
  </r>
  <r>
    <s v="TXN_7511261"/>
    <x v="7"/>
    <n v="3"/>
    <n v="3"/>
    <n v="9"/>
    <x v="2"/>
    <x v="2"/>
    <d v="2023-03-26T00:00:00"/>
  </r>
  <r>
    <s v="TXN_3896128"/>
    <x v="1"/>
    <n v="1"/>
    <n v="3"/>
    <n v="3"/>
    <x v="2"/>
    <x v="1"/>
    <d v="2023-01-04T00:00:00"/>
  </r>
  <r>
    <s v="TXN_6554101"/>
    <x v="4"/>
    <n v="3"/>
    <n v="4"/>
    <n v="12"/>
    <x v="2"/>
    <x v="2"/>
    <d v="2023-02-15T00:00:00"/>
  </r>
  <r>
    <s v="TXN_3500571"/>
    <x v="7"/>
    <n v="3"/>
    <n v="3"/>
    <n v="9"/>
    <x v="2"/>
    <x v="0"/>
    <d v="2023-05-03T00:00:00"/>
  </r>
  <r>
    <s v="TXN_6761273"/>
    <x v="7"/>
    <n v="5"/>
    <n v="3"/>
    <n v="15"/>
    <x v="3"/>
    <x v="2"/>
    <d v="2023-10-13T00:00:00"/>
  </r>
  <r>
    <s v="TXN_6076602"/>
    <x v="8"/>
    <n v="4"/>
    <n v="1.5"/>
    <n v="6"/>
    <x v="0"/>
    <x v="1"/>
    <d v="2023-02-07T00:00:00"/>
  </r>
  <r>
    <s v="TXN_9196658"/>
    <x v="2"/>
    <n v="1"/>
    <n v="1"/>
    <n v="1"/>
    <x v="2"/>
    <x v="0"/>
    <d v="2023-06-12T00:00:00"/>
  </r>
  <r>
    <s v="TXN_7330330"/>
    <x v="2"/>
    <n v="2"/>
    <n v="1"/>
    <n v="2"/>
    <x v="2"/>
    <x v="1"/>
    <d v="2023-10-16T00:00:00"/>
  </r>
  <r>
    <s v="TXN_8953489"/>
    <x v="7"/>
    <n v="5"/>
    <n v="3"/>
    <n v="15"/>
    <x v="2"/>
    <x v="1"/>
    <m/>
  </r>
  <r>
    <s v="TXN_2340643"/>
    <x v="3"/>
    <n v="5"/>
    <n v="5"/>
    <n v="25"/>
    <x v="1"/>
    <x v="1"/>
    <d v="2023-01-05T00:00:00"/>
  </r>
  <r>
    <s v="TXN_4397349"/>
    <x v="6"/>
    <n v="2"/>
    <n v="4"/>
    <n v="8"/>
    <x v="2"/>
    <x v="2"/>
    <d v="2023-06-08T00:00:00"/>
  </r>
  <r>
    <s v="TXN_1072984"/>
    <x v="8"/>
    <n v="4"/>
    <n v="1.5"/>
    <n v="6"/>
    <x v="3"/>
    <x v="2"/>
    <d v="2023-01-11T00:00:00"/>
  </r>
  <r>
    <s v="TXN_3238759"/>
    <x v="6"/>
    <n v="5"/>
    <n v="4"/>
    <n v="20"/>
    <x v="3"/>
    <x v="1"/>
    <d v="2023-07-20T00:00:00"/>
  </r>
  <r>
    <s v="TXN_9802771"/>
    <x v="4"/>
    <n v="2"/>
    <n v="4"/>
    <n v="8"/>
    <x v="2"/>
    <x v="2"/>
    <d v="2023-02-11T00:00:00"/>
  </r>
  <r>
    <s v="TXN_3858607"/>
    <x v="3"/>
    <n v="5"/>
    <n v="5"/>
    <n v="25"/>
    <x v="3"/>
    <x v="2"/>
    <d v="2023-12-02T00:00:00"/>
  </r>
  <r>
    <s v="TXN_3585602"/>
    <x v="7"/>
    <n v="2"/>
    <n v="3"/>
    <n v="6"/>
    <x v="1"/>
    <x v="1"/>
    <d v="2023-04-17T00:00:00"/>
  </r>
  <r>
    <s v="TXN_8096618"/>
    <x v="0"/>
    <n v="4"/>
    <n v="2"/>
    <n v="8"/>
    <x v="3"/>
    <x v="1"/>
    <d v="2023-02-20T00:00:00"/>
  </r>
  <r>
    <s v="TXN_8363711"/>
    <x v="4"/>
    <n v="2"/>
    <n v="4"/>
    <n v="8"/>
    <x v="2"/>
    <x v="1"/>
    <d v="2023-05-21T00:00:00"/>
  </r>
  <r>
    <s v="TXN_2639283"/>
    <x v="7"/>
    <n v="5"/>
    <n v="3"/>
    <n v="15"/>
    <x v="3"/>
    <x v="0"/>
    <d v="2023-08-13T00:00:00"/>
  </r>
  <r>
    <s v="TXN_1505837"/>
    <x v="6"/>
    <n v="3"/>
    <n v="4"/>
    <n v="12"/>
    <x v="0"/>
    <x v="1"/>
    <d v="2023-12-15T00:00:00"/>
  </r>
  <r>
    <s v="TXN_2566299"/>
    <x v="7"/>
    <n v="2"/>
    <n v="3"/>
    <n v="6"/>
    <x v="1"/>
    <x v="2"/>
    <d v="2023-08-20T00:00:00"/>
  </r>
  <r>
    <s v="TXN_7292790"/>
    <x v="2"/>
    <n v="4"/>
    <n v="1"/>
    <n v="4"/>
    <x v="1"/>
    <x v="1"/>
    <d v="2023-06-13T00:00:00"/>
  </r>
  <r>
    <s v="TXN_7631496"/>
    <x v="2"/>
    <n v="3"/>
    <n v="1"/>
    <n v="3"/>
    <x v="3"/>
    <x v="1"/>
    <d v="2023-11-05T00:00:00"/>
  </r>
  <r>
    <s v="TXN_6251282"/>
    <x v="7"/>
    <n v="4"/>
    <n v="3"/>
    <n v="12"/>
    <x v="1"/>
    <x v="2"/>
    <d v="2023-11-15T00:00:00"/>
  </r>
  <r>
    <s v="TXN_6266750"/>
    <x v="6"/>
    <n v="1"/>
    <n v="4"/>
    <n v="4"/>
    <x v="1"/>
    <x v="2"/>
    <d v="2023-04-21T00:00:00"/>
  </r>
  <r>
    <s v="TXN_6770844"/>
    <x v="7"/>
    <n v="1"/>
    <n v="3"/>
    <n v="3"/>
    <x v="3"/>
    <x v="1"/>
    <d v="2023-05-08T00:00:00"/>
  </r>
  <r>
    <s v="TXN_4152460"/>
    <x v="6"/>
    <n v="3"/>
    <n v="4"/>
    <n v="12"/>
    <x v="1"/>
    <x v="0"/>
    <d v="2023-05-01T00:00:00"/>
  </r>
  <r>
    <s v="TXN_4699911"/>
    <x v="0"/>
    <n v="2"/>
    <n v="2"/>
    <n v="4"/>
    <x v="3"/>
    <x v="0"/>
    <d v="2023-07-21T00:00:00"/>
  </r>
  <r>
    <s v="TXN_3472433"/>
    <x v="0"/>
    <n v="4"/>
    <n v="2"/>
    <n v="8"/>
    <x v="0"/>
    <x v="0"/>
    <d v="2023-10-29T00:00:00"/>
  </r>
  <r>
    <s v="TXN_7179827"/>
    <x v="7"/>
    <n v="4"/>
    <n v="3"/>
    <n v="12"/>
    <x v="0"/>
    <x v="1"/>
    <d v="2023-06-28T00:00:00"/>
  </r>
  <r>
    <s v="TXN_7568112"/>
    <x v="3"/>
    <n v="5"/>
    <n v="5"/>
    <n v="25"/>
    <x v="1"/>
    <x v="2"/>
    <d v="2023-06-29T00:00:00"/>
  </r>
  <r>
    <s v="TXN_9800351"/>
    <x v="8"/>
    <n v="3"/>
    <n v="1.5"/>
    <n v="4.5"/>
    <x v="1"/>
    <x v="2"/>
    <d v="2023-06-16T00:00:00"/>
  </r>
  <r>
    <s v="TXN_4216821"/>
    <x v="8"/>
    <n v="2"/>
    <n v="1.5"/>
    <n v="3"/>
    <x v="2"/>
    <x v="2"/>
    <d v="2023-07-02T00:00:00"/>
  </r>
  <r>
    <s v="TXN_6378070"/>
    <x v="5"/>
    <n v="3"/>
    <n v="4"/>
    <n v="12"/>
    <x v="3"/>
    <x v="2"/>
    <d v="2023-09-26T00:00:00"/>
  </r>
  <r>
    <s v="TXN_2889185"/>
    <x v="5"/>
    <n v="2"/>
    <n v="4"/>
    <n v="8"/>
    <x v="2"/>
    <x v="2"/>
    <d v="2023-10-21T00:00:00"/>
  </r>
  <r>
    <s v="TXN_5188872"/>
    <x v="1"/>
    <n v="3"/>
    <n v="3"/>
    <n v="9"/>
    <x v="2"/>
    <x v="1"/>
    <d v="2023-07-21T00:00:00"/>
  </r>
  <r>
    <s v="TXN_9927220"/>
    <x v="7"/>
    <n v="5"/>
    <n v="3"/>
    <n v="15"/>
    <x v="1"/>
    <x v="2"/>
    <d v="2023-09-14T00:00:00"/>
  </r>
  <r>
    <s v="TXN_5118799"/>
    <x v="2"/>
    <n v="2"/>
    <n v="1"/>
    <n v="2"/>
    <x v="1"/>
    <x v="0"/>
    <d v="2023-04-23T00:00:00"/>
  </r>
  <r>
    <s v="TXN_2110490"/>
    <x v="5"/>
    <n v="1"/>
    <n v="5"/>
    <n v="5"/>
    <x v="1"/>
    <x v="1"/>
    <d v="2023-08-29T00:00:00"/>
  </r>
  <r>
    <s v="TXN_7187578"/>
    <x v="3"/>
    <n v="5"/>
    <n v="5"/>
    <n v="25"/>
    <x v="2"/>
    <x v="1"/>
    <d v="2023-11-20T00:00:00"/>
  </r>
  <r>
    <s v="TXN_4914203"/>
    <x v="5"/>
    <n v="1"/>
    <n v="2"/>
    <n v="2"/>
    <x v="0"/>
    <x v="2"/>
    <d v="2023-12-02T00:00:00"/>
  </r>
  <r>
    <s v="TXN_6046363"/>
    <x v="4"/>
    <n v="5"/>
    <n v="4"/>
    <n v="20"/>
    <x v="3"/>
    <x v="0"/>
    <d v="2023-03-20T00:00:00"/>
  </r>
  <r>
    <s v="TXN_2920578"/>
    <x v="4"/>
    <n v="4"/>
    <n v="4"/>
    <n v="16"/>
    <x v="1"/>
    <x v="2"/>
    <d v="2023-09-06T00:00:00"/>
  </r>
  <r>
    <s v="TXN_7117210"/>
    <x v="7"/>
    <n v="4"/>
    <n v="3"/>
    <n v="12"/>
    <x v="3"/>
    <x v="1"/>
    <d v="2023-09-25T00:00:00"/>
  </r>
  <r>
    <s v="TXN_5823330"/>
    <x v="3"/>
    <n v="3"/>
    <n v="5"/>
    <n v="15"/>
    <x v="3"/>
    <x v="1"/>
    <d v="2023-10-19T00:00:00"/>
  </r>
  <r>
    <s v="TXN_8155540"/>
    <x v="3"/>
    <n v="5"/>
    <n v="5"/>
    <n v="25"/>
    <x v="0"/>
    <x v="0"/>
    <d v="2023-03-19T00:00:00"/>
  </r>
  <r>
    <s v="TXN_2418609"/>
    <x v="6"/>
    <n v="2"/>
    <n v="4"/>
    <n v="8"/>
    <x v="3"/>
    <x v="1"/>
    <d v="2023-09-06T00:00:00"/>
  </r>
  <r>
    <s v="TXN_8570149"/>
    <x v="8"/>
    <n v="1"/>
    <n v="1.5"/>
    <n v="1.5"/>
    <x v="0"/>
    <x v="2"/>
    <d v="2023-06-03T00:00:00"/>
  </r>
  <r>
    <s v="TXN_4382802"/>
    <x v="6"/>
    <n v="1"/>
    <n v="4"/>
    <n v="4"/>
    <x v="3"/>
    <x v="0"/>
    <d v="2023-07-17T00:00:00"/>
  </r>
  <r>
    <s v="TXN_9970964"/>
    <x v="4"/>
    <n v="2"/>
    <n v="4"/>
    <n v="8"/>
    <x v="0"/>
    <x v="0"/>
    <d v="2023-07-07T00:00:00"/>
  </r>
  <r>
    <s v="TXN_5946779"/>
    <x v="6"/>
    <n v="1"/>
    <n v="4"/>
    <n v="4"/>
    <x v="1"/>
    <x v="1"/>
    <d v="2023-05-25T00:00:00"/>
  </r>
  <r>
    <s v="TXN_2253622"/>
    <x v="6"/>
    <n v="5"/>
    <n v="4"/>
    <n v="20"/>
    <x v="3"/>
    <x v="0"/>
    <d v="2023-09-30T00:00:00"/>
  </r>
  <r>
    <s v="TXN_8982328"/>
    <x v="7"/>
    <n v="1"/>
    <n v="3"/>
    <n v="3"/>
    <x v="0"/>
    <x v="1"/>
    <d v="2023-10-20T00:00:00"/>
  </r>
  <r>
    <s v="TXN_9969706"/>
    <x v="1"/>
    <n v="5"/>
    <n v="3"/>
    <n v="15"/>
    <x v="2"/>
    <x v="1"/>
    <d v="2023-03-17T00:00:00"/>
  </r>
  <r>
    <s v="TXN_1915046"/>
    <x v="6"/>
    <n v="5"/>
    <n v="4"/>
    <n v="20"/>
    <x v="2"/>
    <x v="2"/>
    <d v="2023-04-12T00:00:00"/>
  </r>
  <r>
    <s v="TXN_4624019"/>
    <x v="2"/>
    <n v="1"/>
    <n v="1"/>
    <n v="1"/>
    <x v="1"/>
    <x v="2"/>
    <d v="2023-02-12T00:00:00"/>
  </r>
  <r>
    <s v="TXN_1773856"/>
    <x v="1"/>
    <n v="2"/>
    <n v="3"/>
    <n v="6"/>
    <x v="2"/>
    <x v="2"/>
    <d v="2023-08-11T00:00:00"/>
  </r>
  <r>
    <s v="TXN_6667083"/>
    <x v="1"/>
    <n v="1"/>
    <n v="3"/>
    <n v="3"/>
    <x v="1"/>
    <x v="2"/>
    <d v="2023-03-19T00:00:00"/>
  </r>
  <r>
    <s v="TXN_8639879"/>
    <x v="5"/>
    <n v="2"/>
    <n v="5"/>
    <n v="10"/>
    <x v="2"/>
    <x v="0"/>
    <d v="2023-03-09T00:00:00"/>
  </r>
  <r>
    <s v="TXN_5144090"/>
    <x v="0"/>
    <n v="5"/>
    <n v="2"/>
    <n v="10"/>
    <x v="3"/>
    <x v="2"/>
    <d v="2023-05-15T00:00:00"/>
  </r>
  <r>
    <s v="TXN_1322421"/>
    <x v="7"/>
    <n v="4"/>
    <n v="3"/>
    <n v="12"/>
    <x v="0"/>
    <x v="0"/>
    <d v="2023-03-05T00:00:00"/>
  </r>
  <r>
    <s v="TXN_4474441"/>
    <x v="0"/>
    <n v="4"/>
    <n v="2"/>
    <n v="8"/>
    <x v="0"/>
    <x v="2"/>
    <d v="2023-08-23T00:00:00"/>
  </r>
  <r>
    <s v="TXN_6598343"/>
    <x v="7"/>
    <n v="4"/>
    <n v="3"/>
    <n v="12"/>
    <x v="2"/>
    <x v="2"/>
    <d v="2023-07-10T00:00:00"/>
  </r>
  <r>
    <s v="TXN_1297663"/>
    <x v="4"/>
    <n v="5"/>
    <n v="4"/>
    <n v="20"/>
    <x v="0"/>
    <x v="2"/>
    <d v="2023-09-12T00:00:00"/>
  </r>
  <r>
    <s v="TXN_4972634"/>
    <x v="6"/>
    <n v="5"/>
    <n v="4"/>
    <n v="20"/>
    <x v="0"/>
    <x v="1"/>
    <d v="2023-07-22T00:00:00"/>
  </r>
  <r>
    <s v="TXN_7362776"/>
    <x v="2"/>
    <n v="5"/>
    <n v="1"/>
    <n v="5"/>
    <x v="2"/>
    <x v="1"/>
    <d v="2023-01-26T00:00:00"/>
  </r>
  <r>
    <s v="TXN_8159772"/>
    <x v="1"/>
    <n v="1"/>
    <n v="3"/>
    <n v="3"/>
    <x v="0"/>
    <x v="1"/>
    <d v="2023-10-02T00:00:00"/>
  </r>
  <r>
    <s v="TXN_7137800"/>
    <x v="8"/>
    <n v="1"/>
    <n v="1.5"/>
    <n v="1.5"/>
    <x v="2"/>
    <x v="0"/>
    <d v="2023-02-22T00:00:00"/>
  </r>
  <r>
    <s v="TXN_4360970"/>
    <x v="8"/>
    <n v="3"/>
    <n v="1.5"/>
    <n v="4.5"/>
    <x v="3"/>
    <x v="0"/>
    <d v="2023-06-28T00:00:00"/>
  </r>
  <r>
    <s v="TXN_6529863"/>
    <x v="3"/>
    <n v="3"/>
    <n v="5"/>
    <n v="15"/>
    <x v="2"/>
    <x v="0"/>
    <d v="2023-08-16T00:00:00"/>
  </r>
  <r>
    <s v="TXN_3886583"/>
    <x v="8"/>
    <n v="3"/>
    <n v="1.5"/>
    <n v="4.5"/>
    <x v="3"/>
    <x v="1"/>
    <d v="2023-05-03T00:00:00"/>
  </r>
  <r>
    <s v="TXN_9315004"/>
    <x v="6"/>
    <n v="5"/>
    <n v="4"/>
    <n v="20"/>
    <x v="3"/>
    <x v="1"/>
    <d v="2023-12-21T00:00:00"/>
  </r>
  <r>
    <s v="TXN_1624458"/>
    <x v="8"/>
    <n v="4"/>
    <n v="1.5"/>
    <n v="6"/>
    <x v="3"/>
    <x v="2"/>
    <m/>
  </r>
  <r>
    <s v="TXN_4039864"/>
    <x v="1"/>
    <n v="2"/>
    <n v="3"/>
    <n v="6"/>
    <x v="1"/>
    <x v="1"/>
    <d v="2023-07-24T00:00:00"/>
  </r>
  <r>
    <s v="TXN_8901988"/>
    <x v="5"/>
    <n v="5"/>
    <n v="1.5"/>
    <n v="7.5"/>
    <x v="3"/>
    <x v="1"/>
    <d v="2023-01-21T00:00:00"/>
  </r>
  <r>
    <s v="TXN_8103754"/>
    <x v="3"/>
    <n v="5"/>
    <n v="5"/>
    <n v="25"/>
    <x v="1"/>
    <x v="0"/>
    <d v="2023-01-29T00:00:00"/>
  </r>
  <r>
    <s v="TXN_6318017"/>
    <x v="8"/>
    <n v="3"/>
    <n v="1.5"/>
    <n v="4.5"/>
    <x v="1"/>
    <x v="1"/>
    <d v="2023-06-23T00:00:00"/>
  </r>
  <r>
    <s v="TXN_9608271"/>
    <x v="0"/>
    <n v="2"/>
    <n v="2"/>
    <n v="4"/>
    <x v="2"/>
    <x v="2"/>
    <d v="2023-10-24T00:00:00"/>
  </r>
  <r>
    <s v="TXN_4583009"/>
    <x v="3"/>
    <n v="5"/>
    <n v="5"/>
    <n v="25"/>
    <x v="0"/>
    <x v="1"/>
    <d v="2023-01-08T00:00:00"/>
  </r>
  <r>
    <s v="TXN_2536821"/>
    <x v="3"/>
    <n v="5"/>
    <n v="5"/>
    <n v="25"/>
    <x v="2"/>
    <x v="0"/>
    <d v="2023-12-01T00:00:00"/>
  </r>
  <r>
    <s v="TXN_5820621"/>
    <x v="2"/>
    <n v="5"/>
    <n v="1"/>
    <n v="5"/>
    <x v="2"/>
    <x v="1"/>
    <d v="2023-12-01T00:00:00"/>
  </r>
  <r>
    <s v="TXN_2878994"/>
    <x v="6"/>
    <n v="1"/>
    <n v="4"/>
    <n v="4"/>
    <x v="2"/>
    <x v="2"/>
    <d v="2023-05-19T00:00:00"/>
  </r>
  <r>
    <s v="TXN_8014973"/>
    <x v="5"/>
    <n v="3"/>
    <n v="5"/>
    <n v="15"/>
    <x v="2"/>
    <x v="1"/>
    <d v="2023-08-09T00:00:00"/>
  </r>
  <r>
    <s v="TXN_6492477"/>
    <x v="0"/>
    <n v="5"/>
    <n v="2"/>
    <n v="10"/>
    <x v="2"/>
    <x v="2"/>
    <d v="2023-02-03T00:00:00"/>
  </r>
  <r>
    <s v="TXN_8549600"/>
    <x v="0"/>
    <n v="3"/>
    <n v="2"/>
    <n v="6"/>
    <x v="3"/>
    <x v="0"/>
    <d v="2023-11-19T00:00:00"/>
  </r>
  <r>
    <s v="TXN_4496616"/>
    <x v="3"/>
    <n v="5"/>
    <n v="5"/>
    <n v="25"/>
    <x v="2"/>
    <x v="0"/>
    <d v="2023-10-07T00:00:00"/>
  </r>
  <r>
    <s v="TXN_3190538"/>
    <x v="0"/>
    <n v="2"/>
    <n v="2"/>
    <n v="4"/>
    <x v="3"/>
    <x v="2"/>
    <d v="2023-06-03T00:00:00"/>
  </r>
  <r>
    <s v="TXN_8863649"/>
    <x v="2"/>
    <n v="1"/>
    <n v="1"/>
    <n v="1"/>
    <x v="0"/>
    <x v="1"/>
    <d v="2023-03-05T00:00:00"/>
  </r>
  <r>
    <s v="TXN_8078312"/>
    <x v="2"/>
    <n v="1"/>
    <n v="1"/>
    <n v="1"/>
    <x v="2"/>
    <x v="2"/>
    <d v="2023-09-24T00:00:00"/>
  </r>
  <r>
    <s v="TXN_6306644"/>
    <x v="5"/>
    <n v="2"/>
    <n v="3"/>
    <n v="6"/>
    <x v="3"/>
    <x v="2"/>
    <d v="2023-06-15T00:00:00"/>
  </r>
  <r>
    <s v="TXN_9836829"/>
    <x v="2"/>
    <n v="5"/>
    <n v="1"/>
    <n v="5"/>
    <x v="2"/>
    <x v="0"/>
    <d v="2023-10-15T00:00:00"/>
  </r>
  <r>
    <s v="TXN_8942829"/>
    <x v="3"/>
    <n v="5"/>
    <n v="5"/>
    <n v="25"/>
    <x v="1"/>
    <x v="2"/>
    <d v="2023-03-11T00:00:00"/>
  </r>
  <r>
    <s v="TXN_1604072"/>
    <x v="0"/>
    <n v="2"/>
    <n v="2"/>
    <n v="4"/>
    <x v="2"/>
    <x v="2"/>
    <d v="2023-01-01T00:00:00"/>
  </r>
  <r>
    <s v="TXN_3673322"/>
    <x v="5"/>
    <n v="2"/>
    <n v="5"/>
    <n v="10"/>
    <x v="0"/>
    <x v="0"/>
    <d v="2023-04-24T00:00:00"/>
  </r>
  <r>
    <s v="TXN_1830432"/>
    <x v="2"/>
    <n v="3"/>
    <n v="1"/>
    <n v="3"/>
    <x v="3"/>
    <x v="0"/>
    <d v="2023-11-02T00:00:00"/>
  </r>
  <r>
    <s v="TXN_4314504"/>
    <x v="1"/>
    <n v="1"/>
    <n v="3"/>
    <n v="3"/>
    <x v="2"/>
    <x v="1"/>
    <d v="2023-06-01T00:00:00"/>
  </r>
  <r>
    <s v="TXN_2880516"/>
    <x v="8"/>
    <n v="1"/>
    <n v="1.5"/>
    <n v="1.5"/>
    <x v="1"/>
    <x v="1"/>
    <d v="2023-03-26T00:00:00"/>
  </r>
  <r>
    <s v="TXN_4649079"/>
    <x v="2"/>
    <n v="4"/>
    <n v="1"/>
    <n v="4"/>
    <x v="2"/>
    <x v="0"/>
    <d v="2023-07-26T00:00:00"/>
  </r>
  <r>
    <s v="TXN_6383336"/>
    <x v="1"/>
    <n v="2"/>
    <n v="3"/>
    <n v="6"/>
    <x v="2"/>
    <x v="0"/>
    <d v="2023-01-21T00:00:00"/>
  </r>
  <r>
    <s v="TXN_7605163"/>
    <x v="3"/>
    <n v="1"/>
    <n v="5"/>
    <n v="5"/>
    <x v="2"/>
    <x v="0"/>
    <d v="2023-08-15T00:00:00"/>
  </r>
  <r>
    <s v="TXN_2294603"/>
    <x v="8"/>
    <n v="1"/>
    <n v="1.5"/>
    <n v="1.5"/>
    <x v="0"/>
    <x v="0"/>
    <d v="2023-09-02T00:00:00"/>
  </r>
  <r>
    <s v="TXN_7097760"/>
    <x v="0"/>
    <n v="3"/>
    <n v="2"/>
    <n v="6"/>
    <x v="3"/>
    <x v="2"/>
    <d v="2023-10-24T00:00:00"/>
  </r>
  <r>
    <s v="TXN_1998357"/>
    <x v="1"/>
    <n v="2"/>
    <n v="3"/>
    <n v="6"/>
    <x v="3"/>
    <x v="2"/>
    <m/>
  </r>
  <r>
    <s v="TXN_1220061"/>
    <x v="6"/>
    <n v="3"/>
    <n v="4"/>
    <n v="12"/>
    <x v="3"/>
    <x v="1"/>
    <d v="2023-09-03T00:00:00"/>
  </r>
  <r>
    <s v="TXN_9944500"/>
    <x v="4"/>
    <m/>
    <n v="4"/>
    <m/>
    <x v="1"/>
    <x v="1"/>
    <d v="2023-01-03T00:00:00"/>
  </r>
  <r>
    <s v="TXN_1329167"/>
    <x v="8"/>
    <n v="5"/>
    <n v="1.5"/>
    <n v="7.5"/>
    <x v="2"/>
    <x v="0"/>
    <d v="2023-01-14T00:00:00"/>
  </r>
  <r>
    <s v="TXN_3463337"/>
    <x v="7"/>
    <n v="5"/>
    <n v="3"/>
    <n v="15"/>
    <x v="0"/>
    <x v="1"/>
    <d v="2023-09-20T00:00:00"/>
  </r>
  <r>
    <s v="TXN_8016623"/>
    <x v="8"/>
    <n v="2"/>
    <n v="1.5"/>
    <n v="3"/>
    <x v="1"/>
    <x v="0"/>
    <d v="2023-05-09T00:00:00"/>
  </r>
  <r>
    <s v="TXN_9525078"/>
    <x v="3"/>
    <n v="5"/>
    <n v="5"/>
    <n v="25"/>
    <x v="2"/>
    <x v="0"/>
    <d v="2023-07-23T00:00:00"/>
  </r>
  <r>
    <s v="TXN_2841233"/>
    <x v="2"/>
    <n v="1"/>
    <n v="1"/>
    <n v="1"/>
    <x v="1"/>
    <x v="0"/>
    <d v="2023-12-01T00:00:00"/>
  </r>
  <r>
    <s v="TXN_1458905"/>
    <x v="6"/>
    <n v="1"/>
    <n v="4"/>
    <n v="4"/>
    <x v="3"/>
    <x v="0"/>
    <d v="2023-02-19T00:00:00"/>
  </r>
  <r>
    <s v="TXN_3977520"/>
    <x v="0"/>
    <n v="5"/>
    <n v="2"/>
    <n v="10"/>
    <x v="2"/>
    <x v="2"/>
    <d v="2023-08-08T00:00:00"/>
  </r>
  <r>
    <s v="TXN_3330279"/>
    <x v="1"/>
    <n v="1"/>
    <n v="3"/>
    <n v="3"/>
    <x v="0"/>
    <x v="2"/>
    <d v="2023-11-13T00:00:00"/>
  </r>
  <r>
    <s v="TXN_6234882"/>
    <x v="2"/>
    <n v="4"/>
    <n v="1"/>
    <n v="4"/>
    <x v="0"/>
    <x v="2"/>
    <d v="2023-01-01T00:00:00"/>
  </r>
  <r>
    <s v="TXN_9970653"/>
    <x v="5"/>
    <n v="5"/>
    <n v="4"/>
    <n v="20"/>
    <x v="3"/>
    <x v="0"/>
    <d v="2023-12-30T00:00:00"/>
  </r>
  <r>
    <s v="TXN_4185160"/>
    <x v="5"/>
    <n v="2"/>
    <n v="2"/>
    <n v="4"/>
    <x v="0"/>
    <x v="1"/>
    <d v="2023-05-04T00:00:00"/>
  </r>
  <r>
    <s v="TXN_6093955"/>
    <x v="8"/>
    <n v="5"/>
    <n v="1.5"/>
    <n v="7.5"/>
    <x v="2"/>
    <x v="0"/>
    <d v="2023-01-01T00:00:00"/>
  </r>
  <r>
    <s v="TXN_2074343"/>
    <x v="5"/>
    <n v="3"/>
    <n v="4"/>
    <n v="12"/>
    <x v="3"/>
    <x v="1"/>
    <d v="2023-05-30T00:00:00"/>
  </r>
  <r>
    <s v="TXN_7994903"/>
    <x v="4"/>
    <n v="4"/>
    <n v="4"/>
    <n v="16"/>
    <x v="0"/>
    <x v="1"/>
    <d v="2023-01-09T00:00:00"/>
  </r>
  <r>
    <s v="TXN_3109161"/>
    <x v="6"/>
    <n v="3"/>
    <n v="4"/>
    <n v="12"/>
    <x v="3"/>
    <x v="2"/>
    <d v="2023-09-11T00:00:00"/>
  </r>
  <r>
    <s v="TXN_2185727"/>
    <x v="3"/>
    <n v="4"/>
    <n v="5"/>
    <n v="20"/>
    <x v="3"/>
    <x v="1"/>
    <d v="2023-10-08T00:00:00"/>
  </r>
  <r>
    <s v="TXN_8971366"/>
    <x v="7"/>
    <n v="2"/>
    <n v="3"/>
    <n v="6"/>
    <x v="3"/>
    <x v="1"/>
    <d v="2023-08-24T00:00:00"/>
  </r>
  <r>
    <s v="TXN_3669866"/>
    <x v="8"/>
    <n v="3"/>
    <n v="1.5"/>
    <n v="4.5"/>
    <x v="3"/>
    <x v="1"/>
    <d v="2023-05-10T00:00:00"/>
  </r>
  <r>
    <s v="TXN_9395223"/>
    <x v="2"/>
    <n v="4"/>
    <n v="1"/>
    <n v="4"/>
    <x v="0"/>
    <x v="1"/>
    <d v="2023-12-29T00:00:00"/>
  </r>
  <r>
    <s v="TXN_7963892"/>
    <x v="3"/>
    <n v="1"/>
    <n v="5"/>
    <n v="5"/>
    <x v="2"/>
    <x v="0"/>
    <d v="2023-08-15T00:00:00"/>
  </r>
  <r>
    <s v="TXN_6325639"/>
    <x v="7"/>
    <n v="3"/>
    <n v="3"/>
    <n v="9"/>
    <x v="2"/>
    <x v="1"/>
    <d v="2023-07-19T00:00:00"/>
  </r>
  <r>
    <s v="TXN_3856510"/>
    <x v="4"/>
    <n v="5"/>
    <n v="4"/>
    <n v="20"/>
    <x v="1"/>
    <x v="2"/>
    <d v="2023-10-21T00:00:00"/>
  </r>
  <r>
    <s v="TXN_4779192"/>
    <x v="2"/>
    <n v="5"/>
    <n v="1"/>
    <n v="5"/>
    <x v="3"/>
    <x v="2"/>
    <d v="2023-11-06T00:00:00"/>
  </r>
  <r>
    <s v="TXN_4163126"/>
    <x v="6"/>
    <n v="3"/>
    <n v="4"/>
    <n v="12"/>
    <x v="3"/>
    <x v="0"/>
    <m/>
  </r>
  <r>
    <s v="TXN_5808719"/>
    <x v="7"/>
    <n v="1"/>
    <n v="3"/>
    <n v="3"/>
    <x v="1"/>
    <x v="1"/>
    <d v="2023-10-01T00:00:00"/>
  </r>
  <r>
    <s v="TXN_2817210"/>
    <x v="1"/>
    <n v="4"/>
    <n v="3"/>
    <n v="12"/>
    <x v="2"/>
    <x v="2"/>
    <d v="2023-11-10T00:00:00"/>
  </r>
  <r>
    <s v="TXN_1985396"/>
    <x v="6"/>
    <n v="3"/>
    <n v="4"/>
    <n v="12"/>
    <x v="1"/>
    <x v="1"/>
    <d v="2023-01-23T00:00:00"/>
  </r>
  <r>
    <s v="TXN_7625340"/>
    <x v="5"/>
    <n v="2"/>
    <n v="1"/>
    <n v="2"/>
    <x v="0"/>
    <x v="1"/>
    <d v="2023-01-20T00:00:00"/>
  </r>
  <r>
    <s v="TXN_1533652"/>
    <x v="8"/>
    <n v="3"/>
    <n v="1.5"/>
    <n v="4.5"/>
    <x v="1"/>
    <x v="1"/>
    <d v="2023-08-17T00:00:00"/>
  </r>
  <r>
    <s v="TXN_6345619"/>
    <x v="1"/>
    <n v="5"/>
    <n v="3"/>
    <n v="15"/>
    <x v="3"/>
    <x v="0"/>
    <d v="2023-12-09T00:00:00"/>
  </r>
  <r>
    <s v="TXN_3218971"/>
    <x v="6"/>
    <n v="5"/>
    <n v="4"/>
    <n v="20"/>
    <x v="0"/>
    <x v="2"/>
    <d v="2023-06-13T00:00:00"/>
  </r>
  <r>
    <s v="TXN_8127681"/>
    <x v="4"/>
    <n v="1"/>
    <n v="4"/>
    <n v="4"/>
    <x v="0"/>
    <x v="0"/>
    <d v="2023-09-02T00:00:00"/>
  </r>
  <r>
    <s v="TXN_7328604"/>
    <x v="3"/>
    <n v="2"/>
    <n v="5"/>
    <n v="10"/>
    <x v="0"/>
    <x v="2"/>
    <d v="2023-02-25T00:00:00"/>
  </r>
  <r>
    <s v="TXN_4574757"/>
    <x v="7"/>
    <n v="2"/>
    <n v="3"/>
    <n v="6"/>
    <x v="2"/>
    <x v="1"/>
    <d v="2023-08-05T00:00:00"/>
  </r>
  <r>
    <s v="TXN_9505924"/>
    <x v="1"/>
    <n v="4"/>
    <n v="3"/>
    <n v="12"/>
    <x v="2"/>
    <x v="2"/>
    <d v="2023-03-17T00:00:00"/>
  </r>
  <r>
    <s v="TXN_9482559"/>
    <x v="2"/>
    <n v="1"/>
    <n v="1"/>
    <n v="1"/>
    <x v="2"/>
    <x v="1"/>
    <d v="2023-08-04T00:00:00"/>
  </r>
  <r>
    <s v="TXN_7705153"/>
    <x v="8"/>
    <n v="1"/>
    <n v="1.5"/>
    <n v="1.5"/>
    <x v="3"/>
    <x v="1"/>
    <d v="2023-01-25T00:00:00"/>
  </r>
  <r>
    <s v="TXN_7037557"/>
    <x v="3"/>
    <n v="4"/>
    <n v="5"/>
    <n v="20"/>
    <x v="1"/>
    <x v="2"/>
    <d v="2023-05-02T00:00:00"/>
  </r>
  <r>
    <s v="TXN_9517548"/>
    <x v="0"/>
    <n v="3"/>
    <n v="2"/>
    <n v="6"/>
    <x v="1"/>
    <x v="0"/>
    <d v="2023-01-25T00:00:00"/>
  </r>
  <r>
    <s v="TXN_4467046"/>
    <x v="3"/>
    <n v="4"/>
    <n v="5"/>
    <n v="20"/>
    <x v="3"/>
    <x v="0"/>
    <d v="2023-09-27T00:00:00"/>
  </r>
  <r>
    <s v="TXN_5074212"/>
    <x v="7"/>
    <n v="5"/>
    <n v="3"/>
    <n v="15"/>
    <x v="2"/>
    <x v="2"/>
    <d v="2023-05-14T00:00:00"/>
  </r>
  <r>
    <s v="TXN_8167530"/>
    <x v="1"/>
    <n v="3"/>
    <n v="3"/>
    <n v="9"/>
    <x v="1"/>
    <x v="1"/>
    <d v="2023-03-08T00:00:00"/>
  </r>
  <r>
    <s v="TXN_2158361"/>
    <x v="5"/>
    <n v="2"/>
    <n v="3"/>
    <n v="6"/>
    <x v="2"/>
    <x v="2"/>
    <d v="2023-07-27T00:00:00"/>
  </r>
  <r>
    <s v="TXN_5492822"/>
    <x v="0"/>
    <n v="4"/>
    <n v="2"/>
    <n v="8"/>
    <x v="3"/>
    <x v="0"/>
    <d v="2023-12-16T00:00:00"/>
  </r>
  <r>
    <s v="TXN_8538125"/>
    <x v="1"/>
    <n v="5"/>
    <n v="3"/>
    <n v="15"/>
    <x v="3"/>
    <x v="2"/>
    <d v="2023-05-30T00:00:00"/>
  </r>
  <r>
    <s v="TXN_1091115"/>
    <x v="6"/>
    <n v="5"/>
    <n v="4"/>
    <n v="20"/>
    <x v="1"/>
    <x v="0"/>
    <d v="2023-11-04T00:00:00"/>
  </r>
  <r>
    <s v="TXN_5350286"/>
    <x v="6"/>
    <n v="5"/>
    <n v="4"/>
    <n v="20"/>
    <x v="0"/>
    <x v="2"/>
    <d v="2023-02-18T00:00:00"/>
  </r>
  <r>
    <s v="TXN_1534223"/>
    <x v="1"/>
    <n v="3"/>
    <n v="3"/>
    <n v="9"/>
    <x v="0"/>
    <x v="2"/>
    <d v="2023-01-30T00:00:00"/>
  </r>
  <r>
    <s v="TXN_6403951"/>
    <x v="8"/>
    <n v="3"/>
    <n v="1.5"/>
    <n v="4.5"/>
    <x v="0"/>
    <x v="0"/>
    <d v="2023-07-13T00:00:00"/>
  </r>
  <r>
    <s v="TXN_7961171"/>
    <x v="7"/>
    <n v="3"/>
    <n v="3"/>
    <n v="9"/>
    <x v="1"/>
    <x v="1"/>
    <d v="2023-01-27T00:00:00"/>
  </r>
  <r>
    <s v="TXN_6312039"/>
    <x v="1"/>
    <n v="5"/>
    <n v="3"/>
    <n v="15"/>
    <x v="2"/>
    <x v="1"/>
    <d v="2023-09-29T00:00:00"/>
  </r>
  <r>
    <s v="TXN_6177334"/>
    <x v="7"/>
    <n v="1"/>
    <n v="3"/>
    <n v="3"/>
    <x v="0"/>
    <x v="1"/>
    <d v="2023-02-15T00:00:00"/>
  </r>
  <r>
    <s v="TXN_7466297"/>
    <x v="2"/>
    <n v="1"/>
    <n v="1"/>
    <n v="1"/>
    <x v="3"/>
    <x v="2"/>
    <d v="2023-07-13T00:00:00"/>
  </r>
  <r>
    <s v="TXN_2693278"/>
    <x v="8"/>
    <n v="3"/>
    <n v="1.5"/>
    <n v="4.5"/>
    <x v="2"/>
    <x v="2"/>
    <d v="2023-11-26T00:00:00"/>
  </r>
  <r>
    <s v="TXN_3561149"/>
    <x v="7"/>
    <n v="4"/>
    <n v="3"/>
    <n v="12"/>
    <x v="3"/>
    <x v="0"/>
    <d v="2023-05-20T00:00:00"/>
  </r>
  <r>
    <s v="TXN_2227825"/>
    <x v="6"/>
    <n v="5"/>
    <n v="4"/>
    <n v="20"/>
    <x v="0"/>
    <x v="2"/>
    <d v="2023-06-05T00:00:00"/>
  </r>
  <r>
    <s v="TXN_9965686"/>
    <x v="1"/>
    <n v="4"/>
    <n v="3"/>
    <n v="12"/>
    <x v="0"/>
    <x v="0"/>
    <d v="2023-10-02T00:00:00"/>
  </r>
  <r>
    <s v="TXN_5303413"/>
    <x v="0"/>
    <n v="1"/>
    <n v="2"/>
    <n v="2"/>
    <x v="3"/>
    <x v="1"/>
    <d v="2023-06-21T00:00:00"/>
  </r>
  <r>
    <s v="TXN_5328814"/>
    <x v="8"/>
    <n v="3"/>
    <n v="1.5"/>
    <n v="4.5"/>
    <x v="1"/>
    <x v="2"/>
    <d v="2023-10-18T00:00:00"/>
  </r>
  <r>
    <s v="TXN_9658354"/>
    <x v="5"/>
    <n v="3"/>
    <n v="1.5"/>
    <n v="4.5"/>
    <x v="0"/>
    <x v="1"/>
    <d v="2023-11-12T00:00:00"/>
  </r>
  <r>
    <s v="TXN_8538315"/>
    <x v="0"/>
    <n v="1"/>
    <n v="2"/>
    <n v="2"/>
    <x v="3"/>
    <x v="2"/>
    <d v="2023-07-27T00:00:00"/>
  </r>
  <r>
    <s v="TXN_2334962"/>
    <x v="7"/>
    <n v="5"/>
    <n v="3"/>
    <n v="15"/>
    <x v="2"/>
    <x v="2"/>
    <d v="2023-01-31T00:00:00"/>
  </r>
  <r>
    <s v="TXN_9321776"/>
    <x v="1"/>
    <n v="1"/>
    <n v="3"/>
    <n v="3"/>
    <x v="2"/>
    <x v="2"/>
    <d v="2023-04-23T00:00:00"/>
  </r>
  <r>
    <s v="TXN_2574545"/>
    <x v="0"/>
    <n v="2"/>
    <n v="2"/>
    <n v="4"/>
    <x v="2"/>
    <x v="1"/>
    <m/>
  </r>
  <r>
    <s v="TXN_7625537"/>
    <x v="7"/>
    <n v="3"/>
    <n v="3"/>
    <n v="9"/>
    <x v="2"/>
    <x v="0"/>
    <d v="2023-12-09T00:00:00"/>
  </r>
  <r>
    <s v="TXN_8722491"/>
    <x v="4"/>
    <n v="4"/>
    <n v="4"/>
    <n v="16"/>
    <x v="1"/>
    <x v="2"/>
    <d v="2023-04-24T00:00:00"/>
  </r>
  <r>
    <s v="TXN_4129569"/>
    <x v="2"/>
    <n v="4"/>
    <n v="1"/>
    <n v="4"/>
    <x v="3"/>
    <x v="2"/>
    <d v="2023-08-27T00:00:00"/>
  </r>
  <r>
    <s v="TXN_6018020"/>
    <x v="2"/>
    <n v="2"/>
    <n v="1"/>
    <n v="2"/>
    <x v="0"/>
    <x v="0"/>
    <d v="2023-01-12T00:00:00"/>
  </r>
  <r>
    <s v="TXN_3305132"/>
    <x v="1"/>
    <n v="4"/>
    <n v="3"/>
    <n v="12"/>
    <x v="0"/>
    <x v="0"/>
    <d v="2023-01-30T00:00:00"/>
  </r>
  <r>
    <s v="TXN_7951885"/>
    <x v="3"/>
    <n v="3"/>
    <n v="5"/>
    <n v="15"/>
    <x v="0"/>
    <x v="2"/>
    <d v="2023-12-08T00:00:00"/>
  </r>
  <r>
    <s v="TXN_9090875"/>
    <x v="1"/>
    <n v="2"/>
    <n v="3"/>
    <n v="6"/>
    <x v="2"/>
    <x v="1"/>
    <d v="2023-04-19T00:00:00"/>
  </r>
  <r>
    <s v="TXN_9175684"/>
    <x v="8"/>
    <n v="3"/>
    <n v="1.5"/>
    <n v="4.5"/>
    <x v="2"/>
    <x v="2"/>
    <d v="2023-09-16T00:00:00"/>
  </r>
  <r>
    <s v="TXN_1640649"/>
    <x v="2"/>
    <n v="4"/>
    <n v="1"/>
    <n v="4"/>
    <x v="2"/>
    <x v="1"/>
    <d v="2023-12-05T00:00:00"/>
  </r>
  <r>
    <s v="TXN_9845746"/>
    <x v="1"/>
    <n v="1"/>
    <n v="3"/>
    <n v="3"/>
    <x v="3"/>
    <x v="1"/>
    <d v="2023-09-23T00:00:00"/>
  </r>
  <r>
    <s v="TXN_1547704"/>
    <x v="0"/>
    <n v="5"/>
    <n v="2"/>
    <n v="10"/>
    <x v="1"/>
    <x v="1"/>
    <d v="2023-02-14T00:00:00"/>
  </r>
  <r>
    <s v="TXN_3422774"/>
    <x v="5"/>
    <n v="2"/>
    <n v="4"/>
    <n v="8"/>
    <x v="3"/>
    <x v="1"/>
    <d v="2023-07-09T00:00:00"/>
  </r>
  <r>
    <s v="TXN_8477415"/>
    <x v="3"/>
    <n v="2"/>
    <n v="5"/>
    <n v="10"/>
    <x v="0"/>
    <x v="2"/>
    <d v="2023-05-01T00:00:00"/>
  </r>
  <r>
    <s v="TXN_1039367"/>
    <x v="6"/>
    <n v="3"/>
    <n v="4"/>
    <n v="12"/>
    <x v="1"/>
    <x v="2"/>
    <d v="2023-03-12T00:00:00"/>
  </r>
  <r>
    <s v="TXN_5433982"/>
    <x v="3"/>
    <n v="5"/>
    <n v="5"/>
    <n v="25"/>
    <x v="3"/>
    <x v="2"/>
    <d v="2023-07-07T00:00:00"/>
  </r>
  <r>
    <s v="TXN_4469550"/>
    <x v="5"/>
    <n v="3"/>
    <n v="3"/>
    <n v="9"/>
    <x v="0"/>
    <x v="1"/>
    <d v="2023-05-10T00:00:00"/>
  </r>
  <r>
    <s v="TXN_2838588"/>
    <x v="0"/>
    <n v="2"/>
    <n v="2"/>
    <n v="4"/>
    <x v="2"/>
    <x v="1"/>
    <d v="2023-01-28T00:00:00"/>
  </r>
  <r>
    <s v="TXN_6135727"/>
    <x v="7"/>
    <n v="4"/>
    <n v="3"/>
    <n v="12"/>
    <x v="3"/>
    <x v="0"/>
    <d v="2023-12-15T00:00:00"/>
  </r>
  <r>
    <s v="TXN_3660227"/>
    <x v="7"/>
    <n v="4"/>
    <n v="3"/>
    <n v="12"/>
    <x v="0"/>
    <x v="0"/>
    <d v="2023-05-13T00:00:00"/>
  </r>
  <r>
    <s v="TXN_5640232"/>
    <x v="6"/>
    <n v="4"/>
    <n v="4"/>
    <n v="16"/>
    <x v="3"/>
    <x v="2"/>
    <d v="2023-04-08T00:00:00"/>
  </r>
  <r>
    <s v="TXN_4064310"/>
    <x v="8"/>
    <n v="4"/>
    <n v="1.5"/>
    <n v="6"/>
    <x v="1"/>
    <x v="0"/>
    <d v="2023-07-24T00:00:00"/>
  </r>
  <r>
    <s v="TXN_7418562"/>
    <x v="6"/>
    <n v="4"/>
    <n v="4"/>
    <n v="16"/>
    <x v="2"/>
    <x v="2"/>
    <d v="2023-01-15T00:00:00"/>
  </r>
  <r>
    <s v="TXN_2978326"/>
    <x v="4"/>
    <n v="3"/>
    <n v="4"/>
    <n v="12"/>
    <x v="1"/>
    <x v="2"/>
    <d v="2023-12-02T00:00:00"/>
  </r>
  <r>
    <s v="TXN_9616828"/>
    <x v="0"/>
    <n v="2"/>
    <n v="2"/>
    <n v="4"/>
    <x v="3"/>
    <x v="0"/>
    <d v="2023-12-20T00:00:00"/>
  </r>
  <r>
    <s v="TXN_1522122"/>
    <x v="2"/>
    <n v="5"/>
    <n v="1"/>
    <n v="5"/>
    <x v="0"/>
    <x v="1"/>
    <d v="2023-02-14T00:00:00"/>
  </r>
  <r>
    <s v="TXN_2360229"/>
    <x v="6"/>
    <n v="1"/>
    <n v="4"/>
    <n v="4"/>
    <x v="3"/>
    <x v="2"/>
    <d v="2023-06-18T00:00:00"/>
  </r>
  <r>
    <s v="TXN_7840510"/>
    <x v="5"/>
    <n v="4"/>
    <n v="3"/>
    <n v="12"/>
    <x v="2"/>
    <x v="0"/>
    <d v="2023-08-07T00:00:00"/>
  </r>
  <r>
    <s v="TXN_5285666"/>
    <x v="0"/>
    <n v="5"/>
    <n v="2"/>
    <n v="10"/>
    <x v="1"/>
    <x v="2"/>
    <d v="2023-03-20T00:00:00"/>
  </r>
  <r>
    <s v="TXN_5029453"/>
    <x v="6"/>
    <n v="2"/>
    <n v="4"/>
    <n v="8"/>
    <x v="3"/>
    <x v="1"/>
    <d v="2023-06-24T00:00:00"/>
  </r>
  <r>
    <s v="TXN_6117421"/>
    <x v="1"/>
    <n v="2"/>
    <n v="3"/>
    <n v="6"/>
    <x v="1"/>
    <x v="2"/>
    <d v="2023-05-04T00:00:00"/>
  </r>
  <r>
    <s v="TXN_8759461"/>
    <x v="8"/>
    <n v="2"/>
    <n v="1.5"/>
    <n v="3"/>
    <x v="1"/>
    <x v="1"/>
    <d v="2023-01-31T00:00:00"/>
  </r>
  <r>
    <s v="TXN_2962728"/>
    <x v="3"/>
    <n v="4"/>
    <n v="5"/>
    <n v="20"/>
    <x v="0"/>
    <x v="2"/>
    <d v="2023-12-05T00:00:00"/>
  </r>
  <r>
    <s v="TXN_6527482"/>
    <x v="7"/>
    <n v="1"/>
    <n v="3"/>
    <n v="3"/>
    <x v="2"/>
    <x v="0"/>
    <d v="2023-08-27T00:00:00"/>
  </r>
  <r>
    <s v="TXN_4256200"/>
    <x v="8"/>
    <n v="5"/>
    <n v="1.5"/>
    <n v="7.5"/>
    <x v="2"/>
    <x v="2"/>
    <d v="2023-06-29T00:00:00"/>
  </r>
  <r>
    <s v="TXN_6276679"/>
    <x v="2"/>
    <n v="3"/>
    <n v="1"/>
    <n v="3"/>
    <x v="3"/>
    <x v="0"/>
    <d v="2023-11-08T00:00:00"/>
  </r>
  <r>
    <s v="TXN_2507188"/>
    <x v="0"/>
    <n v="1"/>
    <n v="2"/>
    <n v="2"/>
    <x v="0"/>
    <x v="2"/>
    <d v="2023-02-04T00:00:00"/>
  </r>
  <r>
    <s v="TXN_9386165"/>
    <x v="6"/>
    <n v="2"/>
    <n v="4"/>
    <n v="8"/>
    <x v="3"/>
    <x v="1"/>
    <d v="2023-06-01T00:00:00"/>
  </r>
  <r>
    <s v="TXN_6064232"/>
    <x v="8"/>
    <n v="2"/>
    <n v="1.5"/>
    <n v="3"/>
    <x v="0"/>
    <x v="0"/>
    <d v="2023-04-09T00:00:00"/>
  </r>
  <r>
    <s v="TXN_3604017"/>
    <x v="1"/>
    <n v="4"/>
    <n v="3"/>
    <n v="12"/>
    <x v="3"/>
    <x v="1"/>
    <d v="2023-09-21T00:00:00"/>
  </r>
  <r>
    <s v="TXN_3486548"/>
    <x v="8"/>
    <n v="1"/>
    <n v="1.5"/>
    <n v="1.5"/>
    <x v="3"/>
    <x v="2"/>
    <d v="2023-07-08T00:00:00"/>
  </r>
  <r>
    <s v="TXN_1465584"/>
    <x v="6"/>
    <n v="1"/>
    <n v="4"/>
    <n v="4"/>
    <x v="0"/>
    <x v="1"/>
    <d v="2023-04-29T00:00:00"/>
  </r>
  <r>
    <s v="TXN_9285925"/>
    <x v="5"/>
    <n v="5"/>
    <n v="3"/>
    <n v="15"/>
    <x v="1"/>
    <x v="1"/>
    <d v="2023-06-20T00:00:00"/>
  </r>
  <r>
    <s v="TXN_7662502"/>
    <x v="1"/>
    <n v="1"/>
    <n v="3"/>
    <n v="3"/>
    <x v="2"/>
    <x v="1"/>
    <d v="2023-03-06T00:00:00"/>
  </r>
  <r>
    <s v="TXN_3212505"/>
    <x v="6"/>
    <n v="3"/>
    <n v="4"/>
    <n v="12"/>
    <x v="0"/>
    <x v="2"/>
    <d v="2023-07-15T00:00:00"/>
  </r>
  <r>
    <s v="TXN_7331903"/>
    <x v="5"/>
    <n v="1"/>
    <n v="5"/>
    <n v="5"/>
    <x v="2"/>
    <x v="0"/>
    <d v="2023-05-23T00:00:00"/>
  </r>
  <r>
    <s v="TXN_2311188"/>
    <x v="1"/>
    <n v="2"/>
    <n v="3"/>
    <n v="6"/>
    <x v="3"/>
    <x v="2"/>
    <d v="2023-09-07T00:00:00"/>
  </r>
  <r>
    <s v="TXN_6344806"/>
    <x v="7"/>
    <n v="3"/>
    <n v="3"/>
    <n v="9"/>
    <x v="0"/>
    <x v="2"/>
    <d v="2023-05-08T00:00:00"/>
  </r>
  <r>
    <s v="TXN_4891221"/>
    <x v="2"/>
    <n v="5"/>
    <n v="1"/>
    <n v="5"/>
    <x v="2"/>
    <x v="0"/>
    <d v="2023-12-09T00:00:00"/>
  </r>
  <r>
    <s v="TXN_1316036"/>
    <x v="5"/>
    <n v="2"/>
    <n v="3"/>
    <n v="6"/>
    <x v="1"/>
    <x v="0"/>
    <d v="2023-10-27T00:00:00"/>
  </r>
  <r>
    <s v="TXN_7419274"/>
    <x v="7"/>
    <n v="2"/>
    <n v="3"/>
    <n v="6"/>
    <x v="1"/>
    <x v="0"/>
    <d v="2023-12-18T00:00:00"/>
  </r>
  <r>
    <s v="TXN_2178059"/>
    <x v="6"/>
    <n v="4"/>
    <n v="4"/>
    <n v="16"/>
    <x v="2"/>
    <x v="1"/>
    <d v="2023-03-24T00:00:00"/>
  </r>
  <r>
    <s v="TXN_2205071"/>
    <x v="0"/>
    <n v="5"/>
    <n v="2"/>
    <n v="10"/>
    <x v="0"/>
    <x v="1"/>
    <d v="2023-11-23T00:00:00"/>
  </r>
  <r>
    <s v="TXN_5790078"/>
    <x v="7"/>
    <n v="4"/>
    <n v="3"/>
    <n v="12"/>
    <x v="3"/>
    <x v="0"/>
    <d v="2023-04-16T00:00:00"/>
  </r>
  <r>
    <s v="TXN_4119210"/>
    <x v="8"/>
    <n v="3"/>
    <n v="1.5"/>
    <n v="4.5"/>
    <x v="1"/>
    <x v="1"/>
    <d v="2023-05-02T00:00:00"/>
  </r>
  <r>
    <s v="TXN_2349072"/>
    <x v="4"/>
    <n v="5"/>
    <n v="4"/>
    <n v="20"/>
    <x v="1"/>
    <x v="0"/>
    <d v="2023-09-06T00:00:00"/>
  </r>
  <r>
    <s v="TXN_3670103"/>
    <x v="8"/>
    <n v="2"/>
    <n v="1.5"/>
    <n v="3"/>
    <x v="2"/>
    <x v="1"/>
    <d v="2023-04-30T00:00:00"/>
  </r>
  <r>
    <s v="TXN_1933628"/>
    <x v="5"/>
    <n v="2"/>
    <n v="3"/>
    <n v="6"/>
    <x v="1"/>
    <x v="1"/>
    <d v="2023-08-27T00:00:00"/>
  </r>
  <r>
    <s v="TXN_6444911"/>
    <x v="7"/>
    <n v="5"/>
    <n v="3"/>
    <n v="15"/>
    <x v="0"/>
    <x v="2"/>
    <d v="2023-02-11T00:00:00"/>
  </r>
  <r>
    <s v="TXN_4186842"/>
    <x v="7"/>
    <n v="5"/>
    <n v="3"/>
    <n v="15"/>
    <x v="2"/>
    <x v="0"/>
    <d v="2023-10-29T00:00:00"/>
  </r>
  <r>
    <s v="TXN_2194305"/>
    <x v="6"/>
    <n v="2"/>
    <n v="4"/>
    <n v="8"/>
    <x v="0"/>
    <x v="0"/>
    <d v="2023-09-16T00:00:00"/>
  </r>
  <r>
    <s v="TXN_2002049"/>
    <x v="0"/>
    <n v="5"/>
    <n v="2"/>
    <n v="10"/>
    <x v="2"/>
    <x v="2"/>
    <d v="2023-03-17T00:00:00"/>
  </r>
  <r>
    <s v="TXN_4837447"/>
    <x v="1"/>
    <n v="2"/>
    <n v="3"/>
    <n v="6"/>
    <x v="3"/>
    <x v="0"/>
    <d v="2023-11-06T00:00:00"/>
  </r>
  <r>
    <s v="TXN_5517185"/>
    <x v="4"/>
    <n v="3"/>
    <n v="4"/>
    <n v="12"/>
    <x v="3"/>
    <x v="2"/>
    <d v="2023-11-05T00:00:00"/>
  </r>
  <r>
    <s v="TXN_9658905"/>
    <x v="5"/>
    <n v="5"/>
    <n v="1.5"/>
    <n v="7.5"/>
    <x v="1"/>
    <x v="0"/>
    <d v="2023-05-16T00:00:00"/>
  </r>
  <r>
    <s v="TXN_3373997"/>
    <x v="3"/>
    <n v="4"/>
    <n v="5"/>
    <n v="20"/>
    <x v="2"/>
    <x v="2"/>
    <d v="2023-02-01T00:00:00"/>
  </r>
  <r>
    <s v="TXN_1950343"/>
    <x v="2"/>
    <n v="2"/>
    <n v="1"/>
    <n v="2"/>
    <x v="2"/>
    <x v="2"/>
    <d v="2023-07-25T00:00:00"/>
  </r>
  <r>
    <s v="TXN_4477016"/>
    <x v="6"/>
    <n v="4"/>
    <n v="4"/>
    <n v="16"/>
    <x v="2"/>
    <x v="1"/>
    <d v="2023-04-12T00:00:00"/>
  </r>
  <r>
    <s v="TXN_2644403"/>
    <x v="8"/>
    <n v="4"/>
    <n v="1.5"/>
    <n v="6"/>
    <x v="2"/>
    <x v="2"/>
    <d v="2023-12-22T00:00:00"/>
  </r>
  <r>
    <s v="TXN_7006741"/>
    <x v="6"/>
    <n v="2"/>
    <n v="4"/>
    <n v="8"/>
    <x v="3"/>
    <x v="2"/>
    <d v="2023-12-30T00:00:00"/>
  </r>
  <r>
    <s v="TXN_7246698"/>
    <x v="6"/>
    <n v="3"/>
    <n v="4"/>
    <n v="12"/>
    <x v="2"/>
    <x v="1"/>
    <d v="2023-06-22T00:00:00"/>
  </r>
  <r>
    <s v="TXN_8063016"/>
    <x v="2"/>
    <n v="1"/>
    <n v="1"/>
    <n v="1"/>
    <x v="1"/>
    <x v="2"/>
    <d v="2023-02-27T00:00:00"/>
  </r>
  <r>
    <s v="TXN_9215670"/>
    <x v="0"/>
    <n v="3"/>
    <n v="2"/>
    <n v="6"/>
    <x v="1"/>
    <x v="0"/>
    <d v="2023-05-04T00:00:00"/>
  </r>
  <r>
    <s v="TXN_6780463"/>
    <x v="8"/>
    <n v="3"/>
    <n v="1.5"/>
    <n v="4.5"/>
    <x v="2"/>
    <x v="2"/>
    <d v="2023-10-26T00:00:00"/>
  </r>
  <r>
    <s v="TXN_5975573"/>
    <x v="5"/>
    <n v="1"/>
    <n v="1"/>
    <n v="1"/>
    <x v="2"/>
    <x v="0"/>
    <d v="2023-01-20T00:00:00"/>
  </r>
  <r>
    <s v="TXN_5560669"/>
    <x v="3"/>
    <n v="5"/>
    <n v="5"/>
    <n v="25"/>
    <x v="0"/>
    <x v="2"/>
    <d v="2023-06-30T00:00:00"/>
  </r>
  <r>
    <s v="TXN_4046095"/>
    <x v="7"/>
    <n v="2"/>
    <n v="3"/>
    <n v="6"/>
    <x v="3"/>
    <x v="0"/>
    <d v="2023-10-12T00:00:00"/>
  </r>
  <r>
    <s v="TXN_6559598"/>
    <x v="7"/>
    <n v="1"/>
    <n v="3"/>
    <n v="3"/>
    <x v="3"/>
    <x v="2"/>
    <d v="2023-05-08T00:00:00"/>
  </r>
  <r>
    <s v="TXN_9707159"/>
    <x v="1"/>
    <n v="5"/>
    <n v="3"/>
    <n v="15"/>
    <x v="0"/>
    <x v="1"/>
    <d v="2023-11-10T00:00:00"/>
  </r>
  <r>
    <s v="TXN_9983518"/>
    <x v="8"/>
    <n v="2"/>
    <n v="1.5"/>
    <n v="3"/>
    <x v="0"/>
    <x v="1"/>
    <d v="2023-07-18T00:00:00"/>
  </r>
  <r>
    <s v="TXN_1714348"/>
    <x v="6"/>
    <n v="2"/>
    <n v="4"/>
    <n v="8"/>
    <x v="1"/>
    <x v="0"/>
    <d v="2023-12-31T00:00:00"/>
  </r>
  <r>
    <s v="TXN_8211288"/>
    <x v="4"/>
    <n v="1"/>
    <n v="4"/>
    <n v="4"/>
    <x v="1"/>
    <x v="1"/>
    <d v="2023-04-23T00:00:00"/>
  </r>
  <r>
    <s v="TXN_7035067"/>
    <x v="3"/>
    <n v="2"/>
    <n v="5"/>
    <n v="10"/>
    <x v="1"/>
    <x v="2"/>
    <d v="2023-09-29T00:00:00"/>
  </r>
  <r>
    <s v="TXN_6335423"/>
    <x v="0"/>
    <n v="2"/>
    <n v="2"/>
    <n v="4"/>
    <x v="0"/>
    <x v="1"/>
    <d v="2023-06-18T00:00:00"/>
  </r>
  <r>
    <s v="TXN_9475783"/>
    <x v="6"/>
    <n v="5"/>
    <n v="4"/>
    <n v="20"/>
    <x v="0"/>
    <x v="0"/>
    <d v="2023-02-11T00:00:00"/>
  </r>
  <r>
    <s v="TXN_4108869"/>
    <x v="4"/>
    <n v="5"/>
    <n v="4"/>
    <n v="20"/>
    <x v="2"/>
    <x v="2"/>
    <d v="2023-05-02T00:00:00"/>
  </r>
  <r>
    <s v="TXN_6011341"/>
    <x v="7"/>
    <n v="4"/>
    <n v="3"/>
    <n v="12"/>
    <x v="2"/>
    <x v="1"/>
    <d v="2023-12-21T00:00:00"/>
  </r>
  <r>
    <s v="TXN_5257531"/>
    <x v="8"/>
    <n v="2"/>
    <n v="1.5"/>
    <n v="3"/>
    <x v="2"/>
    <x v="2"/>
    <d v="2023-04-10T00:00:00"/>
  </r>
  <r>
    <s v="TXN_1645743"/>
    <x v="2"/>
    <n v="4"/>
    <n v="1"/>
    <n v="4"/>
    <x v="3"/>
    <x v="0"/>
    <d v="2023-07-02T00:00:00"/>
  </r>
  <r>
    <s v="TXN_8167311"/>
    <x v="3"/>
    <n v="1"/>
    <n v="5"/>
    <n v="5"/>
    <x v="2"/>
    <x v="0"/>
    <d v="2023-10-09T00:00:00"/>
  </r>
  <r>
    <s v="TXN_2377667"/>
    <x v="4"/>
    <n v="3"/>
    <n v="4"/>
    <n v="12"/>
    <x v="3"/>
    <x v="0"/>
    <d v="2023-10-27T00:00:00"/>
  </r>
  <r>
    <s v="TXN_9554670"/>
    <x v="5"/>
    <n v="4"/>
    <n v="3"/>
    <n v="12"/>
    <x v="0"/>
    <x v="1"/>
    <d v="2023-06-20T00:00:00"/>
  </r>
  <r>
    <s v="TXN_3312574"/>
    <x v="2"/>
    <n v="2"/>
    <n v="1"/>
    <n v="2"/>
    <x v="2"/>
    <x v="2"/>
    <d v="2023-11-03T00:00:00"/>
  </r>
  <r>
    <s v="TXN_9208629"/>
    <x v="1"/>
    <n v="1"/>
    <n v="3"/>
    <n v="3"/>
    <x v="2"/>
    <x v="0"/>
    <d v="2023-03-30T00:00:00"/>
  </r>
  <r>
    <s v="TXN_6846085"/>
    <x v="2"/>
    <n v="4"/>
    <n v="1"/>
    <n v="4"/>
    <x v="3"/>
    <x v="2"/>
    <d v="2023-02-26T00:00:00"/>
  </r>
  <r>
    <s v="TXN_5430200"/>
    <x v="6"/>
    <n v="3"/>
    <n v="4"/>
    <n v="12"/>
    <x v="0"/>
    <x v="0"/>
    <d v="2023-11-12T00:00:00"/>
  </r>
  <r>
    <s v="TXN_5135172"/>
    <x v="5"/>
    <n v="4"/>
    <n v="5"/>
    <n v="20"/>
    <x v="3"/>
    <x v="1"/>
    <d v="2023-12-10T00:00:00"/>
  </r>
  <r>
    <s v="TXN_2282416"/>
    <x v="8"/>
    <n v="4"/>
    <n v="1.5"/>
    <n v="6"/>
    <x v="2"/>
    <x v="0"/>
    <d v="2023-04-29T00:00:00"/>
  </r>
  <r>
    <s v="TXN_6716151"/>
    <x v="6"/>
    <n v="3"/>
    <n v="4"/>
    <n v="12"/>
    <x v="3"/>
    <x v="0"/>
    <d v="2023-01-26T00:00:00"/>
  </r>
  <r>
    <s v="TXN_5303258"/>
    <x v="6"/>
    <n v="4"/>
    <n v="4"/>
    <n v="16"/>
    <x v="3"/>
    <x v="1"/>
    <d v="2023-09-28T00:00:00"/>
  </r>
  <r>
    <s v="TXN_2947683"/>
    <x v="1"/>
    <n v="3"/>
    <n v="3"/>
    <n v="9"/>
    <x v="2"/>
    <x v="1"/>
    <d v="2023-05-14T00:00:00"/>
  </r>
  <r>
    <s v="TXN_8831659"/>
    <x v="6"/>
    <n v="1"/>
    <n v="4"/>
    <n v="4"/>
    <x v="0"/>
    <x v="2"/>
    <d v="2023-01-29T00:00:00"/>
  </r>
  <r>
    <s v="TXN_8980495"/>
    <x v="5"/>
    <n v="4"/>
    <n v="4"/>
    <n v="16"/>
    <x v="0"/>
    <x v="0"/>
    <d v="2023-11-17T00:00:00"/>
  </r>
  <r>
    <s v="TXN_9129298"/>
    <x v="5"/>
    <n v="1"/>
    <n v="2"/>
    <n v="2"/>
    <x v="2"/>
    <x v="2"/>
    <d v="2023-12-19T00:00:00"/>
  </r>
  <r>
    <s v="TXN_2188342"/>
    <x v="0"/>
    <n v="3"/>
    <n v="2"/>
    <n v="6"/>
    <x v="1"/>
    <x v="2"/>
    <d v="2023-09-10T00:00:00"/>
  </r>
  <r>
    <s v="TXN_3843943"/>
    <x v="8"/>
    <n v="5"/>
    <n v="1.5"/>
    <n v="7.5"/>
    <x v="2"/>
    <x v="0"/>
    <d v="2023-07-01T00:00:00"/>
  </r>
  <r>
    <s v="TXN_4989644"/>
    <x v="7"/>
    <n v="5"/>
    <n v="3"/>
    <n v="15"/>
    <x v="3"/>
    <x v="2"/>
    <d v="2023-11-13T00:00:00"/>
  </r>
  <r>
    <s v="TXN_9456357"/>
    <x v="1"/>
    <n v="3"/>
    <n v="3"/>
    <n v="9"/>
    <x v="0"/>
    <x v="2"/>
    <d v="2023-02-21T00:00:00"/>
  </r>
  <r>
    <s v="TXN_9549021"/>
    <x v="3"/>
    <n v="2"/>
    <n v="5"/>
    <n v="10"/>
    <x v="2"/>
    <x v="2"/>
    <d v="2023-11-25T00:00:00"/>
  </r>
  <r>
    <s v="TXN_9263030"/>
    <x v="6"/>
    <n v="5"/>
    <n v="4"/>
    <n v="20"/>
    <x v="1"/>
    <x v="0"/>
    <d v="2023-07-03T00:00:00"/>
  </r>
  <r>
    <s v="TXN_9732454"/>
    <x v="4"/>
    <n v="5"/>
    <n v="4"/>
    <n v="20"/>
    <x v="2"/>
    <x v="1"/>
    <d v="2023-07-28T00:00:00"/>
  </r>
  <r>
    <s v="TXN_4129476"/>
    <x v="0"/>
    <n v="2"/>
    <n v="2"/>
    <n v="4"/>
    <x v="1"/>
    <x v="2"/>
    <d v="2023-10-24T00:00:00"/>
  </r>
  <r>
    <s v="TXN_7060691"/>
    <x v="3"/>
    <n v="5"/>
    <n v="5"/>
    <n v="25"/>
    <x v="0"/>
    <x v="2"/>
    <d v="2023-10-25T00:00:00"/>
  </r>
  <r>
    <s v="TXN_8048357"/>
    <x v="3"/>
    <n v="4"/>
    <n v="5"/>
    <n v="20"/>
    <x v="2"/>
    <x v="1"/>
    <m/>
  </r>
  <r>
    <s v="TXN_5528787"/>
    <x v="7"/>
    <n v="2"/>
    <n v="3"/>
    <n v="6"/>
    <x v="3"/>
    <x v="2"/>
    <d v="2023-10-22T00:00:00"/>
  </r>
  <r>
    <s v="TXN_8952145"/>
    <x v="1"/>
    <n v="3"/>
    <n v="3"/>
    <n v="9"/>
    <x v="0"/>
    <x v="0"/>
    <d v="2023-01-28T00:00:00"/>
  </r>
  <r>
    <s v="TXN_8062811"/>
    <x v="0"/>
    <n v="2"/>
    <n v="2"/>
    <n v="4"/>
    <x v="1"/>
    <x v="0"/>
    <d v="2023-04-07T00:00:00"/>
  </r>
  <r>
    <s v="TXN_9710982"/>
    <x v="5"/>
    <n v="4"/>
    <n v="4"/>
    <n v="16"/>
    <x v="2"/>
    <x v="2"/>
    <d v="2023-03-03T00:00:00"/>
  </r>
  <r>
    <s v="TXN_2020445"/>
    <x v="4"/>
    <n v="2"/>
    <n v="4"/>
    <n v="8"/>
    <x v="1"/>
    <x v="2"/>
    <d v="2023-03-06T00:00:00"/>
  </r>
  <r>
    <s v="TXN_7855761"/>
    <x v="2"/>
    <n v="1"/>
    <n v="1"/>
    <n v="1"/>
    <x v="1"/>
    <x v="1"/>
    <d v="2023-01-10T00:00:00"/>
  </r>
  <r>
    <s v="TXN_9455977"/>
    <x v="8"/>
    <n v="1"/>
    <n v="1.5"/>
    <n v="1.5"/>
    <x v="3"/>
    <x v="0"/>
    <d v="2023-03-10T00:00:00"/>
  </r>
  <r>
    <s v="TXN_6684056"/>
    <x v="4"/>
    <n v="2"/>
    <n v="4"/>
    <n v="8"/>
    <x v="2"/>
    <x v="2"/>
    <d v="2023-09-14T00:00:00"/>
  </r>
  <r>
    <s v="TXN_6085326"/>
    <x v="1"/>
    <n v="2"/>
    <n v="3"/>
    <n v="6"/>
    <x v="2"/>
    <x v="2"/>
    <d v="2023-08-22T00:00:00"/>
  </r>
  <r>
    <s v="TXN_4528522"/>
    <x v="0"/>
    <n v="5"/>
    <n v="2"/>
    <n v="10"/>
    <x v="3"/>
    <x v="0"/>
    <d v="2023-12-04T00:00:00"/>
  </r>
  <r>
    <s v="TXN_7049861"/>
    <x v="1"/>
    <n v="5"/>
    <n v="3"/>
    <n v="15"/>
    <x v="1"/>
    <x v="1"/>
    <d v="2023-01-20T00:00:00"/>
  </r>
  <r>
    <s v="TXN_7312448"/>
    <x v="8"/>
    <n v="1"/>
    <n v="1.5"/>
    <n v="1.5"/>
    <x v="2"/>
    <x v="2"/>
    <d v="2023-01-16T00:00:00"/>
  </r>
  <r>
    <s v="TXN_2201857"/>
    <x v="4"/>
    <n v="1"/>
    <n v="4"/>
    <n v="4"/>
    <x v="2"/>
    <x v="0"/>
    <d v="2023-02-19T00:00:00"/>
  </r>
  <r>
    <s v="TXN_4982382"/>
    <x v="3"/>
    <n v="1"/>
    <n v="5"/>
    <n v="5"/>
    <x v="1"/>
    <x v="2"/>
    <d v="2023-01-05T00:00:00"/>
  </r>
  <r>
    <s v="TXN_9001844"/>
    <x v="6"/>
    <n v="1"/>
    <n v="4"/>
    <n v="4"/>
    <x v="1"/>
    <x v="0"/>
    <d v="2023-08-02T00:00:00"/>
  </r>
  <r>
    <s v="TXN_9104710"/>
    <x v="3"/>
    <n v="5"/>
    <n v="5"/>
    <n v="25"/>
    <x v="1"/>
    <x v="0"/>
    <d v="2023-03-20T00:00:00"/>
  </r>
  <r>
    <s v="TXN_8266662"/>
    <x v="0"/>
    <n v="5"/>
    <n v="2"/>
    <n v="10"/>
    <x v="0"/>
    <x v="2"/>
    <d v="2023-04-09T00:00:00"/>
  </r>
  <r>
    <s v="TXN_9178213"/>
    <x v="5"/>
    <n v="2"/>
    <n v="2"/>
    <n v="4"/>
    <x v="3"/>
    <x v="0"/>
    <d v="2023-02-27T00:00:00"/>
  </r>
  <r>
    <s v="TXN_7755216"/>
    <x v="3"/>
    <n v="5"/>
    <n v="5"/>
    <n v="25"/>
    <x v="2"/>
    <x v="1"/>
    <d v="2023-02-03T00:00:00"/>
  </r>
  <r>
    <s v="TXN_2241162"/>
    <x v="7"/>
    <n v="3"/>
    <n v="3"/>
    <n v="9"/>
    <x v="2"/>
    <x v="2"/>
    <d v="2023-08-09T00:00:00"/>
  </r>
  <r>
    <s v="TXN_5757933"/>
    <x v="8"/>
    <n v="1"/>
    <n v="1.5"/>
    <n v="1.5"/>
    <x v="1"/>
    <x v="2"/>
    <d v="2023-02-20T00:00:00"/>
  </r>
  <r>
    <s v="TXN_8859144"/>
    <x v="1"/>
    <n v="1"/>
    <n v="3"/>
    <n v="3"/>
    <x v="3"/>
    <x v="0"/>
    <d v="2023-01-15T00:00:00"/>
  </r>
  <r>
    <s v="TXN_8740257"/>
    <x v="1"/>
    <n v="5"/>
    <n v="3"/>
    <n v="15"/>
    <x v="3"/>
    <x v="2"/>
    <d v="2023-06-09T00:00:00"/>
  </r>
  <r>
    <s v="TXN_4271034"/>
    <x v="4"/>
    <n v="3"/>
    <n v="4"/>
    <n v="12"/>
    <x v="3"/>
    <x v="1"/>
    <d v="2023-02-28T00:00:00"/>
  </r>
  <r>
    <s v="TXN_2741424"/>
    <x v="8"/>
    <n v="4"/>
    <n v="1.5"/>
    <n v="6"/>
    <x v="0"/>
    <x v="1"/>
    <d v="2023-05-03T00:00:00"/>
  </r>
  <r>
    <s v="TXN_4709135"/>
    <x v="6"/>
    <n v="2"/>
    <n v="4"/>
    <n v="8"/>
    <x v="0"/>
    <x v="0"/>
    <m/>
  </r>
  <r>
    <s v="TXN_6676143"/>
    <x v="6"/>
    <n v="5"/>
    <n v="4"/>
    <n v="20"/>
    <x v="1"/>
    <x v="1"/>
    <d v="2023-05-21T00:00:00"/>
  </r>
  <r>
    <s v="TXN_2199647"/>
    <x v="3"/>
    <n v="1"/>
    <n v="5"/>
    <n v="5"/>
    <x v="1"/>
    <x v="2"/>
    <d v="2023-05-05T00:00:00"/>
  </r>
  <r>
    <s v="TXN_3016079"/>
    <x v="4"/>
    <n v="3"/>
    <n v="4"/>
    <n v="12"/>
    <x v="3"/>
    <x v="0"/>
    <d v="2023-09-24T00:00:00"/>
  </r>
  <r>
    <s v="TXN_3140950"/>
    <x v="7"/>
    <n v="5"/>
    <n v="3"/>
    <n v="15"/>
    <x v="0"/>
    <x v="2"/>
    <m/>
  </r>
  <r>
    <s v="TXN_6881662"/>
    <x v="3"/>
    <n v="2"/>
    <n v="5"/>
    <n v="10"/>
    <x v="3"/>
    <x v="0"/>
    <d v="2023-07-10T00:00:00"/>
  </r>
  <r>
    <s v="TXN_4238818"/>
    <x v="0"/>
    <n v="2"/>
    <n v="2"/>
    <n v="4"/>
    <x v="3"/>
    <x v="2"/>
    <d v="2023-04-05T00:00:00"/>
  </r>
  <r>
    <s v="TXN_2146829"/>
    <x v="3"/>
    <n v="4"/>
    <n v="5"/>
    <n v="20"/>
    <x v="1"/>
    <x v="2"/>
    <d v="2023-12-26T00:00:00"/>
  </r>
  <r>
    <s v="TXN_8131537"/>
    <x v="4"/>
    <n v="2"/>
    <n v="4"/>
    <n v="8"/>
    <x v="0"/>
    <x v="2"/>
    <d v="2023-12-03T00:00:00"/>
  </r>
  <r>
    <s v="TXN_9812021"/>
    <x v="8"/>
    <n v="5"/>
    <n v="1.5"/>
    <n v="7.5"/>
    <x v="0"/>
    <x v="1"/>
    <d v="2023-02-12T00:00:00"/>
  </r>
  <r>
    <s v="TXN_7947711"/>
    <x v="3"/>
    <n v="3"/>
    <n v="5"/>
    <n v="15"/>
    <x v="3"/>
    <x v="0"/>
    <d v="2023-12-06T00:00:00"/>
  </r>
  <r>
    <s v="TXN_6774688"/>
    <x v="3"/>
    <n v="1"/>
    <n v="5"/>
    <n v="5"/>
    <x v="0"/>
    <x v="2"/>
    <d v="2023-01-18T00:00:00"/>
  </r>
  <r>
    <s v="TXN_3949676"/>
    <x v="7"/>
    <n v="4"/>
    <n v="3"/>
    <n v="12"/>
    <x v="0"/>
    <x v="1"/>
    <d v="2023-12-21T00:00:00"/>
  </r>
  <r>
    <s v="TXN_4283693"/>
    <x v="3"/>
    <n v="2"/>
    <n v="5"/>
    <n v="10"/>
    <x v="1"/>
    <x v="1"/>
    <d v="2023-01-05T00:00:00"/>
  </r>
  <r>
    <s v="TXN_2274945"/>
    <x v="6"/>
    <n v="4"/>
    <n v="4"/>
    <n v="16"/>
    <x v="1"/>
    <x v="1"/>
    <d v="2023-03-29T00:00:00"/>
  </r>
  <r>
    <s v="TXN_5757196"/>
    <x v="7"/>
    <n v="5"/>
    <n v="3"/>
    <n v="15"/>
    <x v="2"/>
    <x v="1"/>
    <m/>
  </r>
  <r>
    <s v="TXN_6787259"/>
    <x v="6"/>
    <n v="2"/>
    <n v="4"/>
    <n v="8"/>
    <x v="0"/>
    <x v="1"/>
    <d v="2023-08-18T00:00:00"/>
  </r>
  <r>
    <s v="TXN_7062893"/>
    <x v="4"/>
    <n v="2"/>
    <n v="4"/>
    <n v="8"/>
    <x v="3"/>
    <x v="1"/>
    <d v="2023-10-15T00:00:00"/>
  </r>
  <r>
    <s v="TXN_7482834"/>
    <x v="6"/>
    <n v="5"/>
    <n v="4"/>
    <n v="20"/>
    <x v="2"/>
    <x v="1"/>
    <d v="2023-05-16T00:00:00"/>
  </r>
  <r>
    <s v="TXN_8533584"/>
    <x v="2"/>
    <n v="2"/>
    <n v="1"/>
    <n v="2"/>
    <x v="1"/>
    <x v="0"/>
    <d v="2023-03-11T00:00:00"/>
  </r>
  <r>
    <s v="TXN_4311369"/>
    <x v="4"/>
    <n v="2"/>
    <n v="4"/>
    <n v="8"/>
    <x v="3"/>
    <x v="0"/>
    <d v="2023-08-18T00:00:00"/>
  </r>
  <r>
    <s v="TXN_7123353"/>
    <x v="2"/>
    <n v="4"/>
    <n v="1"/>
    <n v="4"/>
    <x v="2"/>
    <x v="1"/>
    <d v="2023-02-08T00:00:00"/>
  </r>
  <r>
    <s v="TXN_8230414"/>
    <x v="6"/>
    <n v="4"/>
    <n v="4"/>
    <n v="16"/>
    <x v="1"/>
    <x v="2"/>
    <d v="2023-11-20T00:00:00"/>
  </r>
  <r>
    <s v="TXN_3738314"/>
    <x v="6"/>
    <n v="4"/>
    <n v="4"/>
    <n v="16"/>
    <x v="2"/>
    <x v="2"/>
    <d v="2023-08-06T00:00:00"/>
  </r>
  <r>
    <s v="TXN_3200434"/>
    <x v="1"/>
    <n v="4"/>
    <n v="3"/>
    <n v="12"/>
    <x v="2"/>
    <x v="2"/>
    <d v="2023-02-18T00:00:00"/>
  </r>
  <r>
    <s v="TXN_7485706"/>
    <x v="2"/>
    <n v="5"/>
    <n v="1"/>
    <n v="5"/>
    <x v="0"/>
    <x v="0"/>
    <d v="2023-11-15T00:00:00"/>
  </r>
  <r>
    <s v="TXN_9908225"/>
    <x v="4"/>
    <n v="5"/>
    <n v="4"/>
    <n v="20"/>
    <x v="0"/>
    <x v="1"/>
    <d v="2023-01-04T00:00:00"/>
  </r>
  <r>
    <s v="TXN_7163533"/>
    <x v="4"/>
    <n v="4"/>
    <n v="4"/>
    <n v="16"/>
    <x v="0"/>
    <x v="0"/>
    <d v="2023-08-17T00:00:00"/>
  </r>
  <r>
    <s v="TXN_6867995"/>
    <x v="2"/>
    <n v="3"/>
    <n v="1"/>
    <n v="3"/>
    <x v="3"/>
    <x v="1"/>
    <d v="2023-10-15T00:00:00"/>
  </r>
  <r>
    <s v="TXN_9563685"/>
    <x v="3"/>
    <n v="1"/>
    <n v="5"/>
    <n v="5"/>
    <x v="0"/>
    <x v="2"/>
    <d v="2023-07-28T00:00:00"/>
  </r>
  <r>
    <s v="TXN_3345675"/>
    <x v="2"/>
    <n v="4"/>
    <n v="1"/>
    <n v="4"/>
    <x v="2"/>
    <x v="2"/>
    <d v="2023-09-23T00:00:00"/>
  </r>
  <r>
    <s v="TXN_9890734"/>
    <x v="4"/>
    <n v="4"/>
    <n v="4"/>
    <n v="16"/>
    <x v="2"/>
    <x v="0"/>
    <d v="2023-04-17T00:00:00"/>
  </r>
  <r>
    <s v="TXN_7697294"/>
    <x v="4"/>
    <n v="3"/>
    <n v="4"/>
    <n v="12"/>
    <x v="2"/>
    <x v="2"/>
    <d v="2023-01-17T00:00:00"/>
  </r>
  <r>
    <s v="TXN_5256055"/>
    <x v="3"/>
    <n v="5"/>
    <n v="5"/>
    <n v="25"/>
    <x v="0"/>
    <x v="0"/>
    <d v="2023-02-07T00:00:00"/>
  </r>
  <r>
    <s v="TXN_3399674"/>
    <x v="4"/>
    <n v="5"/>
    <n v="4"/>
    <n v="20"/>
    <x v="3"/>
    <x v="2"/>
    <d v="2023-12-09T00:00:00"/>
  </r>
  <r>
    <s v="TXN_6067979"/>
    <x v="6"/>
    <n v="1"/>
    <n v="4"/>
    <n v="4"/>
    <x v="0"/>
    <x v="1"/>
    <d v="2023-07-29T00:00:00"/>
  </r>
  <r>
    <s v="TXN_4340811"/>
    <x v="1"/>
    <n v="5"/>
    <n v="3"/>
    <n v="15"/>
    <x v="2"/>
    <x v="1"/>
    <d v="2023-04-15T00:00:00"/>
  </r>
  <r>
    <s v="TXN_6515226"/>
    <x v="7"/>
    <n v="1"/>
    <n v="3"/>
    <n v="3"/>
    <x v="3"/>
    <x v="2"/>
    <d v="2023-01-05T00:00:00"/>
  </r>
  <r>
    <s v="TXN_6069730"/>
    <x v="7"/>
    <n v="1"/>
    <n v="3"/>
    <n v="3"/>
    <x v="1"/>
    <x v="1"/>
    <d v="2023-02-05T00:00:00"/>
  </r>
  <r>
    <s v="TXN_2396191"/>
    <x v="7"/>
    <n v="4"/>
    <n v="3"/>
    <n v="12"/>
    <x v="0"/>
    <x v="2"/>
    <d v="2023-05-12T00:00:00"/>
  </r>
  <r>
    <s v="TXN_5223162"/>
    <x v="7"/>
    <n v="3"/>
    <n v="3"/>
    <n v="9"/>
    <x v="3"/>
    <x v="2"/>
    <d v="2023-10-29T00:00:00"/>
  </r>
  <r>
    <s v="TXN_4224401"/>
    <x v="3"/>
    <n v="3"/>
    <n v="5"/>
    <n v="15"/>
    <x v="3"/>
    <x v="1"/>
    <d v="2023-12-18T00:00:00"/>
  </r>
  <r>
    <s v="TXN_9298882"/>
    <x v="6"/>
    <n v="3"/>
    <n v="4"/>
    <n v="12"/>
    <x v="2"/>
    <x v="2"/>
    <d v="2023-01-13T00:00:00"/>
  </r>
  <r>
    <s v="TXN_1048616"/>
    <x v="8"/>
    <n v="1"/>
    <n v="1.5"/>
    <n v="1.5"/>
    <x v="1"/>
    <x v="2"/>
    <d v="2023-10-10T00:00:00"/>
  </r>
  <r>
    <s v="TXN_5896141"/>
    <x v="4"/>
    <n v="5"/>
    <n v="4"/>
    <n v="20"/>
    <x v="2"/>
    <x v="1"/>
    <d v="2023-03-08T00:00:00"/>
  </r>
  <r>
    <s v="TXN_8549341"/>
    <x v="1"/>
    <n v="5"/>
    <n v="3"/>
    <n v="15"/>
    <x v="1"/>
    <x v="0"/>
    <m/>
  </r>
  <r>
    <s v="TXN_6929664"/>
    <x v="0"/>
    <n v="1"/>
    <n v="2"/>
    <n v="2"/>
    <x v="2"/>
    <x v="0"/>
    <d v="2023-03-05T00:00:00"/>
  </r>
  <r>
    <s v="TXN_1570632"/>
    <x v="6"/>
    <n v="5"/>
    <n v="4"/>
    <n v="20"/>
    <x v="3"/>
    <x v="2"/>
    <d v="2023-02-28T00:00:00"/>
  </r>
  <r>
    <s v="TXN_4650811"/>
    <x v="8"/>
    <n v="5"/>
    <n v="1.5"/>
    <n v="7.5"/>
    <x v="1"/>
    <x v="2"/>
    <d v="2023-09-26T00:00:00"/>
  </r>
  <r>
    <s v="TXN_9858152"/>
    <x v="4"/>
    <n v="2"/>
    <n v="4"/>
    <n v="8"/>
    <x v="3"/>
    <x v="1"/>
    <d v="2023-01-28T00:00:00"/>
  </r>
  <r>
    <s v="TXN_2666773"/>
    <x v="7"/>
    <n v="3"/>
    <n v="3"/>
    <n v="9"/>
    <x v="0"/>
    <x v="2"/>
    <d v="2023-06-29T00:00:00"/>
  </r>
  <r>
    <s v="TXN_1387062"/>
    <x v="5"/>
    <n v="5"/>
    <n v="4"/>
    <n v="20"/>
    <x v="0"/>
    <x v="2"/>
    <d v="2023-08-22T00:00:00"/>
  </r>
  <r>
    <s v="TXN_4060332"/>
    <x v="4"/>
    <n v="3"/>
    <n v="4"/>
    <n v="12"/>
    <x v="0"/>
    <x v="0"/>
    <d v="2023-07-10T00:00:00"/>
  </r>
  <r>
    <s v="TXN_2780349"/>
    <x v="0"/>
    <n v="5"/>
    <n v="2"/>
    <n v="10"/>
    <x v="1"/>
    <x v="2"/>
    <d v="2023-11-12T00:00:00"/>
  </r>
  <r>
    <s v="TXN_5923474"/>
    <x v="1"/>
    <n v="4"/>
    <n v="3"/>
    <n v="12"/>
    <x v="2"/>
    <x v="1"/>
    <m/>
  </r>
  <r>
    <s v="TXN_2905218"/>
    <x v="4"/>
    <n v="5"/>
    <n v="4"/>
    <n v="20"/>
    <x v="1"/>
    <x v="1"/>
    <d v="2023-09-03T00:00:00"/>
  </r>
  <r>
    <s v="TXN_2041190"/>
    <x v="7"/>
    <n v="1"/>
    <n v="3"/>
    <n v="3"/>
    <x v="3"/>
    <x v="2"/>
    <d v="2023-11-04T00:00:00"/>
  </r>
  <r>
    <s v="TXN_8269366"/>
    <x v="6"/>
    <n v="1"/>
    <n v="4"/>
    <n v="4"/>
    <x v="2"/>
    <x v="2"/>
    <d v="2023-10-31T00:00:00"/>
  </r>
  <r>
    <s v="TXN_8277583"/>
    <x v="2"/>
    <n v="5"/>
    <n v="1"/>
    <n v="5"/>
    <x v="3"/>
    <x v="0"/>
    <d v="2023-08-15T00:00:00"/>
  </r>
  <r>
    <s v="TXN_3785049"/>
    <x v="6"/>
    <n v="4"/>
    <n v="4"/>
    <n v="16"/>
    <x v="2"/>
    <x v="2"/>
    <d v="2023-11-26T00:00:00"/>
  </r>
  <r>
    <s v="TXN_8819928"/>
    <x v="0"/>
    <n v="5"/>
    <n v="2"/>
    <n v="10"/>
    <x v="2"/>
    <x v="2"/>
    <d v="2023-06-03T00:00:00"/>
  </r>
  <r>
    <s v="TXN_2078317"/>
    <x v="8"/>
    <n v="1"/>
    <n v="1.5"/>
    <n v="1.5"/>
    <x v="1"/>
    <x v="1"/>
    <d v="2023-09-21T00:00:00"/>
  </r>
  <r>
    <s v="TXN_8657361"/>
    <x v="5"/>
    <n v="4"/>
    <n v="2"/>
    <n v="8"/>
    <x v="2"/>
    <x v="0"/>
    <d v="2023-01-24T00:00:00"/>
  </r>
  <r>
    <s v="TXN_4442954"/>
    <x v="0"/>
    <n v="2"/>
    <n v="2"/>
    <n v="4"/>
    <x v="1"/>
    <x v="2"/>
    <d v="2023-12-15T00:00:00"/>
  </r>
  <r>
    <s v="TXN_8076449"/>
    <x v="7"/>
    <n v="3"/>
    <n v="3"/>
    <n v="9"/>
    <x v="2"/>
    <x v="0"/>
    <m/>
  </r>
  <r>
    <s v="TXN_1560873"/>
    <x v="2"/>
    <n v="2"/>
    <n v="1"/>
    <n v="2"/>
    <x v="2"/>
    <x v="0"/>
    <d v="2023-07-19T00:00:00"/>
  </r>
  <r>
    <s v="TXN_7057481"/>
    <x v="4"/>
    <n v="3"/>
    <n v="4"/>
    <n v="12"/>
    <x v="1"/>
    <x v="1"/>
    <d v="2023-07-11T00:00:00"/>
  </r>
  <r>
    <s v="TXN_6869767"/>
    <x v="4"/>
    <n v="2"/>
    <n v="4"/>
    <n v="8"/>
    <x v="3"/>
    <x v="0"/>
    <d v="2023-06-06T00:00:00"/>
  </r>
  <r>
    <s v="TXN_3705445"/>
    <x v="2"/>
    <n v="5"/>
    <n v="1"/>
    <n v="5"/>
    <x v="1"/>
    <x v="1"/>
    <d v="2023-09-13T00:00:00"/>
  </r>
  <r>
    <s v="TXN_9714665"/>
    <x v="3"/>
    <n v="1"/>
    <n v="5"/>
    <n v="5"/>
    <x v="2"/>
    <x v="0"/>
    <d v="2023-11-11T00:00:00"/>
  </r>
  <r>
    <s v="TXN_4155770"/>
    <x v="3"/>
    <n v="5"/>
    <n v="5"/>
    <n v="25"/>
    <x v="2"/>
    <x v="1"/>
    <d v="2023-09-20T00:00:00"/>
  </r>
  <r>
    <s v="TXN_1828494"/>
    <x v="7"/>
    <n v="2"/>
    <n v="3"/>
    <n v="6"/>
    <x v="3"/>
    <x v="0"/>
    <d v="2023-07-21T00:00:00"/>
  </r>
  <r>
    <s v="TXN_5992635"/>
    <x v="0"/>
    <n v="4"/>
    <n v="2"/>
    <n v="8"/>
    <x v="3"/>
    <x v="0"/>
    <m/>
  </r>
  <r>
    <s v="TXN_6011304"/>
    <x v="1"/>
    <n v="4"/>
    <n v="3"/>
    <n v="12"/>
    <x v="1"/>
    <x v="2"/>
    <d v="2023-11-20T00:00:00"/>
  </r>
  <r>
    <s v="TXN_6223157"/>
    <x v="3"/>
    <n v="1"/>
    <n v="5"/>
    <n v="5"/>
    <x v="2"/>
    <x v="0"/>
    <d v="2023-09-13T00:00:00"/>
  </r>
  <r>
    <s v="TXN_8526084"/>
    <x v="1"/>
    <n v="5"/>
    <n v="3"/>
    <n v="15"/>
    <x v="2"/>
    <x v="0"/>
    <d v="2023-03-05T00:00:00"/>
  </r>
  <r>
    <s v="TXN_3509609"/>
    <x v="4"/>
    <n v="3"/>
    <n v="4"/>
    <n v="12"/>
    <x v="3"/>
    <x v="0"/>
    <d v="2023-12-25T00:00:00"/>
  </r>
  <r>
    <s v="TXN_4276442"/>
    <x v="1"/>
    <n v="4"/>
    <n v="3"/>
    <n v="12"/>
    <x v="0"/>
    <x v="1"/>
    <d v="2023-01-25T00:00:00"/>
  </r>
  <r>
    <s v="TXN_4532475"/>
    <x v="0"/>
    <n v="1"/>
    <n v="2"/>
    <n v="2"/>
    <x v="3"/>
    <x v="2"/>
    <d v="2023-04-23T00:00:00"/>
  </r>
  <r>
    <s v="TXN_7956243"/>
    <x v="1"/>
    <n v="4"/>
    <n v="3"/>
    <n v="12"/>
    <x v="1"/>
    <x v="0"/>
    <d v="2023-05-23T00:00:00"/>
  </r>
  <r>
    <s v="TXN_4798335"/>
    <x v="6"/>
    <n v="5"/>
    <n v="4"/>
    <n v="20"/>
    <x v="2"/>
    <x v="0"/>
    <d v="2023-02-16T00:00:00"/>
  </r>
  <r>
    <s v="TXN_9336674"/>
    <x v="3"/>
    <n v="4"/>
    <n v="5"/>
    <n v="20"/>
    <x v="2"/>
    <x v="2"/>
    <d v="2023-01-18T00:00:00"/>
  </r>
  <r>
    <s v="TXN_5257169"/>
    <x v="7"/>
    <n v="4"/>
    <n v="3"/>
    <n v="12"/>
    <x v="0"/>
    <x v="2"/>
    <d v="2023-01-12T00:00:00"/>
  </r>
  <r>
    <s v="TXN_5929633"/>
    <x v="1"/>
    <n v="3"/>
    <n v="3"/>
    <n v="9"/>
    <x v="2"/>
    <x v="1"/>
    <d v="2023-02-27T00:00:00"/>
  </r>
  <r>
    <s v="TXN_9323014"/>
    <x v="2"/>
    <n v="3"/>
    <n v="1"/>
    <n v="3"/>
    <x v="2"/>
    <x v="1"/>
    <d v="2023-08-15T00:00:00"/>
  </r>
  <r>
    <s v="TXN_5764902"/>
    <x v="8"/>
    <n v="5"/>
    <n v="1.5"/>
    <n v="7.5"/>
    <x v="2"/>
    <x v="0"/>
    <d v="2023-03-22T00:00:00"/>
  </r>
  <r>
    <s v="TXN_1473693"/>
    <x v="4"/>
    <n v="4"/>
    <n v="4"/>
    <n v="16"/>
    <x v="2"/>
    <x v="0"/>
    <d v="2023-05-14T00:00:00"/>
  </r>
  <r>
    <s v="TXN_3827851"/>
    <x v="0"/>
    <n v="1"/>
    <n v="2"/>
    <n v="2"/>
    <x v="2"/>
    <x v="2"/>
    <d v="2023-01-09T00:00:00"/>
  </r>
  <r>
    <s v="TXN_9087746"/>
    <x v="0"/>
    <n v="4"/>
    <n v="2"/>
    <n v="8"/>
    <x v="3"/>
    <x v="2"/>
    <d v="2023-04-03T00:00:00"/>
  </r>
  <r>
    <s v="TXN_3709853"/>
    <x v="4"/>
    <n v="2"/>
    <n v="4"/>
    <n v="8"/>
    <x v="0"/>
    <x v="0"/>
    <d v="2023-08-21T00:00:00"/>
  </r>
  <r>
    <s v="TXN_9665245"/>
    <x v="5"/>
    <n v="1"/>
    <n v="1"/>
    <n v="1"/>
    <x v="2"/>
    <x v="0"/>
    <d v="2023-10-17T00:00:00"/>
  </r>
  <r>
    <s v="TXN_9486849"/>
    <x v="1"/>
    <n v="1"/>
    <n v="3"/>
    <n v="3"/>
    <x v="1"/>
    <x v="0"/>
    <d v="2023-03-17T00:00:00"/>
  </r>
  <r>
    <s v="TXN_7581536"/>
    <x v="4"/>
    <n v="2"/>
    <n v="4"/>
    <n v="8"/>
    <x v="1"/>
    <x v="2"/>
    <d v="2023-12-29T00:00:00"/>
  </r>
  <r>
    <s v="TXN_1408709"/>
    <x v="4"/>
    <n v="5"/>
    <n v="4"/>
    <n v="20"/>
    <x v="1"/>
    <x v="0"/>
    <d v="2023-04-14T00:00:00"/>
  </r>
  <r>
    <s v="TXN_6494850"/>
    <x v="0"/>
    <n v="2"/>
    <n v="2"/>
    <n v="4"/>
    <x v="1"/>
    <x v="2"/>
    <d v="2023-07-08T00:00:00"/>
  </r>
  <r>
    <s v="TXN_4003040"/>
    <x v="2"/>
    <n v="4"/>
    <n v="1"/>
    <n v="4"/>
    <x v="0"/>
    <x v="1"/>
    <d v="2023-09-12T00:00:00"/>
  </r>
  <r>
    <s v="TXN_1021087"/>
    <x v="6"/>
    <n v="1"/>
    <n v="4"/>
    <n v="4"/>
    <x v="2"/>
    <x v="2"/>
    <d v="2023-11-01T00:00:00"/>
  </r>
  <r>
    <s v="TXN_1082717"/>
    <x v="5"/>
    <m/>
    <m/>
    <n v="9"/>
    <x v="3"/>
    <x v="1"/>
    <d v="2023-12-13T00:00:00"/>
  </r>
  <r>
    <s v="TXN_2530326"/>
    <x v="6"/>
    <n v="5"/>
    <n v="4"/>
    <n v="20"/>
    <x v="2"/>
    <x v="1"/>
    <d v="2023-05-06T00:00:00"/>
  </r>
  <r>
    <s v="TXN_1309653"/>
    <x v="3"/>
    <n v="2"/>
    <n v="5"/>
    <n v="10"/>
    <x v="1"/>
    <x v="1"/>
    <m/>
  </r>
  <r>
    <s v="TXN_9781679"/>
    <x v="6"/>
    <n v="2"/>
    <n v="4"/>
    <n v="8"/>
    <x v="0"/>
    <x v="0"/>
    <d v="2023-09-08T00:00:00"/>
  </r>
  <r>
    <s v="TXN_8208915"/>
    <x v="7"/>
    <n v="2"/>
    <n v="3"/>
    <n v="6"/>
    <x v="1"/>
    <x v="2"/>
    <d v="2023-05-09T00:00:00"/>
  </r>
  <r>
    <s v="TXN_5499117"/>
    <x v="3"/>
    <n v="4"/>
    <n v="5"/>
    <n v="20"/>
    <x v="3"/>
    <x v="2"/>
    <d v="2023-07-16T00:00:00"/>
  </r>
  <r>
    <s v="TXN_8566499"/>
    <x v="3"/>
    <n v="5"/>
    <n v="5"/>
    <n v="25"/>
    <x v="3"/>
    <x v="1"/>
    <d v="2023-12-27T00:00:00"/>
  </r>
  <r>
    <s v="TXN_8510450"/>
    <x v="5"/>
    <n v="4"/>
    <n v="3"/>
    <n v="12"/>
    <x v="2"/>
    <x v="2"/>
    <d v="2023-01-04T00:00:00"/>
  </r>
  <r>
    <s v="TXN_9370771"/>
    <x v="7"/>
    <n v="5"/>
    <n v="3"/>
    <n v="15"/>
    <x v="1"/>
    <x v="1"/>
    <d v="2023-08-21T00:00:00"/>
  </r>
  <r>
    <s v="TXN_5914284"/>
    <x v="0"/>
    <n v="2"/>
    <n v="2"/>
    <n v="4"/>
    <x v="0"/>
    <x v="0"/>
    <d v="2023-06-25T00:00:00"/>
  </r>
  <r>
    <s v="TXN_9590819"/>
    <x v="0"/>
    <n v="3"/>
    <n v="2"/>
    <n v="6"/>
    <x v="2"/>
    <x v="1"/>
    <d v="2023-11-21T00:00:00"/>
  </r>
  <r>
    <s v="TXN_9878649"/>
    <x v="4"/>
    <n v="5"/>
    <n v="4"/>
    <n v="20"/>
    <x v="1"/>
    <x v="0"/>
    <d v="2023-09-18T00:00:00"/>
  </r>
  <r>
    <s v="TXN_5909816"/>
    <x v="7"/>
    <n v="5"/>
    <n v="3"/>
    <n v="15"/>
    <x v="1"/>
    <x v="0"/>
    <d v="2023-09-19T00:00:00"/>
  </r>
  <r>
    <s v="TXN_9461980"/>
    <x v="3"/>
    <n v="1"/>
    <n v="5"/>
    <n v="5"/>
    <x v="0"/>
    <x v="1"/>
    <d v="2023-04-14T00:00:00"/>
  </r>
  <r>
    <s v="TXN_8090470"/>
    <x v="6"/>
    <n v="4"/>
    <n v="4"/>
    <n v="16"/>
    <x v="3"/>
    <x v="0"/>
    <d v="2023-11-18T00:00:00"/>
  </r>
  <r>
    <s v="TXN_9041473"/>
    <x v="4"/>
    <n v="2"/>
    <n v="4"/>
    <n v="8"/>
    <x v="3"/>
    <x v="2"/>
    <m/>
  </r>
  <r>
    <s v="TXN_6052534"/>
    <x v="3"/>
    <n v="4"/>
    <n v="5"/>
    <n v="20"/>
    <x v="1"/>
    <x v="2"/>
    <d v="2023-02-19T00:00:00"/>
  </r>
  <r>
    <s v="TXN_1392546"/>
    <x v="1"/>
    <n v="2"/>
    <n v="3"/>
    <n v="6"/>
    <x v="3"/>
    <x v="1"/>
    <d v="2023-12-06T00:00:00"/>
  </r>
  <r>
    <s v="TXN_8128146"/>
    <x v="5"/>
    <n v="2"/>
    <n v="3"/>
    <n v="6"/>
    <x v="1"/>
    <x v="1"/>
    <d v="2023-05-16T00:00:00"/>
  </r>
  <r>
    <s v="TXN_2119325"/>
    <x v="1"/>
    <n v="5"/>
    <n v="3"/>
    <n v="15"/>
    <x v="2"/>
    <x v="1"/>
    <d v="2023-11-13T00:00:00"/>
  </r>
  <r>
    <s v="TXN_9067752"/>
    <x v="4"/>
    <n v="2"/>
    <n v="4"/>
    <n v="8"/>
    <x v="3"/>
    <x v="0"/>
    <d v="2023-04-24T00:00:00"/>
  </r>
  <r>
    <s v="TXN_8211133"/>
    <x v="8"/>
    <n v="2"/>
    <n v="1.5"/>
    <n v="3"/>
    <x v="2"/>
    <x v="0"/>
    <d v="2023-08-31T00:00:00"/>
  </r>
  <r>
    <s v="TXN_2331025"/>
    <x v="2"/>
    <n v="2"/>
    <n v="1"/>
    <n v="2"/>
    <x v="1"/>
    <x v="2"/>
    <d v="2023-04-28T00:00:00"/>
  </r>
  <r>
    <s v="TXN_3543133"/>
    <x v="8"/>
    <n v="2"/>
    <n v="1.5"/>
    <n v="3"/>
    <x v="2"/>
    <x v="2"/>
    <d v="2023-04-08T00:00:00"/>
  </r>
  <r>
    <s v="TXN_2640771"/>
    <x v="2"/>
    <n v="2"/>
    <n v="1"/>
    <n v="2"/>
    <x v="3"/>
    <x v="0"/>
    <d v="2023-01-27T00:00:00"/>
  </r>
  <r>
    <s v="TXN_1103883"/>
    <x v="2"/>
    <n v="5"/>
    <n v="1"/>
    <n v="5"/>
    <x v="0"/>
    <x v="2"/>
    <d v="2023-08-09T00:00:00"/>
  </r>
  <r>
    <s v="TXN_8593064"/>
    <x v="4"/>
    <n v="4"/>
    <n v="4"/>
    <n v="16"/>
    <x v="1"/>
    <x v="0"/>
    <d v="2023-03-12T00:00:00"/>
  </r>
  <r>
    <s v="TXN_1803599"/>
    <x v="5"/>
    <n v="1"/>
    <n v="4"/>
    <n v="4"/>
    <x v="3"/>
    <x v="0"/>
    <d v="2023-08-30T00:00:00"/>
  </r>
  <r>
    <s v="TXN_2873573"/>
    <x v="0"/>
    <n v="3"/>
    <n v="2"/>
    <n v="6"/>
    <x v="2"/>
    <x v="1"/>
    <d v="2023-01-11T00:00:00"/>
  </r>
  <r>
    <s v="TXN_9223045"/>
    <x v="8"/>
    <n v="5"/>
    <n v="1.5"/>
    <n v="7.5"/>
    <x v="0"/>
    <x v="1"/>
    <d v="2023-10-29T00:00:00"/>
  </r>
  <r>
    <s v="TXN_9502424"/>
    <x v="5"/>
    <n v="4"/>
    <n v="3"/>
    <n v="12"/>
    <x v="1"/>
    <x v="2"/>
    <d v="2023-09-06T00:00:00"/>
  </r>
  <r>
    <s v="TXN_8659330"/>
    <x v="8"/>
    <n v="4"/>
    <n v="1.5"/>
    <n v="6"/>
    <x v="0"/>
    <x v="0"/>
    <d v="2023-08-20T00:00:00"/>
  </r>
  <r>
    <s v="TXN_5615754"/>
    <x v="4"/>
    <n v="5"/>
    <n v="4"/>
    <n v="20"/>
    <x v="3"/>
    <x v="0"/>
    <d v="2023-04-16T00:00:00"/>
  </r>
  <r>
    <s v="TXN_2898571"/>
    <x v="4"/>
    <n v="3"/>
    <n v="4"/>
    <n v="12"/>
    <x v="2"/>
    <x v="2"/>
    <d v="2023-05-10T00:00:00"/>
  </r>
  <r>
    <s v="TXN_1584851"/>
    <x v="4"/>
    <n v="1"/>
    <n v="4"/>
    <n v="4"/>
    <x v="0"/>
    <x v="2"/>
    <d v="2023-04-10T00:00:00"/>
  </r>
  <r>
    <s v="TXN_9430262"/>
    <x v="0"/>
    <n v="5"/>
    <n v="2"/>
    <n v="10"/>
    <x v="2"/>
    <x v="2"/>
    <d v="2023-03-16T00:00:00"/>
  </r>
  <r>
    <s v="TXN_9042309"/>
    <x v="0"/>
    <n v="2"/>
    <n v="2"/>
    <n v="4"/>
    <x v="1"/>
    <x v="2"/>
    <d v="2023-12-03T00:00:00"/>
  </r>
  <r>
    <s v="TXN_4816652"/>
    <x v="6"/>
    <n v="1"/>
    <n v="4"/>
    <n v="4"/>
    <x v="2"/>
    <x v="2"/>
    <d v="2023-07-17T00:00:00"/>
  </r>
  <r>
    <s v="TXN_8127929"/>
    <x v="5"/>
    <n v="5"/>
    <n v="1"/>
    <n v="5"/>
    <x v="0"/>
    <x v="0"/>
    <d v="2023-10-08T00:00:00"/>
  </r>
  <r>
    <s v="TXN_8567172"/>
    <x v="0"/>
    <n v="3"/>
    <n v="2"/>
    <n v="6"/>
    <x v="2"/>
    <x v="1"/>
    <d v="2023-02-05T00:00:00"/>
  </r>
  <r>
    <s v="TXN_2317867"/>
    <x v="8"/>
    <n v="5"/>
    <n v="1.5"/>
    <n v="7.5"/>
    <x v="1"/>
    <x v="1"/>
    <d v="2023-01-23T00:00:00"/>
  </r>
  <r>
    <s v="TXN_4416436"/>
    <x v="0"/>
    <n v="3"/>
    <n v="2"/>
    <n v="6"/>
    <x v="3"/>
    <x v="2"/>
    <d v="2023-05-17T00:00:00"/>
  </r>
  <r>
    <s v="TXN_7467621"/>
    <x v="3"/>
    <n v="4"/>
    <n v="5"/>
    <n v="20"/>
    <x v="0"/>
    <x v="0"/>
    <d v="2023-01-28T00:00:00"/>
  </r>
  <r>
    <s v="TXN_5005999"/>
    <x v="3"/>
    <n v="4"/>
    <n v="5"/>
    <n v="20"/>
    <x v="1"/>
    <x v="2"/>
    <d v="2023-01-09T00:00:00"/>
  </r>
  <r>
    <s v="TXN_8664295"/>
    <x v="4"/>
    <n v="2"/>
    <n v="4"/>
    <n v="8"/>
    <x v="0"/>
    <x v="2"/>
    <d v="2023-02-23T00:00:00"/>
  </r>
  <r>
    <s v="TXN_4831311"/>
    <x v="5"/>
    <n v="2"/>
    <n v="2"/>
    <n v="4"/>
    <x v="1"/>
    <x v="0"/>
    <d v="2023-07-15T00:00:00"/>
  </r>
  <r>
    <s v="TXN_2528186"/>
    <x v="5"/>
    <n v="2"/>
    <n v="2"/>
    <n v="4"/>
    <x v="1"/>
    <x v="2"/>
    <d v="2023-06-17T00:00:00"/>
  </r>
  <r>
    <s v="TXN_4971093"/>
    <x v="4"/>
    <n v="4"/>
    <n v="4"/>
    <n v="16"/>
    <x v="2"/>
    <x v="0"/>
    <d v="2023-03-27T00:00:00"/>
  </r>
  <r>
    <s v="TXN_3602272"/>
    <x v="4"/>
    <n v="3"/>
    <n v="4"/>
    <n v="12"/>
    <x v="3"/>
    <x v="0"/>
    <d v="2023-02-15T00:00:00"/>
  </r>
  <r>
    <s v="TXN_4913329"/>
    <x v="0"/>
    <n v="5"/>
    <n v="2"/>
    <n v="10"/>
    <x v="0"/>
    <x v="0"/>
    <d v="2023-10-30T00:00:00"/>
  </r>
  <r>
    <s v="TXN_8830809"/>
    <x v="6"/>
    <n v="5"/>
    <n v="4"/>
    <n v="20"/>
    <x v="3"/>
    <x v="1"/>
    <d v="2023-07-31T00:00:00"/>
  </r>
  <r>
    <s v="TXN_7223387"/>
    <x v="7"/>
    <n v="3"/>
    <n v="3"/>
    <n v="9"/>
    <x v="1"/>
    <x v="2"/>
    <d v="2023-12-17T00:00:00"/>
  </r>
  <r>
    <s v="TXN_1629092"/>
    <x v="2"/>
    <n v="3"/>
    <n v="1"/>
    <n v="3"/>
    <x v="0"/>
    <x v="2"/>
    <d v="2023-02-13T00:00:00"/>
  </r>
  <r>
    <s v="TXN_4363360"/>
    <x v="4"/>
    <n v="1"/>
    <n v="4"/>
    <n v="4"/>
    <x v="0"/>
    <x v="2"/>
    <d v="2023-12-22T00:00:00"/>
  </r>
  <r>
    <s v="TXN_9689507"/>
    <x v="3"/>
    <n v="3"/>
    <n v="5"/>
    <n v="15"/>
    <x v="1"/>
    <x v="1"/>
    <d v="2023-06-10T00:00:00"/>
  </r>
  <r>
    <s v="TXN_3317406"/>
    <x v="6"/>
    <n v="3"/>
    <n v="4"/>
    <n v="12"/>
    <x v="2"/>
    <x v="0"/>
    <d v="2023-01-04T00:00:00"/>
  </r>
  <r>
    <s v="TXN_9662632"/>
    <x v="3"/>
    <n v="4"/>
    <n v="5"/>
    <n v="20"/>
    <x v="3"/>
    <x v="1"/>
    <d v="2023-08-10T00:00:00"/>
  </r>
  <r>
    <s v="TXN_1364211"/>
    <x v="3"/>
    <n v="2"/>
    <n v="5"/>
    <n v="10"/>
    <x v="2"/>
    <x v="1"/>
    <d v="2023-03-08T00:00:00"/>
  </r>
  <r>
    <s v="TXN_1102876"/>
    <x v="2"/>
    <n v="1"/>
    <n v="1"/>
    <n v="1"/>
    <x v="1"/>
    <x v="2"/>
    <m/>
  </r>
  <r>
    <s v="TXN_2673294"/>
    <x v="0"/>
    <n v="3"/>
    <n v="2"/>
    <n v="6"/>
    <x v="1"/>
    <x v="2"/>
    <d v="2023-11-11T00:00:00"/>
  </r>
  <r>
    <s v="TXN_2112848"/>
    <x v="2"/>
    <n v="4"/>
    <n v="1"/>
    <n v="4"/>
    <x v="0"/>
    <x v="1"/>
    <d v="2023-10-16T00:00:00"/>
  </r>
  <r>
    <s v="TXN_1801691"/>
    <x v="3"/>
    <n v="1"/>
    <n v="5"/>
    <n v="5"/>
    <x v="2"/>
    <x v="0"/>
    <d v="2023-05-18T00:00:00"/>
  </r>
  <r>
    <s v="TXN_6424195"/>
    <x v="0"/>
    <n v="3"/>
    <n v="2"/>
    <n v="6"/>
    <x v="2"/>
    <x v="0"/>
    <d v="2023-09-14T00:00:00"/>
  </r>
  <r>
    <s v="TXN_7854162"/>
    <x v="1"/>
    <n v="5"/>
    <n v="3"/>
    <n v="15"/>
    <x v="3"/>
    <x v="2"/>
    <m/>
  </r>
  <r>
    <s v="TXN_6923480"/>
    <x v="0"/>
    <n v="3"/>
    <n v="2"/>
    <n v="6"/>
    <x v="1"/>
    <x v="0"/>
    <d v="2023-10-27T00:00:00"/>
  </r>
  <r>
    <s v="TXN_7416669"/>
    <x v="8"/>
    <n v="3"/>
    <n v="1.5"/>
    <n v="4.5"/>
    <x v="2"/>
    <x v="2"/>
    <d v="2023-09-28T00:00:00"/>
  </r>
  <r>
    <s v="TXN_3693990"/>
    <x v="2"/>
    <n v="2"/>
    <n v="1"/>
    <n v="2"/>
    <x v="2"/>
    <x v="1"/>
    <d v="2023-07-19T00:00:00"/>
  </r>
  <r>
    <s v="TXN_8652632"/>
    <x v="8"/>
    <n v="1"/>
    <n v="1.5"/>
    <n v="1.5"/>
    <x v="3"/>
    <x v="2"/>
    <d v="2023-01-12T00:00:00"/>
  </r>
  <r>
    <s v="TXN_4141765"/>
    <x v="1"/>
    <n v="5"/>
    <n v="3"/>
    <n v="15"/>
    <x v="2"/>
    <x v="2"/>
    <d v="2023-12-17T00:00:00"/>
  </r>
  <r>
    <s v="TXN_8180793"/>
    <x v="2"/>
    <n v="4"/>
    <n v="1"/>
    <n v="4"/>
    <x v="3"/>
    <x v="2"/>
    <d v="2023-11-17T00:00:00"/>
  </r>
  <r>
    <s v="TXN_8875195"/>
    <x v="6"/>
    <n v="5"/>
    <n v="4"/>
    <n v="20"/>
    <x v="0"/>
    <x v="1"/>
    <d v="2023-08-21T00:00:00"/>
  </r>
  <r>
    <s v="TXN_9928552"/>
    <x v="6"/>
    <n v="5"/>
    <n v="4"/>
    <n v="20"/>
    <x v="0"/>
    <x v="0"/>
    <d v="2023-06-13T00:00:00"/>
  </r>
  <r>
    <s v="TXN_3456748"/>
    <x v="7"/>
    <n v="2"/>
    <n v="3"/>
    <n v="6"/>
    <x v="1"/>
    <x v="1"/>
    <d v="2023-01-30T00:00:00"/>
  </r>
  <r>
    <s v="TXN_5680687"/>
    <x v="3"/>
    <n v="4"/>
    <n v="5"/>
    <n v="20"/>
    <x v="0"/>
    <x v="2"/>
    <d v="2023-11-22T00:00:00"/>
  </r>
  <r>
    <s v="TXN_9349736"/>
    <x v="6"/>
    <n v="5"/>
    <n v="4"/>
    <n v="20"/>
    <x v="1"/>
    <x v="2"/>
    <d v="2023-03-18T00:00:00"/>
  </r>
  <r>
    <s v="TXN_7558010"/>
    <x v="7"/>
    <n v="4"/>
    <n v="3"/>
    <n v="12"/>
    <x v="2"/>
    <x v="2"/>
    <d v="2023-03-27T00:00:00"/>
  </r>
  <r>
    <s v="TXN_8172897"/>
    <x v="2"/>
    <n v="3"/>
    <n v="1"/>
    <n v="3"/>
    <x v="2"/>
    <x v="0"/>
    <d v="2023-03-14T00:00:00"/>
  </r>
  <r>
    <s v="TXN_8540794"/>
    <x v="1"/>
    <n v="4"/>
    <n v="3"/>
    <n v="12"/>
    <x v="1"/>
    <x v="2"/>
    <d v="2023-04-06T00:00:00"/>
  </r>
  <r>
    <s v="TXN_5966744"/>
    <x v="8"/>
    <n v="3"/>
    <n v="1.5"/>
    <n v="4.5"/>
    <x v="2"/>
    <x v="1"/>
    <d v="2023-12-13T00:00:00"/>
  </r>
  <r>
    <s v="TXN_3132921"/>
    <x v="8"/>
    <n v="5"/>
    <n v="1.5"/>
    <n v="7.5"/>
    <x v="0"/>
    <x v="1"/>
    <d v="2023-01-10T00:00:00"/>
  </r>
  <r>
    <s v="TXN_7029719"/>
    <x v="5"/>
    <n v="2"/>
    <n v="5"/>
    <n v="10"/>
    <x v="3"/>
    <x v="2"/>
    <d v="2023-06-18T00:00:00"/>
  </r>
  <r>
    <s v="TXN_3912440"/>
    <x v="8"/>
    <n v="2"/>
    <n v="1.5"/>
    <n v="3"/>
    <x v="2"/>
    <x v="1"/>
    <d v="2023-05-21T00:00:00"/>
  </r>
  <r>
    <s v="TXN_4276702"/>
    <x v="5"/>
    <n v="1"/>
    <n v="1"/>
    <n v="1"/>
    <x v="0"/>
    <x v="1"/>
    <d v="2023-11-17T00:00:00"/>
  </r>
  <r>
    <s v="TXN_7657615"/>
    <x v="7"/>
    <n v="3"/>
    <n v="3"/>
    <n v="9"/>
    <x v="0"/>
    <x v="2"/>
    <d v="2023-07-17T00:00:00"/>
  </r>
  <r>
    <s v="TXN_4020074"/>
    <x v="2"/>
    <n v="3"/>
    <n v="1"/>
    <n v="3"/>
    <x v="2"/>
    <x v="2"/>
    <d v="2023-03-01T00:00:00"/>
  </r>
  <r>
    <s v="TXN_8942747"/>
    <x v="2"/>
    <n v="5"/>
    <n v="1"/>
    <n v="5"/>
    <x v="2"/>
    <x v="0"/>
    <d v="2023-12-14T00:00:00"/>
  </r>
  <r>
    <s v="TXN_3902815"/>
    <x v="7"/>
    <n v="5"/>
    <n v="3"/>
    <n v="15"/>
    <x v="2"/>
    <x v="2"/>
    <d v="2023-06-28T00:00:00"/>
  </r>
  <r>
    <s v="TXN_8235042"/>
    <x v="5"/>
    <n v="1"/>
    <n v="4"/>
    <n v="4"/>
    <x v="0"/>
    <x v="2"/>
    <m/>
  </r>
  <r>
    <s v="TXN_6218380"/>
    <x v="2"/>
    <n v="4"/>
    <n v="1"/>
    <n v="4"/>
    <x v="1"/>
    <x v="1"/>
    <d v="2023-02-07T00:00:00"/>
  </r>
  <r>
    <s v="TXN_6905143"/>
    <x v="0"/>
    <n v="5"/>
    <n v="2"/>
    <n v="10"/>
    <x v="1"/>
    <x v="2"/>
    <d v="2023-08-09T00:00:00"/>
  </r>
  <r>
    <s v="TXN_3839691"/>
    <x v="0"/>
    <n v="4"/>
    <n v="2"/>
    <n v="8"/>
    <x v="0"/>
    <x v="1"/>
    <d v="2023-02-13T00:00:00"/>
  </r>
  <r>
    <s v="TXN_4866254"/>
    <x v="3"/>
    <n v="4"/>
    <n v="5"/>
    <n v="20"/>
    <x v="1"/>
    <x v="2"/>
    <d v="2023-03-18T00:00:00"/>
  </r>
  <r>
    <s v="TXN_8935781"/>
    <x v="0"/>
    <n v="2"/>
    <n v="2"/>
    <n v="4"/>
    <x v="2"/>
    <x v="2"/>
    <d v="2023-09-10T00:00:00"/>
  </r>
  <r>
    <s v="TXN_2559020"/>
    <x v="1"/>
    <n v="1"/>
    <n v="3"/>
    <n v="3"/>
    <x v="3"/>
    <x v="0"/>
    <d v="2023-07-20T00:00:00"/>
  </r>
  <r>
    <s v="TXN_8607376"/>
    <x v="0"/>
    <n v="5"/>
    <n v="2"/>
    <n v="10"/>
    <x v="1"/>
    <x v="1"/>
    <d v="2023-06-13T00:00:00"/>
  </r>
  <r>
    <s v="TXN_5858713"/>
    <x v="2"/>
    <n v="2"/>
    <n v="1"/>
    <n v="2"/>
    <x v="0"/>
    <x v="1"/>
    <d v="2023-03-05T00:00:00"/>
  </r>
  <r>
    <s v="TXN_7064604"/>
    <x v="0"/>
    <n v="3"/>
    <n v="2"/>
    <n v="6"/>
    <x v="3"/>
    <x v="2"/>
    <d v="2023-03-26T00:00:00"/>
  </r>
  <r>
    <s v="TXN_3312690"/>
    <x v="2"/>
    <n v="3"/>
    <n v="1"/>
    <n v="3"/>
    <x v="0"/>
    <x v="1"/>
    <d v="2023-03-01T00:00:00"/>
  </r>
  <r>
    <s v="TXN_1547555"/>
    <x v="4"/>
    <n v="3"/>
    <n v="4"/>
    <n v="12"/>
    <x v="2"/>
    <x v="0"/>
    <m/>
  </r>
  <r>
    <s v="TXN_8687088"/>
    <x v="2"/>
    <n v="2"/>
    <n v="1"/>
    <n v="2"/>
    <x v="0"/>
    <x v="1"/>
    <d v="2023-05-11T00:00:00"/>
  </r>
  <r>
    <s v="TXN_3440487"/>
    <x v="5"/>
    <n v="5"/>
    <n v="2"/>
    <n v="10"/>
    <x v="1"/>
    <x v="2"/>
    <d v="2023-10-22T00:00:00"/>
  </r>
  <r>
    <s v="TXN_9618881"/>
    <x v="0"/>
    <n v="5"/>
    <n v="2"/>
    <n v="10"/>
    <x v="2"/>
    <x v="2"/>
    <d v="2023-02-15T00:00:00"/>
  </r>
  <r>
    <s v="TXN_5139074"/>
    <x v="1"/>
    <n v="1"/>
    <n v="3"/>
    <n v="3"/>
    <x v="3"/>
    <x v="0"/>
    <d v="2023-11-16T00:00:00"/>
  </r>
  <r>
    <s v="TXN_2799785"/>
    <x v="7"/>
    <n v="1"/>
    <n v="3"/>
    <n v="3"/>
    <x v="1"/>
    <x v="2"/>
    <d v="2023-01-25T00:00:00"/>
  </r>
  <r>
    <s v="TXN_4466681"/>
    <x v="5"/>
    <n v="2"/>
    <n v="2"/>
    <n v="4"/>
    <x v="1"/>
    <x v="0"/>
    <d v="2023-01-12T00:00:00"/>
  </r>
  <r>
    <s v="TXN_9292025"/>
    <x v="5"/>
    <n v="2"/>
    <n v="5"/>
    <n v="10"/>
    <x v="3"/>
    <x v="1"/>
    <d v="2023-03-25T00:00:00"/>
  </r>
  <r>
    <s v="TXN_8155535"/>
    <x v="1"/>
    <n v="1"/>
    <n v="3"/>
    <n v="3"/>
    <x v="2"/>
    <x v="0"/>
    <d v="2023-03-13T00:00:00"/>
  </r>
  <r>
    <s v="TXN_5301926"/>
    <x v="1"/>
    <n v="1"/>
    <n v="3"/>
    <n v="3"/>
    <x v="3"/>
    <x v="0"/>
    <d v="2023-11-13T00:00:00"/>
  </r>
  <r>
    <s v="TXN_3307518"/>
    <x v="7"/>
    <n v="5"/>
    <n v="3"/>
    <n v="15"/>
    <x v="1"/>
    <x v="0"/>
    <m/>
  </r>
  <r>
    <s v="TXN_2379467"/>
    <x v="0"/>
    <n v="5"/>
    <n v="2"/>
    <n v="10"/>
    <x v="2"/>
    <x v="2"/>
    <d v="2023-04-01T00:00:00"/>
  </r>
  <r>
    <s v="TXN_1837617"/>
    <x v="7"/>
    <n v="3"/>
    <n v="3"/>
    <n v="9"/>
    <x v="2"/>
    <x v="2"/>
    <d v="2023-01-16T00:00:00"/>
  </r>
  <r>
    <s v="TXN_3454881"/>
    <x v="3"/>
    <n v="1"/>
    <n v="5"/>
    <n v="5"/>
    <x v="1"/>
    <x v="1"/>
    <d v="2023-11-29T00:00:00"/>
  </r>
  <r>
    <s v="TXN_4472969"/>
    <x v="7"/>
    <n v="1"/>
    <n v="3"/>
    <n v="3"/>
    <x v="0"/>
    <x v="2"/>
    <d v="2023-09-15T00:00:00"/>
  </r>
  <r>
    <s v="TXN_1905459"/>
    <x v="4"/>
    <n v="3"/>
    <n v="4"/>
    <n v="12"/>
    <x v="3"/>
    <x v="2"/>
    <d v="2023-08-18T00:00:00"/>
  </r>
  <r>
    <s v="TXN_8799945"/>
    <x v="0"/>
    <n v="2"/>
    <n v="2"/>
    <n v="4"/>
    <x v="1"/>
    <x v="2"/>
    <d v="2023-11-24T00:00:00"/>
  </r>
  <r>
    <s v="TXN_4361614"/>
    <x v="4"/>
    <n v="2"/>
    <n v="4"/>
    <n v="8"/>
    <x v="2"/>
    <x v="0"/>
    <d v="2023-04-28T00:00:00"/>
  </r>
  <r>
    <s v="TXN_1665056"/>
    <x v="3"/>
    <n v="5"/>
    <n v="5"/>
    <n v="25"/>
    <x v="1"/>
    <x v="2"/>
    <d v="2023-01-05T00:00:00"/>
  </r>
  <r>
    <s v="TXN_2904046"/>
    <x v="4"/>
    <n v="1"/>
    <n v="4"/>
    <n v="4"/>
    <x v="0"/>
    <x v="1"/>
    <d v="2023-12-11T00:00:00"/>
  </r>
  <r>
    <s v="TXN_9743274"/>
    <x v="8"/>
    <n v="5"/>
    <n v="1.5"/>
    <n v="7.5"/>
    <x v="2"/>
    <x v="2"/>
    <d v="2023-01-25T00:00:00"/>
  </r>
  <r>
    <s v="TXN_5518232"/>
    <x v="3"/>
    <n v="3"/>
    <n v="5"/>
    <n v="15"/>
    <x v="2"/>
    <x v="0"/>
    <d v="2023-05-01T00:00:00"/>
  </r>
  <r>
    <s v="TXN_3770267"/>
    <x v="1"/>
    <n v="2"/>
    <n v="3"/>
    <n v="6"/>
    <x v="2"/>
    <x v="2"/>
    <d v="2023-10-21T00:00:00"/>
  </r>
  <r>
    <s v="TXN_7177709"/>
    <x v="7"/>
    <n v="5"/>
    <n v="3"/>
    <n v="15"/>
    <x v="2"/>
    <x v="0"/>
    <d v="2023-03-08T00:00:00"/>
  </r>
  <r>
    <s v="TXN_6246494"/>
    <x v="0"/>
    <n v="3"/>
    <n v="2"/>
    <n v="6"/>
    <x v="2"/>
    <x v="1"/>
    <d v="2023-03-31T00:00:00"/>
  </r>
  <r>
    <s v="TXN_6540200"/>
    <x v="8"/>
    <n v="2"/>
    <n v="1.5"/>
    <n v="3"/>
    <x v="3"/>
    <x v="1"/>
    <d v="2023-10-23T00:00:00"/>
  </r>
  <r>
    <s v="TXN_7486118"/>
    <x v="6"/>
    <n v="4"/>
    <n v="4"/>
    <n v="16"/>
    <x v="2"/>
    <x v="0"/>
    <d v="2023-05-22T00:00:00"/>
  </r>
  <r>
    <s v="TXN_5424614"/>
    <x v="1"/>
    <n v="1"/>
    <n v="3"/>
    <n v="3"/>
    <x v="2"/>
    <x v="1"/>
    <d v="2023-11-12T00:00:00"/>
  </r>
  <r>
    <s v="TXN_6271598"/>
    <x v="7"/>
    <n v="5"/>
    <n v="3"/>
    <n v="15"/>
    <x v="1"/>
    <x v="2"/>
    <d v="2023-08-18T00:00:00"/>
  </r>
  <r>
    <s v="TXN_7562313"/>
    <x v="1"/>
    <n v="2"/>
    <n v="3"/>
    <n v="6"/>
    <x v="2"/>
    <x v="2"/>
    <d v="2023-12-15T00:00:00"/>
  </r>
  <r>
    <s v="TXN_9188774"/>
    <x v="8"/>
    <n v="1"/>
    <n v="1.5"/>
    <n v="1.5"/>
    <x v="3"/>
    <x v="0"/>
    <d v="2023-04-14T00:00:00"/>
  </r>
  <r>
    <s v="TXN_9685716"/>
    <x v="2"/>
    <n v="2"/>
    <n v="1"/>
    <n v="2"/>
    <x v="3"/>
    <x v="2"/>
    <d v="2023-02-26T00:00:00"/>
  </r>
  <r>
    <s v="TXN_7493800"/>
    <x v="1"/>
    <n v="5"/>
    <n v="3"/>
    <n v="15"/>
    <x v="0"/>
    <x v="0"/>
    <d v="2023-08-16T00:00:00"/>
  </r>
  <r>
    <s v="TXN_6833564"/>
    <x v="4"/>
    <n v="5"/>
    <n v="4"/>
    <n v="20"/>
    <x v="2"/>
    <x v="2"/>
    <d v="2023-04-21T00:00:00"/>
  </r>
  <r>
    <s v="TXN_9411395"/>
    <x v="0"/>
    <n v="5"/>
    <n v="2"/>
    <n v="10"/>
    <x v="2"/>
    <x v="2"/>
    <d v="2023-05-12T00:00:00"/>
  </r>
  <r>
    <s v="TXN_8413251"/>
    <x v="6"/>
    <n v="3"/>
    <n v="4"/>
    <n v="12"/>
    <x v="1"/>
    <x v="0"/>
    <d v="2023-08-18T00:00:00"/>
  </r>
  <r>
    <s v="TXN_6990331"/>
    <x v="7"/>
    <n v="1"/>
    <n v="3"/>
    <n v="3"/>
    <x v="3"/>
    <x v="2"/>
    <d v="2023-07-30T00:00:00"/>
  </r>
  <r>
    <s v="TXN_6007721"/>
    <x v="5"/>
    <n v="4"/>
    <n v="4"/>
    <n v="16"/>
    <x v="1"/>
    <x v="1"/>
    <d v="2023-08-21T00:00:00"/>
  </r>
  <r>
    <s v="TXN_2107161"/>
    <x v="2"/>
    <n v="4"/>
    <n v="1"/>
    <n v="4"/>
    <x v="0"/>
    <x v="2"/>
    <m/>
  </r>
  <r>
    <s v="TXN_2715086"/>
    <x v="7"/>
    <n v="2"/>
    <n v="3"/>
    <n v="6"/>
    <x v="1"/>
    <x v="2"/>
    <d v="2023-11-03T00:00:00"/>
  </r>
  <r>
    <s v="TXN_1444932"/>
    <x v="4"/>
    <n v="1"/>
    <n v="4"/>
    <n v="4"/>
    <x v="1"/>
    <x v="1"/>
    <d v="2023-05-24T00:00:00"/>
  </r>
  <r>
    <s v="TXN_2747156"/>
    <x v="2"/>
    <n v="1"/>
    <n v="1"/>
    <n v="1"/>
    <x v="2"/>
    <x v="1"/>
    <d v="2023-01-29T00:00:00"/>
  </r>
  <r>
    <s v="TXN_6901094"/>
    <x v="3"/>
    <n v="1"/>
    <n v="5"/>
    <n v="5"/>
    <x v="1"/>
    <x v="1"/>
    <m/>
  </r>
  <r>
    <s v="TXN_5065748"/>
    <x v="1"/>
    <n v="5"/>
    <n v="3"/>
    <n v="15"/>
    <x v="0"/>
    <x v="1"/>
    <d v="2023-07-19T00:00:00"/>
  </r>
  <r>
    <s v="TXN_8014645"/>
    <x v="1"/>
    <n v="2"/>
    <n v="3"/>
    <n v="6"/>
    <x v="1"/>
    <x v="0"/>
    <d v="2023-07-06T00:00:00"/>
  </r>
  <r>
    <s v="TXN_2910247"/>
    <x v="4"/>
    <n v="4"/>
    <n v="4"/>
    <n v="16"/>
    <x v="3"/>
    <x v="2"/>
    <d v="2023-12-02T00:00:00"/>
  </r>
  <r>
    <s v="TXN_2111973"/>
    <x v="8"/>
    <n v="4"/>
    <n v="1.5"/>
    <n v="6"/>
    <x v="3"/>
    <x v="1"/>
    <m/>
  </r>
  <r>
    <s v="TXN_3251591"/>
    <x v="6"/>
    <n v="3"/>
    <n v="4"/>
    <n v="12"/>
    <x v="2"/>
    <x v="0"/>
    <d v="2023-01-26T00:00:00"/>
  </r>
  <r>
    <s v="TXN_4549977"/>
    <x v="2"/>
    <n v="1"/>
    <n v="1"/>
    <n v="1"/>
    <x v="1"/>
    <x v="2"/>
    <d v="2023-08-21T00:00:00"/>
  </r>
  <r>
    <s v="TXN_1736294"/>
    <x v="0"/>
    <n v="3"/>
    <n v="2"/>
    <n v="6"/>
    <x v="3"/>
    <x v="2"/>
    <d v="2023-09-06T00:00:00"/>
  </r>
  <r>
    <s v="TXN_1698600"/>
    <x v="3"/>
    <n v="4"/>
    <n v="5"/>
    <n v="20"/>
    <x v="1"/>
    <x v="0"/>
    <d v="2023-07-31T00:00:00"/>
  </r>
  <r>
    <s v="TXN_3463568"/>
    <x v="3"/>
    <n v="2"/>
    <n v="5"/>
    <n v="10"/>
    <x v="3"/>
    <x v="1"/>
    <d v="2023-04-12T00:00:00"/>
  </r>
  <r>
    <s v="TXN_6773319"/>
    <x v="8"/>
    <n v="4"/>
    <n v="1.5"/>
    <n v="6"/>
    <x v="2"/>
    <x v="0"/>
    <d v="2023-05-03T00:00:00"/>
  </r>
  <r>
    <s v="TXN_5504920"/>
    <x v="1"/>
    <n v="5"/>
    <n v="3"/>
    <n v="15"/>
    <x v="1"/>
    <x v="0"/>
    <d v="2023-09-30T00:00:00"/>
  </r>
  <r>
    <s v="TXN_8392086"/>
    <x v="4"/>
    <n v="4"/>
    <n v="4"/>
    <n v="16"/>
    <x v="2"/>
    <x v="2"/>
    <d v="2023-07-12T00:00:00"/>
  </r>
  <r>
    <s v="TXN_9968926"/>
    <x v="7"/>
    <n v="2"/>
    <n v="3"/>
    <n v="6"/>
    <x v="3"/>
    <x v="0"/>
    <d v="2023-03-15T00:00:00"/>
  </r>
  <r>
    <s v="TXN_4719069"/>
    <x v="7"/>
    <n v="2"/>
    <n v="3"/>
    <n v="6"/>
    <x v="3"/>
    <x v="2"/>
    <d v="2023-01-04T00:00:00"/>
  </r>
  <r>
    <s v="TXN_3809941"/>
    <x v="2"/>
    <n v="4"/>
    <n v="1"/>
    <n v="4"/>
    <x v="0"/>
    <x v="2"/>
    <d v="2023-11-01T00:00:00"/>
  </r>
  <r>
    <s v="TXN_1935119"/>
    <x v="0"/>
    <n v="4"/>
    <n v="2"/>
    <n v="8"/>
    <x v="0"/>
    <x v="0"/>
    <d v="2023-07-15T00:00:00"/>
  </r>
  <r>
    <s v="TXN_8246369"/>
    <x v="7"/>
    <n v="1"/>
    <n v="3"/>
    <n v="3"/>
    <x v="0"/>
    <x v="2"/>
    <d v="2023-10-16T00:00:00"/>
  </r>
  <r>
    <s v="TXN_2009782"/>
    <x v="3"/>
    <n v="5"/>
    <n v="5"/>
    <n v="25"/>
    <x v="0"/>
    <x v="2"/>
    <d v="2023-05-11T00:00:00"/>
  </r>
  <r>
    <s v="TXN_4635230"/>
    <x v="6"/>
    <n v="3"/>
    <n v="4"/>
    <n v="12"/>
    <x v="2"/>
    <x v="1"/>
    <d v="2023-06-10T00:00:00"/>
  </r>
  <r>
    <s v="TXN_9583176"/>
    <x v="2"/>
    <n v="5"/>
    <n v="1"/>
    <n v="5"/>
    <x v="2"/>
    <x v="1"/>
    <d v="2023-05-03T00:00:00"/>
  </r>
  <r>
    <s v="TXN_6784478"/>
    <x v="2"/>
    <n v="2"/>
    <n v="1"/>
    <n v="2"/>
    <x v="0"/>
    <x v="0"/>
    <d v="2023-12-21T00:00:00"/>
  </r>
  <r>
    <s v="TXN_9349471"/>
    <x v="0"/>
    <n v="3"/>
    <n v="2"/>
    <n v="6"/>
    <x v="3"/>
    <x v="2"/>
    <m/>
  </r>
  <r>
    <s v="TXN_3866162"/>
    <x v="1"/>
    <n v="5"/>
    <n v="3"/>
    <n v="15"/>
    <x v="1"/>
    <x v="0"/>
    <d v="2023-06-08T00:00:00"/>
  </r>
  <r>
    <s v="TXN_7612056"/>
    <x v="2"/>
    <n v="5"/>
    <n v="1"/>
    <n v="5"/>
    <x v="0"/>
    <x v="2"/>
    <d v="2023-03-08T00:00:00"/>
  </r>
  <r>
    <s v="TXN_5349355"/>
    <x v="5"/>
    <n v="2"/>
    <n v="5"/>
    <n v="10"/>
    <x v="3"/>
    <x v="1"/>
    <d v="2023-05-10T00:00:00"/>
  </r>
  <r>
    <s v="TXN_9259900"/>
    <x v="3"/>
    <n v="4"/>
    <n v="5"/>
    <n v="20"/>
    <x v="3"/>
    <x v="2"/>
    <d v="2023-08-07T00:00:00"/>
  </r>
  <r>
    <s v="TXN_4650834"/>
    <x v="3"/>
    <n v="3"/>
    <n v="5"/>
    <n v="15"/>
    <x v="3"/>
    <x v="0"/>
    <d v="2023-07-14T00:00:00"/>
  </r>
  <r>
    <s v="TXN_6576987"/>
    <x v="3"/>
    <n v="3"/>
    <n v="5"/>
    <n v="15"/>
    <x v="0"/>
    <x v="0"/>
    <d v="2023-03-12T00:00:00"/>
  </r>
  <r>
    <s v="TXN_1192970"/>
    <x v="0"/>
    <n v="2"/>
    <n v="2"/>
    <n v="4"/>
    <x v="3"/>
    <x v="0"/>
    <d v="2023-06-17T00:00:00"/>
  </r>
  <r>
    <s v="TXN_7645464"/>
    <x v="8"/>
    <n v="5"/>
    <n v="1.5"/>
    <n v="7.5"/>
    <x v="1"/>
    <x v="0"/>
    <d v="2023-08-17T00:00:00"/>
  </r>
  <r>
    <s v="TXN_4205860"/>
    <x v="3"/>
    <n v="5"/>
    <n v="5"/>
    <n v="25"/>
    <x v="2"/>
    <x v="2"/>
    <d v="2023-09-10T00:00:00"/>
  </r>
  <r>
    <s v="TXN_9495855"/>
    <x v="7"/>
    <n v="2"/>
    <n v="3"/>
    <n v="6"/>
    <x v="1"/>
    <x v="1"/>
    <d v="2023-04-18T00:00:00"/>
  </r>
  <r>
    <s v="TXN_5712248"/>
    <x v="6"/>
    <n v="5"/>
    <n v="4"/>
    <n v="20"/>
    <x v="2"/>
    <x v="0"/>
    <d v="2023-03-02T00:00:00"/>
  </r>
  <r>
    <s v="TXN_4582966"/>
    <x v="7"/>
    <n v="2"/>
    <n v="3"/>
    <n v="6"/>
    <x v="2"/>
    <x v="2"/>
    <d v="2023-10-28T00:00:00"/>
  </r>
  <r>
    <s v="TXN_4203885"/>
    <x v="8"/>
    <n v="3"/>
    <n v="1.5"/>
    <n v="4.5"/>
    <x v="1"/>
    <x v="2"/>
    <d v="2023-05-11T00:00:00"/>
  </r>
  <r>
    <s v="TXN_1887083"/>
    <x v="7"/>
    <n v="1"/>
    <n v="3"/>
    <n v="3"/>
    <x v="3"/>
    <x v="2"/>
    <d v="2023-05-05T00:00:00"/>
  </r>
  <r>
    <s v="TXN_5602640"/>
    <x v="4"/>
    <n v="5"/>
    <n v="4"/>
    <n v="20"/>
    <x v="2"/>
    <x v="0"/>
    <d v="2023-04-01T00:00:00"/>
  </r>
  <r>
    <s v="TXN_8285410"/>
    <x v="0"/>
    <n v="4"/>
    <n v="2"/>
    <n v="8"/>
    <x v="0"/>
    <x v="2"/>
    <d v="2023-09-10T00:00:00"/>
  </r>
  <r>
    <s v="TXN_5654663"/>
    <x v="7"/>
    <n v="1"/>
    <n v="3"/>
    <n v="3"/>
    <x v="2"/>
    <x v="0"/>
    <d v="2023-07-31T00:00:00"/>
  </r>
  <r>
    <s v="TXN_6687699"/>
    <x v="3"/>
    <n v="4"/>
    <n v="5"/>
    <n v="20"/>
    <x v="1"/>
    <x v="1"/>
    <d v="2023-09-11T00:00:00"/>
  </r>
  <r>
    <s v="TXN_4331281"/>
    <x v="1"/>
    <n v="3"/>
    <n v="3"/>
    <n v="9"/>
    <x v="3"/>
    <x v="0"/>
    <d v="2023-02-03T00:00:00"/>
  </r>
  <r>
    <s v="TXN_2390146"/>
    <x v="0"/>
    <n v="3"/>
    <n v="2"/>
    <n v="6"/>
    <x v="2"/>
    <x v="2"/>
    <d v="2023-06-24T00:00:00"/>
  </r>
  <r>
    <s v="TXN_9478033"/>
    <x v="1"/>
    <n v="2"/>
    <n v="3"/>
    <n v="6"/>
    <x v="2"/>
    <x v="1"/>
    <d v="2023-04-08T00:00:00"/>
  </r>
  <r>
    <s v="TXN_8546777"/>
    <x v="1"/>
    <n v="4"/>
    <n v="3"/>
    <n v="12"/>
    <x v="2"/>
    <x v="1"/>
    <d v="2023-03-16T00:00:00"/>
  </r>
  <r>
    <s v="TXN_6433362"/>
    <x v="2"/>
    <n v="2"/>
    <n v="1"/>
    <n v="2"/>
    <x v="1"/>
    <x v="1"/>
    <d v="2023-12-07T00:00:00"/>
  </r>
  <r>
    <s v="TXN_4991594"/>
    <x v="4"/>
    <n v="2"/>
    <n v="4"/>
    <n v="8"/>
    <x v="0"/>
    <x v="1"/>
    <d v="2023-12-08T00:00:00"/>
  </r>
  <r>
    <s v="TXN_9016451"/>
    <x v="2"/>
    <n v="3"/>
    <n v="1"/>
    <n v="3"/>
    <x v="2"/>
    <x v="2"/>
    <d v="2023-10-16T00:00:00"/>
  </r>
  <r>
    <s v="TXN_3516296"/>
    <x v="6"/>
    <n v="3"/>
    <n v="4"/>
    <n v="12"/>
    <x v="2"/>
    <x v="1"/>
    <d v="2023-05-29T00:00:00"/>
  </r>
  <r>
    <s v="TXN_9464961"/>
    <x v="6"/>
    <n v="4"/>
    <n v="4"/>
    <n v="16"/>
    <x v="1"/>
    <x v="1"/>
    <d v="2023-11-23T00:00:00"/>
  </r>
  <r>
    <s v="TXN_7445257"/>
    <x v="0"/>
    <n v="1"/>
    <n v="2"/>
    <n v="2"/>
    <x v="2"/>
    <x v="2"/>
    <d v="2023-04-02T00:00:00"/>
  </r>
  <r>
    <s v="TXN_4463677"/>
    <x v="3"/>
    <n v="5"/>
    <n v="5"/>
    <n v="25"/>
    <x v="3"/>
    <x v="1"/>
    <d v="2023-02-27T00:00:00"/>
  </r>
  <r>
    <s v="TXN_4886990"/>
    <x v="3"/>
    <n v="3"/>
    <n v="5"/>
    <n v="15"/>
    <x v="2"/>
    <x v="0"/>
    <d v="2023-12-17T00:00:00"/>
  </r>
  <r>
    <s v="TXN_4962147"/>
    <x v="1"/>
    <n v="2"/>
    <n v="3"/>
    <n v="6"/>
    <x v="2"/>
    <x v="2"/>
    <d v="2023-02-07T00:00:00"/>
  </r>
  <r>
    <s v="TXN_5575420"/>
    <x v="4"/>
    <n v="3"/>
    <n v="4"/>
    <n v="12"/>
    <x v="2"/>
    <x v="1"/>
    <d v="2023-06-26T00:00:00"/>
  </r>
  <r>
    <s v="TXN_1687822"/>
    <x v="3"/>
    <n v="4"/>
    <n v="5"/>
    <n v="20"/>
    <x v="0"/>
    <x v="0"/>
    <m/>
  </r>
  <r>
    <s v="TXN_3628566"/>
    <x v="0"/>
    <n v="5"/>
    <n v="2"/>
    <n v="10"/>
    <x v="2"/>
    <x v="2"/>
    <d v="2023-08-17T00:00:00"/>
  </r>
  <r>
    <s v="TXN_5297746"/>
    <x v="0"/>
    <n v="3"/>
    <n v="2"/>
    <n v="6"/>
    <x v="0"/>
    <x v="1"/>
    <d v="2023-07-11T00:00:00"/>
  </r>
  <r>
    <s v="TXN_5230719"/>
    <x v="1"/>
    <n v="5"/>
    <n v="3"/>
    <n v="15"/>
    <x v="0"/>
    <x v="2"/>
    <d v="2023-03-23T00:00:00"/>
  </r>
  <r>
    <s v="TXN_9244886"/>
    <x v="0"/>
    <n v="1"/>
    <n v="2"/>
    <n v="2"/>
    <x v="2"/>
    <x v="0"/>
    <d v="2023-02-09T00:00:00"/>
  </r>
  <r>
    <s v="TXN_8145813"/>
    <x v="7"/>
    <n v="4"/>
    <n v="3"/>
    <n v="12"/>
    <x v="3"/>
    <x v="1"/>
    <d v="2023-02-10T00:00:00"/>
  </r>
  <r>
    <s v="TXN_4179797"/>
    <x v="8"/>
    <n v="2"/>
    <n v="1.5"/>
    <n v="3"/>
    <x v="2"/>
    <x v="2"/>
    <d v="2023-11-06T00:00:00"/>
  </r>
  <r>
    <s v="TXN_7485379"/>
    <x v="7"/>
    <n v="1"/>
    <n v="3"/>
    <n v="3"/>
    <x v="0"/>
    <x v="2"/>
    <d v="2023-03-27T00:00:00"/>
  </r>
  <r>
    <s v="TXN_3171150"/>
    <x v="5"/>
    <n v="1"/>
    <n v="3"/>
    <n v="3"/>
    <x v="3"/>
    <x v="2"/>
    <d v="2023-02-06T00:00:00"/>
  </r>
  <r>
    <s v="TXN_7988991"/>
    <x v="8"/>
    <n v="4"/>
    <n v="1.5"/>
    <n v="6"/>
    <x v="3"/>
    <x v="1"/>
    <m/>
  </r>
  <r>
    <s v="TXN_3801485"/>
    <x v="0"/>
    <n v="5"/>
    <n v="2"/>
    <n v="10"/>
    <x v="0"/>
    <x v="1"/>
    <d v="2023-11-10T00:00:00"/>
  </r>
  <r>
    <s v="TXN_2312908"/>
    <x v="0"/>
    <n v="3"/>
    <n v="2"/>
    <n v="6"/>
    <x v="1"/>
    <x v="1"/>
    <d v="2023-02-07T00:00:00"/>
  </r>
  <r>
    <s v="TXN_6826342"/>
    <x v="5"/>
    <n v="2"/>
    <n v="3"/>
    <n v="6"/>
    <x v="0"/>
    <x v="2"/>
    <d v="2023-03-30T00:00:00"/>
  </r>
  <r>
    <s v="TXN_3620213"/>
    <x v="0"/>
    <n v="2"/>
    <n v="2"/>
    <n v="4"/>
    <x v="0"/>
    <x v="1"/>
    <d v="2023-09-09T00:00:00"/>
  </r>
  <r>
    <s v="TXN_4030181"/>
    <x v="4"/>
    <n v="5"/>
    <n v="4"/>
    <n v="20"/>
    <x v="0"/>
    <x v="2"/>
    <d v="2023-09-20T00:00:00"/>
  </r>
  <r>
    <s v="TXN_1664563"/>
    <x v="4"/>
    <n v="3"/>
    <n v="4"/>
    <n v="12"/>
    <x v="1"/>
    <x v="2"/>
    <d v="2023-04-28T00:00:00"/>
  </r>
  <r>
    <s v="TXN_2002730"/>
    <x v="4"/>
    <n v="2"/>
    <n v="4"/>
    <n v="8"/>
    <x v="2"/>
    <x v="0"/>
    <d v="2023-09-27T00:00:00"/>
  </r>
  <r>
    <s v="TXN_9662827"/>
    <x v="8"/>
    <n v="1"/>
    <n v="1.5"/>
    <n v="1.5"/>
    <x v="2"/>
    <x v="2"/>
    <d v="2023-09-30T00:00:00"/>
  </r>
  <r>
    <s v="TXN_9579691"/>
    <x v="2"/>
    <n v="5"/>
    <n v="1"/>
    <n v="5"/>
    <x v="0"/>
    <x v="1"/>
    <d v="2023-01-16T00:00:00"/>
  </r>
  <r>
    <s v="TXN_4131020"/>
    <x v="6"/>
    <n v="2"/>
    <n v="4"/>
    <n v="8"/>
    <x v="0"/>
    <x v="2"/>
    <d v="2023-06-15T00:00:00"/>
  </r>
  <r>
    <s v="TXN_3462602"/>
    <x v="1"/>
    <n v="3"/>
    <n v="3"/>
    <n v="9"/>
    <x v="0"/>
    <x v="1"/>
    <d v="2023-08-27T00:00:00"/>
  </r>
  <r>
    <s v="TXN_1149624"/>
    <x v="1"/>
    <n v="3"/>
    <n v="3"/>
    <n v="9"/>
    <x v="2"/>
    <x v="2"/>
    <d v="2023-09-14T00:00:00"/>
  </r>
  <r>
    <s v="TXN_2628157"/>
    <x v="0"/>
    <n v="4"/>
    <n v="2"/>
    <n v="8"/>
    <x v="3"/>
    <x v="2"/>
    <d v="2023-10-26T00:00:00"/>
  </r>
  <r>
    <s v="TXN_9152120"/>
    <x v="6"/>
    <n v="4"/>
    <n v="4"/>
    <n v="16"/>
    <x v="1"/>
    <x v="0"/>
    <d v="2023-03-28T00:00:00"/>
  </r>
  <r>
    <s v="TXN_9018195"/>
    <x v="1"/>
    <n v="5"/>
    <n v="3"/>
    <n v="15"/>
    <x v="1"/>
    <x v="2"/>
    <d v="2023-10-07T00:00:00"/>
  </r>
  <r>
    <s v="TXN_7799711"/>
    <x v="4"/>
    <n v="5"/>
    <n v="4"/>
    <n v="20"/>
    <x v="3"/>
    <x v="0"/>
    <d v="2023-12-03T00:00:00"/>
  </r>
  <r>
    <s v="TXN_6697374"/>
    <x v="4"/>
    <n v="2"/>
    <n v="4"/>
    <n v="8"/>
    <x v="2"/>
    <x v="2"/>
    <d v="2023-07-31T00:00:00"/>
  </r>
  <r>
    <s v="TXN_9014681"/>
    <x v="5"/>
    <n v="3"/>
    <n v="4"/>
    <n v="12"/>
    <x v="2"/>
    <x v="1"/>
    <d v="2023-01-03T00:00:00"/>
  </r>
  <r>
    <s v="TXN_4366417"/>
    <x v="6"/>
    <n v="3"/>
    <n v="4"/>
    <n v="12"/>
    <x v="2"/>
    <x v="0"/>
    <d v="2023-10-10T00:00:00"/>
  </r>
  <r>
    <s v="TXN_3930313"/>
    <x v="2"/>
    <n v="3"/>
    <n v="1"/>
    <n v="3"/>
    <x v="0"/>
    <x v="0"/>
    <m/>
  </r>
  <r>
    <s v="TXN_7511351"/>
    <x v="8"/>
    <n v="4"/>
    <n v="1.5"/>
    <n v="6"/>
    <x v="1"/>
    <x v="0"/>
    <d v="2023-10-07T00:00:00"/>
  </r>
  <r>
    <s v="TXN_5205595"/>
    <x v="7"/>
    <n v="1"/>
    <n v="3"/>
    <n v="3"/>
    <x v="2"/>
    <x v="1"/>
    <d v="2023-03-01T00:00:00"/>
  </r>
  <r>
    <s v="TXN_8276063"/>
    <x v="0"/>
    <n v="1"/>
    <n v="2"/>
    <n v="2"/>
    <x v="0"/>
    <x v="2"/>
    <d v="2023-01-06T00:00:00"/>
  </r>
  <r>
    <s v="TXN_1020478"/>
    <x v="0"/>
    <n v="1"/>
    <n v="2"/>
    <n v="2"/>
    <x v="3"/>
    <x v="0"/>
    <d v="2023-03-09T00:00:00"/>
  </r>
  <r>
    <s v="TXN_5176767"/>
    <x v="4"/>
    <n v="4"/>
    <n v="4"/>
    <n v="16"/>
    <x v="2"/>
    <x v="0"/>
    <d v="2023-05-03T00:00:00"/>
  </r>
  <r>
    <s v="TXN_6043396"/>
    <x v="6"/>
    <n v="3"/>
    <n v="4"/>
    <n v="12"/>
    <x v="2"/>
    <x v="1"/>
    <d v="2023-10-07T00:00:00"/>
  </r>
  <r>
    <s v="TXN_4975029"/>
    <x v="4"/>
    <n v="4"/>
    <n v="4"/>
    <n v="16"/>
    <x v="1"/>
    <x v="1"/>
    <d v="2023-04-23T00:00:00"/>
  </r>
  <r>
    <s v="TXN_9493077"/>
    <x v="1"/>
    <n v="4"/>
    <n v="3"/>
    <n v="12"/>
    <x v="0"/>
    <x v="2"/>
    <d v="2023-01-10T00:00:00"/>
  </r>
  <r>
    <s v="TXN_3493771"/>
    <x v="1"/>
    <n v="2"/>
    <n v="3"/>
    <n v="6"/>
    <x v="2"/>
    <x v="2"/>
    <d v="2023-02-13T00:00:00"/>
  </r>
  <r>
    <s v="TXN_8640673"/>
    <x v="7"/>
    <n v="2"/>
    <n v="3"/>
    <n v="6"/>
    <x v="1"/>
    <x v="1"/>
    <d v="2023-09-11T00:00:00"/>
  </r>
  <r>
    <s v="TXN_4793771"/>
    <x v="1"/>
    <n v="4"/>
    <n v="3"/>
    <n v="12"/>
    <x v="1"/>
    <x v="2"/>
    <d v="2023-12-26T00:00:00"/>
  </r>
  <r>
    <s v="TXN_8107005"/>
    <x v="7"/>
    <n v="3"/>
    <n v="3"/>
    <n v="9"/>
    <x v="2"/>
    <x v="2"/>
    <d v="2023-09-15T00:00:00"/>
  </r>
  <r>
    <s v="TXN_7857126"/>
    <x v="2"/>
    <n v="4"/>
    <n v="1"/>
    <n v="4"/>
    <x v="1"/>
    <x v="0"/>
    <d v="2023-08-21T00:00:00"/>
  </r>
  <r>
    <s v="TXN_2940613"/>
    <x v="7"/>
    <n v="4"/>
    <n v="3"/>
    <n v="12"/>
    <x v="1"/>
    <x v="2"/>
    <d v="2023-06-28T00:00:00"/>
  </r>
  <r>
    <s v="TXN_2407379"/>
    <x v="4"/>
    <n v="4"/>
    <n v="4"/>
    <n v="16"/>
    <x v="3"/>
    <x v="2"/>
    <d v="2023-03-13T00:00:00"/>
  </r>
  <r>
    <s v="TXN_3376952"/>
    <x v="8"/>
    <n v="2"/>
    <n v="1.5"/>
    <n v="3"/>
    <x v="2"/>
    <x v="0"/>
    <d v="2023-10-23T00:00:00"/>
  </r>
  <r>
    <s v="TXN_4083004"/>
    <x v="6"/>
    <n v="5"/>
    <n v="4"/>
    <n v="20"/>
    <x v="2"/>
    <x v="0"/>
    <d v="2023-03-06T00:00:00"/>
  </r>
  <r>
    <s v="TXN_3635628"/>
    <x v="6"/>
    <n v="3"/>
    <n v="4"/>
    <n v="12"/>
    <x v="3"/>
    <x v="1"/>
    <d v="2023-10-28T00:00:00"/>
  </r>
  <r>
    <s v="TXN_3554772"/>
    <x v="8"/>
    <n v="3"/>
    <n v="1.5"/>
    <n v="4.5"/>
    <x v="0"/>
    <x v="2"/>
    <d v="2023-10-06T00:00:00"/>
  </r>
  <r>
    <s v="TXN_9454387"/>
    <x v="3"/>
    <n v="2"/>
    <n v="5"/>
    <n v="10"/>
    <x v="1"/>
    <x v="0"/>
    <d v="2023-01-02T00:00:00"/>
  </r>
  <r>
    <s v="TXN_9660362"/>
    <x v="1"/>
    <n v="2"/>
    <n v="3"/>
    <n v="6"/>
    <x v="0"/>
    <x v="0"/>
    <d v="2023-08-16T00:00:00"/>
  </r>
  <r>
    <s v="TXN_9281939"/>
    <x v="5"/>
    <n v="3"/>
    <n v="1.5"/>
    <n v="4.5"/>
    <x v="1"/>
    <x v="1"/>
    <d v="2023-05-22T00:00:00"/>
  </r>
  <r>
    <s v="TXN_2347248"/>
    <x v="3"/>
    <n v="1"/>
    <n v="5"/>
    <n v="5"/>
    <x v="0"/>
    <x v="2"/>
    <d v="2023-11-11T00:00:00"/>
  </r>
  <r>
    <s v="TXN_3732426"/>
    <x v="6"/>
    <n v="2"/>
    <n v="4"/>
    <n v="8"/>
    <x v="3"/>
    <x v="2"/>
    <d v="2023-03-07T00:00:00"/>
  </r>
  <r>
    <s v="TXN_8675558"/>
    <x v="8"/>
    <n v="5"/>
    <n v="1.5"/>
    <n v="7.5"/>
    <x v="2"/>
    <x v="1"/>
    <d v="2023-05-23T00:00:00"/>
  </r>
  <r>
    <s v="TXN_1963345"/>
    <x v="4"/>
    <n v="4"/>
    <n v="4"/>
    <n v="16"/>
    <x v="2"/>
    <x v="1"/>
    <d v="2023-10-12T00:00:00"/>
  </r>
  <r>
    <s v="TXN_6332405"/>
    <x v="7"/>
    <n v="3"/>
    <n v="3"/>
    <n v="9"/>
    <x v="3"/>
    <x v="0"/>
    <d v="2023-12-03T00:00:00"/>
  </r>
  <r>
    <s v="TXN_8946323"/>
    <x v="8"/>
    <n v="2"/>
    <n v="1.5"/>
    <n v="3"/>
    <x v="1"/>
    <x v="2"/>
    <d v="2023-08-23T00:00:00"/>
  </r>
  <r>
    <s v="TXN_1529961"/>
    <x v="4"/>
    <n v="4"/>
    <n v="4"/>
    <n v="16"/>
    <x v="0"/>
    <x v="2"/>
    <d v="2023-09-29T00:00:00"/>
  </r>
  <r>
    <s v="TXN_8860052"/>
    <x v="1"/>
    <n v="5"/>
    <n v="3"/>
    <n v="15"/>
    <x v="0"/>
    <x v="0"/>
    <d v="2023-07-18T00:00:00"/>
  </r>
  <r>
    <s v="TXN_6732833"/>
    <x v="3"/>
    <n v="1"/>
    <n v="5"/>
    <n v="5"/>
    <x v="3"/>
    <x v="1"/>
    <d v="2023-07-21T00:00:00"/>
  </r>
  <r>
    <s v="TXN_1983705"/>
    <x v="5"/>
    <n v="3"/>
    <n v="3"/>
    <n v="9"/>
    <x v="1"/>
    <x v="0"/>
    <m/>
  </r>
  <r>
    <s v="TXN_6232398"/>
    <x v="7"/>
    <n v="2"/>
    <n v="3"/>
    <n v="6"/>
    <x v="1"/>
    <x v="1"/>
    <d v="2023-07-05T00:00:00"/>
  </r>
  <r>
    <s v="TXN_2391245"/>
    <x v="5"/>
    <n v="4"/>
    <n v="2"/>
    <n v="8"/>
    <x v="3"/>
    <x v="1"/>
    <d v="2023-04-13T00:00:00"/>
  </r>
  <r>
    <s v="TXN_7670296"/>
    <x v="7"/>
    <n v="2"/>
    <n v="3"/>
    <n v="6"/>
    <x v="1"/>
    <x v="0"/>
    <d v="2023-01-25T00:00:00"/>
  </r>
  <r>
    <s v="TXN_6128086"/>
    <x v="8"/>
    <n v="4"/>
    <n v="1.5"/>
    <n v="6"/>
    <x v="3"/>
    <x v="0"/>
    <d v="2023-12-26T00:00:00"/>
  </r>
  <r>
    <s v="TXN_1141405"/>
    <x v="2"/>
    <n v="1"/>
    <n v="1"/>
    <n v="1"/>
    <x v="2"/>
    <x v="2"/>
    <m/>
  </r>
  <r>
    <s v="TXN_4898346"/>
    <x v="4"/>
    <n v="2"/>
    <n v="4"/>
    <n v="8"/>
    <x v="1"/>
    <x v="2"/>
    <d v="2023-05-07T00:00:00"/>
  </r>
  <r>
    <s v="TXN_2807324"/>
    <x v="6"/>
    <n v="2"/>
    <n v="4"/>
    <n v="8"/>
    <x v="1"/>
    <x v="2"/>
    <d v="2023-11-13T00:00:00"/>
  </r>
  <r>
    <s v="TXN_4428486"/>
    <x v="4"/>
    <n v="1"/>
    <n v="4"/>
    <n v="4"/>
    <x v="2"/>
    <x v="2"/>
    <d v="2023-07-28T00:00:00"/>
  </r>
  <r>
    <s v="TXN_4430772"/>
    <x v="0"/>
    <n v="5"/>
    <n v="2"/>
    <n v="10"/>
    <x v="0"/>
    <x v="2"/>
    <d v="2023-01-11T00:00:00"/>
  </r>
  <r>
    <s v="TXN_7251108"/>
    <x v="5"/>
    <n v="3"/>
    <n v="3"/>
    <n v="9"/>
    <x v="0"/>
    <x v="1"/>
    <d v="2023-10-04T00:00:00"/>
  </r>
  <r>
    <s v="TXN_3987718"/>
    <x v="8"/>
    <n v="4"/>
    <n v="1.5"/>
    <n v="6"/>
    <x v="2"/>
    <x v="2"/>
    <d v="2023-12-24T00:00:00"/>
  </r>
  <r>
    <s v="TXN_6658070"/>
    <x v="7"/>
    <n v="2"/>
    <n v="3"/>
    <n v="6"/>
    <x v="1"/>
    <x v="0"/>
    <d v="2023-11-03T00:00:00"/>
  </r>
  <r>
    <s v="TXN_6007437"/>
    <x v="7"/>
    <n v="1"/>
    <n v="3"/>
    <n v="3"/>
    <x v="0"/>
    <x v="2"/>
    <d v="2023-11-22T00:00:00"/>
  </r>
  <r>
    <s v="TXN_6030518"/>
    <x v="6"/>
    <n v="3"/>
    <n v="4"/>
    <n v="12"/>
    <x v="2"/>
    <x v="1"/>
    <d v="2023-12-20T00:00:00"/>
  </r>
  <r>
    <s v="TXN_4228838"/>
    <x v="0"/>
    <n v="5"/>
    <n v="2"/>
    <n v="10"/>
    <x v="0"/>
    <x v="0"/>
    <d v="2023-09-22T00:00:00"/>
  </r>
  <r>
    <s v="TXN_3303518"/>
    <x v="7"/>
    <n v="4"/>
    <n v="3"/>
    <n v="12"/>
    <x v="2"/>
    <x v="1"/>
    <d v="2023-06-30T00:00:00"/>
  </r>
  <r>
    <s v="TXN_9719921"/>
    <x v="3"/>
    <n v="5"/>
    <n v="5"/>
    <n v="25"/>
    <x v="0"/>
    <x v="2"/>
    <d v="2023-07-28T00:00:00"/>
  </r>
  <r>
    <s v="TXN_1272118"/>
    <x v="2"/>
    <n v="4"/>
    <n v="1"/>
    <n v="4"/>
    <x v="0"/>
    <x v="0"/>
    <d v="2023-04-21T00:00:00"/>
  </r>
  <r>
    <s v="TXN_4060215"/>
    <x v="3"/>
    <n v="3"/>
    <n v="5"/>
    <n v="15"/>
    <x v="0"/>
    <x v="1"/>
    <d v="2023-01-12T00:00:00"/>
  </r>
  <r>
    <s v="TXN_2569119"/>
    <x v="7"/>
    <n v="1"/>
    <n v="3"/>
    <n v="3"/>
    <x v="0"/>
    <x v="0"/>
    <d v="2023-08-04T00:00:00"/>
  </r>
  <r>
    <s v="TXN_2894945"/>
    <x v="0"/>
    <n v="2"/>
    <n v="2"/>
    <n v="4"/>
    <x v="2"/>
    <x v="2"/>
    <d v="2023-02-28T00:00:00"/>
  </r>
  <r>
    <s v="TXN_7992512"/>
    <x v="6"/>
    <n v="5"/>
    <n v="4"/>
    <n v="20"/>
    <x v="0"/>
    <x v="1"/>
    <d v="2023-07-17T00:00:00"/>
  </r>
  <r>
    <s v="TXN_2771512"/>
    <x v="5"/>
    <n v="4"/>
    <n v="3"/>
    <n v="12"/>
    <x v="3"/>
    <x v="0"/>
    <d v="2023-12-23T00:00:00"/>
  </r>
  <r>
    <s v="TXN_6109953"/>
    <x v="5"/>
    <n v="3"/>
    <n v="3"/>
    <n v="9"/>
    <x v="3"/>
    <x v="0"/>
    <d v="2023-04-22T00:00:00"/>
  </r>
  <r>
    <s v="TXN_5728193"/>
    <x v="6"/>
    <n v="1"/>
    <n v="4"/>
    <n v="4"/>
    <x v="0"/>
    <x v="1"/>
    <m/>
  </r>
  <r>
    <s v="TXN_2417271"/>
    <x v="8"/>
    <n v="4"/>
    <n v="1.5"/>
    <n v="6"/>
    <x v="0"/>
    <x v="0"/>
    <d v="2023-02-01T00:00:00"/>
  </r>
  <r>
    <s v="TXN_8156455"/>
    <x v="1"/>
    <n v="2"/>
    <n v="3"/>
    <n v="6"/>
    <x v="1"/>
    <x v="2"/>
    <d v="2023-02-12T00:00:00"/>
  </r>
  <r>
    <s v="TXN_7063005"/>
    <x v="1"/>
    <n v="1"/>
    <n v="3"/>
    <n v="3"/>
    <x v="2"/>
    <x v="2"/>
    <d v="2023-01-18T00:00:00"/>
  </r>
  <r>
    <s v="TXN_9425096"/>
    <x v="4"/>
    <n v="5"/>
    <n v="4"/>
    <n v="20"/>
    <x v="0"/>
    <x v="1"/>
    <d v="2023-06-12T00:00:00"/>
  </r>
  <r>
    <s v="TXN_6236737"/>
    <x v="7"/>
    <n v="5"/>
    <n v="3"/>
    <n v="15"/>
    <x v="1"/>
    <x v="1"/>
    <d v="2023-03-19T00:00:00"/>
  </r>
  <r>
    <s v="TXN_9691364"/>
    <x v="2"/>
    <n v="3"/>
    <n v="1"/>
    <n v="3"/>
    <x v="0"/>
    <x v="1"/>
    <d v="2023-03-02T00:00:00"/>
  </r>
  <r>
    <s v="TXN_4688280"/>
    <x v="5"/>
    <n v="1"/>
    <n v="1.5"/>
    <n v="1.5"/>
    <x v="2"/>
    <x v="2"/>
    <d v="2023-02-16T00:00:00"/>
  </r>
  <r>
    <s v="TXN_1770648"/>
    <x v="6"/>
    <n v="4"/>
    <n v="4"/>
    <n v="16"/>
    <x v="0"/>
    <x v="2"/>
    <d v="2023-09-30T00:00:00"/>
  </r>
  <r>
    <s v="TXN_1524602"/>
    <x v="5"/>
    <n v="3"/>
    <n v="2"/>
    <n v="6"/>
    <x v="1"/>
    <x v="0"/>
    <d v="2023-05-11T00:00:00"/>
  </r>
  <r>
    <s v="TXN_5289658"/>
    <x v="4"/>
    <n v="2"/>
    <n v="4"/>
    <n v="8"/>
    <x v="3"/>
    <x v="0"/>
    <m/>
  </r>
  <r>
    <s v="TXN_2602732"/>
    <x v="3"/>
    <n v="4"/>
    <n v="5"/>
    <n v="20"/>
    <x v="3"/>
    <x v="2"/>
    <d v="2023-06-09T00:00:00"/>
  </r>
  <r>
    <s v="TXN_5132482"/>
    <x v="7"/>
    <n v="2"/>
    <n v="3"/>
    <n v="6"/>
    <x v="3"/>
    <x v="1"/>
    <d v="2023-12-21T00:00:00"/>
  </r>
  <r>
    <s v="TXN_3281605"/>
    <x v="5"/>
    <n v="1"/>
    <n v="1.5"/>
    <n v="1.5"/>
    <x v="2"/>
    <x v="0"/>
    <d v="2023-07-27T00:00:00"/>
  </r>
  <r>
    <s v="TXN_9969836"/>
    <x v="2"/>
    <n v="5"/>
    <n v="1"/>
    <n v="5"/>
    <x v="3"/>
    <x v="0"/>
    <d v="2023-04-06T00:00:00"/>
  </r>
  <r>
    <s v="TXN_7938279"/>
    <x v="8"/>
    <n v="3"/>
    <n v="1.5"/>
    <n v="4.5"/>
    <x v="1"/>
    <x v="0"/>
    <d v="2023-03-17T00:00:00"/>
  </r>
  <r>
    <s v="TXN_8712307"/>
    <x v="5"/>
    <n v="5"/>
    <n v="3"/>
    <n v="15"/>
    <x v="1"/>
    <x v="1"/>
    <d v="2023-04-10T00:00:00"/>
  </r>
  <r>
    <s v="TXN_8595386"/>
    <x v="2"/>
    <n v="4"/>
    <n v="1"/>
    <n v="4"/>
    <x v="0"/>
    <x v="2"/>
    <d v="2023-08-04T00:00:00"/>
  </r>
  <r>
    <s v="TXN_6398450"/>
    <x v="8"/>
    <n v="2"/>
    <n v="1.5"/>
    <n v="3"/>
    <x v="3"/>
    <x v="1"/>
    <d v="2023-11-19T00:00:00"/>
  </r>
  <r>
    <s v="TXN_3042552"/>
    <x v="5"/>
    <n v="1"/>
    <n v="3"/>
    <n v="3"/>
    <x v="1"/>
    <x v="2"/>
    <d v="2023-09-08T00:00:00"/>
  </r>
  <r>
    <s v="TXN_7084298"/>
    <x v="1"/>
    <n v="3"/>
    <n v="3"/>
    <n v="9"/>
    <x v="2"/>
    <x v="0"/>
    <d v="2023-02-18T00:00:00"/>
  </r>
  <r>
    <s v="TXN_8384428"/>
    <x v="2"/>
    <n v="1"/>
    <n v="1"/>
    <n v="1"/>
    <x v="3"/>
    <x v="1"/>
    <d v="2023-08-11T00:00:00"/>
  </r>
  <r>
    <s v="TXN_6541329"/>
    <x v="2"/>
    <n v="2"/>
    <n v="1"/>
    <n v="2"/>
    <x v="1"/>
    <x v="0"/>
    <d v="2023-09-28T00:00:00"/>
  </r>
  <r>
    <s v="TXN_7667139"/>
    <x v="6"/>
    <n v="3"/>
    <n v="4"/>
    <n v="12"/>
    <x v="0"/>
    <x v="0"/>
    <d v="2023-12-05T00:00:00"/>
  </r>
  <r>
    <s v="TXN_1268811"/>
    <x v="3"/>
    <n v="1"/>
    <n v="5"/>
    <n v="5"/>
    <x v="2"/>
    <x v="2"/>
    <d v="2023-01-04T00:00:00"/>
  </r>
  <r>
    <s v="TXN_9190025"/>
    <x v="8"/>
    <n v="4"/>
    <n v="1.5"/>
    <n v="6"/>
    <x v="3"/>
    <x v="2"/>
    <m/>
  </r>
  <r>
    <s v="TXN_5056808"/>
    <x v="7"/>
    <n v="1"/>
    <n v="3"/>
    <n v="3"/>
    <x v="0"/>
    <x v="2"/>
    <d v="2023-02-25T00:00:00"/>
  </r>
  <r>
    <s v="TXN_9191048"/>
    <x v="1"/>
    <n v="5"/>
    <n v="3"/>
    <n v="15"/>
    <x v="3"/>
    <x v="2"/>
    <d v="2023-09-18T00:00:00"/>
  </r>
  <r>
    <s v="TXN_5105810"/>
    <x v="2"/>
    <n v="5"/>
    <n v="1"/>
    <n v="5"/>
    <x v="2"/>
    <x v="0"/>
    <d v="2023-01-17T00:00:00"/>
  </r>
  <r>
    <s v="TXN_3272613"/>
    <x v="2"/>
    <n v="2"/>
    <n v="1"/>
    <n v="2"/>
    <x v="1"/>
    <x v="2"/>
    <d v="2023-03-30T00:00:00"/>
  </r>
  <r>
    <s v="TXN_3690903"/>
    <x v="0"/>
    <n v="3"/>
    <n v="2"/>
    <n v="6"/>
    <x v="2"/>
    <x v="1"/>
    <d v="2023-10-22T00:00:00"/>
  </r>
  <r>
    <s v="TXN_1938413"/>
    <x v="4"/>
    <n v="4"/>
    <n v="4"/>
    <n v="16"/>
    <x v="3"/>
    <x v="2"/>
    <d v="2023-04-01T00:00:00"/>
  </r>
  <r>
    <s v="TXN_1396019"/>
    <x v="0"/>
    <n v="4"/>
    <n v="2"/>
    <n v="8"/>
    <x v="1"/>
    <x v="1"/>
    <d v="2023-12-03T00:00:00"/>
  </r>
  <r>
    <s v="TXN_6989000"/>
    <x v="8"/>
    <n v="2"/>
    <n v="1.5"/>
    <n v="3"/>
    <x v="2"/>
    <x v="0"/>
    <d v="2023-02-24T00:00:00"/>
  </r>
  <r>
    <s v="TXN_4811225"/>
    <x v="8"/>
    <n v="5"/>
    <n v="1.5"/>
    <n v="7.5"/>
    <x v="1"/>
    <x v="0"/>
    <d v="2023-11-01T00:00:00"/>
  </r>
  <r>
    <s v="TXN_2193333"/>
    <x v="0"/>
    <n v="4"/>
    <n v="2"/>
    <n v="8"/>
    <x v="2"/>
    <x v="0"/>
    <d v="2023-07-21T00:00:00"/>
  </r>
  <r>
    <s v="TXN_4564220"/>
    <x v="8"/>
    <n v="1"/>
    <n v="1.5"/>
    <n v="1.5"/>
    <x v="3"/>
    <x v="0"/>
    <d v="2023-05-09T00:00:00"/>
  </r>
  <r>
    <s v="TXN_5414186"/>
    <x v="4"/>
    <n v="1"/>
    <n v="4"/>
    <n v="4"/>
    <x v="0"/>
    <x v="0"/>
    <d v="2023-04-24T00:00:00"/>
  </r>
  <r>
    <s v="TXN_1740742"/>
    <x v="8"/>
    <n v="4"/>
    <n v="1.5"/>
    <n v="6"/>
    <x v="3"/>
    <x v="1"/>
    <d v="2023-10-06T00:00:00"/>
  </r>
  <r>
    <s v="TXN_2547084"/>
    <x v="6"/>
    <n v="1"/>
    <n v="4"/>
    <n v="4"/>
    <x v="1"/>
    <x v="2"/>
    <d v="2023-12-16T00:00:00"/>
  </r>
  <r>
    <s v="TXN_8879936"/>
    <x v="1"/>
    <n v="5"/>
    <n v="3"/>
    <n v="15"/>
    <x v="2"/>
    <x v="0"/>
    <d v="2023-07-25T00:00:00"/>
  </r>
  <r>
    <s v="TXN_1605677"/>
    <x v="8"/>
    <n v="5"/>
    <n v="1.5"/>
    <n v="7.5"/>
    <x v="2"/>
    <x v="2"/>
    <d v="2023-01-15T00:00:00"/>
  </r>
  <r>
    <s v="TXN_6070787"/>
    <x v="6"/>
    <n v="3"/>
    <n v="4"/>
    <n v="12"/>
    <x v="2"/>
    <x v="1"/>
    <d v="2023-02-26T00:00:00"/>
  </r>
  <r>
    <s v="TXN_3441457"/>
    <x v="3"/>
    <n v="2"/>
    <n v="5"/>
    <n v="10"/>
    <x v="3"/>
    <x v="2"/>
    <d v="2023-10-20T00:00:00"/>
  </r>
  <r>
    <s v="TXN_1236759"/>
    <x v="0"/>
    <n v="1"/>
    <n v="2"/>
    <n v="2"/>
    <x v="0"/>
    <x v="1"/>
    <d v="2023-01-26T00:00:00"/>
  </r>
  <r>
    <s v="TXN_9239309"/>
    <x v="3"/>
    <n v="4"/>
    <n v="5"/>
    <n v="20"/>
    <x v="2"/>
    <x v="2"/>
    <m/>
  </r>
  <r>
    <s v="TXN_7196144"/>
    <x v="4"/>
    <n v="3"/>
    <n v="4"/>
    <n v="12"/>
    <x v="2"/>
    <x v="2"/>
    <d v="2023-03-28T00:00:00"/>
  </r>
  <r>
    <s v="TXN_3981406"/>
    <x v="3"/>
    <n v="4"/>
    <n v="5"/>
    <n v="20"/>
    <x v="2"/>
    <x v="2"/>
    <d v="2023-04-17T00:00:00"/>
  </r>
  <r>
    <s v="TXN_2152054"/>
    <x v="1"/>
    <n v="2"/>
    <n v="3"/>
    <n v="6"/>
    <x v="3"/>
    <x v="2"/>
    <d v="2023-05-11T00:00:00"/>
  </r>
  <r>
    <s v="TXN_9339037"/>
    <x v="2"/>
    <n v="2"/>
    <n v="1"/>
    <n v="2"/>
    <x v="2"/>
    <x v="0"/>
    <d v="2023-07-21T00:00:00"/>
  </r>
  <r>
    <s v="TXN_7308629"/>
    <x v="3"/>
    <n v="4"/>
    <n v="5"/>
    <n v="20"/>
    <x v="2"/>
    <x v="0"/>
    <d v="2023-11-24T00:00:00"/>
  </r>
  <r>
    <s v="TXN_9407636"/>
    <x v="4"/>
    <n v="4"/>
    <n v="4"/>
    <n v="16"/>
    <x v="1"/>
    <x v="2"/>
    <d v="2023-10-01T00:00:00"/>
  </r>
  <r>
    <s v="TXN_4755860"/>
    <x v="7"/>
    <n v="5"/>
    <n v="3"/>
    <n v="15"/>
    <x v="3"/>
    <x v="1"/>
    <d v="2023-10-28T00:00:00"/>
  </r>
  <r>
    <s v="TXN_6118079"/>
    <x v="0"/>
    <n v="1"/>
    <n v="2"/>
    <n v="2"/>
    <x v="2"/>
    <x v="0"/>
    <d v="2023-07-01T00:00:00"/>
  </r>
  <r>
    <s v="TXN_6415784"/>
    <x v="3"/>
    <n v="3"/>
    <n v="5"/>
    <n v="15"/>
    <x v="2"/>
    <x v="2"/>
    <d v="2023-08-16T00:00:00"/>
  </r>
  <r>
    <s v="TXN_1755817"/>
    <x v="3"/>
    <n v="5"/>
    <n v="5"/>
    <n v="25"/>
    <x v="3"/>
    <x v="0"/>
    <d v="2023-07-17T00:00:00"/>
  </r>
  <r>
    <s v="TXN_4417326"/>
    <x v="6"/>
    <n v="3"/>
    <n v="4"/>
    <n v="12"/>
    <x v="3"/>
    <x v="2"/>
    <m/>
  </r>
  <r>
    <s v="TXN_2090061"/>
    <x v="4"/>
    <n v="4"/>
    <n v="4"/>
    <n v="16"/>
    <x v="2"/>
    <x v="2"/>
    <d v="2023-06-23T00:00:00"/>
  </r>
  <r>
    <s v="TXN_8128656"/>
    <x v="4"/>
    <n v="5"/>
    <n v="4"/>
    <n v="20"/>
    <x v="2"/>
    <x v="1"/>
    <d v="2023-04-24T00:00:00"/>
  </r>
  <r>
    <s v="TXN_6714749"/>
    <x v="6"/>
    <n v="1"/>
    <n v="4"/>
    <n v="4"/>
    <x v="0"/>
    <x v="0"/>
    <d v="2023-08-02T00:00:00"/>
  </r>
  <r>
    <s v="TXN_1103495"/>
    <x v="7"/>
    <n v="1"/>
    <n v="3"/>
    <n v="3"/>
    <x v="1"/>
    <x v="0"/>
    <m/>
  </r>
  <r>
    <s v="TXN_8099424"/>
    <x v="1"/>
    <n v="4"/>
    <n v="3"/>
    <n v="12"/>
    <x v="2"/>
    <x v="0"/>
    <d v="2023-04-02T00:00:00"/>
  </r>
  <r>
    <s v="TXN_5103036"/>
    <x v="7"/>
    <n v="2"/>
    <n v="3"/>
    <n v="6"/>
    <x v="2"/>
    <x v="0"/>
    <d v="2023-12-04T00:00:00"/>
  </r>
  <r>
    <s v="TXN_6013024"/>
    <x v="7"/>
    <n v="3"/>
    <n v="3"/>
    <n v="9"/>
    <x v="0"/>
    <x v="0"/>
    <d v="2023-09-06T00:00:00"/>
  </r>
  <r>
    <s v="TXN_8065852"/>
    <x v="6"/>
    <n v="1"/>
    <n v="4"/>
    <n v="4"/>
    <x v="0"/>
    <x v="1"/>
    <d v="2023-07-17T00:00:00"/>
  </r>
  <r>
    <s v="TXN_2035283"/>
    <x v="5"/>
    <n v="3"/>
    <n v="4"/>
    <n v="12"/>
    <x v="2"/>
    <x v="2"/>
    <d v="2023-01-14T00:00:00"/>
  </r>
  <r>
    <s v="TXN_3695238"/>
    <x v="3"/>
    <n v="5"/>
    <n v="5"/>
    <n v="25"/>
    <x v="1"/>
    <x v="0"/>
    <d v="2023-04-20T00:00:00"/>
  </r>
  <r>
    <s v="TXN_1336727"/>
    <x v="4"/>
    <n v="2"/>
    <n v="4"/>
    <n v="8"/>
    <x v="2"/>
    <x v="1"/>
    <d v="2023-10-18T00:00:00"/>
  </r>
  <r>
    <s v="TXN_5724548"/>
    <x v="1"/>
    <n v="5"/>
    <n v="3"/>
    <n v="15"/>
    <x v="2"/>
    <x v="2"/>
    <d v="2023-08-12T00:00:00"/>
  </r>
  <r>
    <s v="TXN_3521791"/>
    <x v="0"/>
    <n v="1"/>
    <n v="2"/>
    <n v="2"/>
    <x v="2"/>
    <x v="0"/>
    <d v="2023-06-11T00:00:00"/>
  </r>
  <r>
    <s v="TXN_2678484"/>
    <x v="0"/>
    <n v="1"/>
    <n v="2"/>
    <n v="2"/>
    <x v="2"/>
    <x v="2"/>
    <d v="2023-03-27T00:00:00"/>
  </r>
  <r>
    <s v="TXN_6696619"/>
    <x v="1"/>
    <n v="3"/>
    <n v="3"/>
    <n v="9"/>
    <x v="2"/>
    <x v="0"/>
    <d v="2023-03-19T00:00:00"/>
  </r>
  <r>
    <s v="TXN_2734718"/>
    <x v="8"/>
    <n v="2"/>
    <n v="1.5"/>
    <n v="3"/>
    <x v="2"/>
    <x v="2"/>
    <d v="2023-08-16T00:00:00"/>
  </r>
  <r>
    <s v="TXN_7465693"/>
    <x v="5"/>
    <n v="3"/>
    <n v="4"/>
    <n v="12"/>
    <x v="3"/>
    <x v="2"/>
    <d v="2023-09-04T00:00:00"/>
  </r>
  <r>
    <s v="TXN_8241649"/>
    <x v="8"/>
    <n v="5"/>
    <n v="1.5"/>
    <n v="7.5"/>
    <x v="2"/>
    <x v="2"/>
    <d v="2023-03-15T00:00:00"/>
  </r>
  <r>
    <s v="TXN_6125646"/>
    <x v="2"/>
    <n v="2"/>
    <n v="1"/>
    <n v="2"/>
    <x v="2"/>
    <x v="2"/>
    <d v="2023-06-12T00:00:00"/>
  </r>
  <r>
    <s v="TXN_8639973"/>
    <x v="2"/>
    <n v="5"/>
    <n v="1"/>
    <n v="5"/>
    <x v="2"/>
    <x v="2"/>
    <d v="2023-07-06T00:00:00"/>
  </r>
  <r>
    <s v="TXN_1349640"/>
    <x v="7"/>
    <n v="2"/>
    <n v="3"/>
    <n v="6"/>
    <x v="0"/>
    <x v="1"/>
    <d v="2023-06-17T00:00:00"/>
  </r>
  <r>
    <s v="TXN_3719842"/>
    <x v="1"/>
    <n v="3"/>
    <n v="3"/>
    <n v="9"/>
    <x v="1"/>
    <x v="2"/>
    <d v="2023-05-05T00:00:00"/>
  </r>
  <r>
    <s v="TXN_3863940"/>
    <x v="3"/>
    <n v="2"/>
    <n v="5"/>
    <n v="10"/>
    <x v="2"/>
    <x v="2"/>
    <d v="2023-06-18T00:00:00"/>
  </r>
  <r>
    <s v="TXN_9660030"/>
    <x v="1"/>
    <n v="5"/>
    <n v="3"/>
    <n v="15"/>
    <x v="0"/>
    <x v="1"/>
    <d v="2023-11-24T00:00:00"/>
  </r>
  <r>
    <s v="TXN_9649503"/>
    <x v="1"/>
    <n v="1"/>
    <n v="3"/>
    <n v="3"/>
    <x v="0"/>
    <x v="0"/>
    <d v="2023-01-02T00:00:00"/>
  </r>
  <r>
    <s v="TXN_6618160"/>
    <x v="8"/>
    <n v="5"/>
    <n v="1.5"/>
    <n v="7.5"/>
    <x v="1"/>
    <x v="0"/>
    <d v="2023-03-13T00:00:00"/>
  </r>
  <r>
    <s v="TXN_9121241"/>
    <x v="6"/>
    <n v="5"/>
    <n v="4"/>
    <n v="20"/>
    <x v="2"/>
    <x v="0"/>
    <d v="2023-03-18T00:00:00"/>
  </r>
  <r>
    <s v="TXN_4419474"/>
    <x v="7"/>
    <n v="2"/>
    <n v="3"/>
    <n v="6"/>
    <x v="2"/>
    <x v="1"/>
    <d v="2023-02-04T00:00:00"/>
  </r>
  <r>
    <s v="TXN_5639485"/>
    <x v="2"/>
    <n v="3"/>
    <n v="1"/>
    <n v="3"/>
    <x v="0"/>
    <x v="2"/>
    <d v="2023-07-02T00:00:00"/>
  </r>
  <r>
    <s v="TXN_9997263"/>
    <x v="2"/>
    <n v="2"/>
    <n v="1"/>
    <n v="2"/>
    <x v="2"/>
    <x v="2"/>
    <d v="2023-03-05T00:00:00"/>
  </r>
  <r>
    <s v="TXN_4590013"/>
    <x v="8"/>
    <n v="5"/>
    <n v="1.5"/>
    <n v="7.5"/>
    <x v="1"/>
    <x v="0"/>
    <d v="2023-04-19T00:00:00"/>
  </r>
  <r>
    <s v="TXN_4958354"/>
    <x v="6"/>
    <n v="4"/>
    <n v="4"/>
    <n v="16"/>
    <x v="0"/>
    <x v="0"/>
    <d v="2023-05-01T00:00:00"/>
  </r>
  <r>
    <s v="TXN_9240476"/>
    <x v="0"/>
    <n v="5"/>
    <n v="2"/>
    <n v="10"/>
    <x v="2"/>
    <x v="2"/>
    <d v="2023-04-29T00:00:00"/>
  </r>
  <r>
    <s v="TXN_2457961"/>
    <x v="0"/>
    <n v="2"/>
    <n v="2"/>
    <n v="4"/>
    <x v="0"/>
    <x v="1"/>
    <d v="2023-06-08T00:00:00"/>
  </r>
  <r>
    <s v="TXN_6494145"/>
    <x v="2"/>
    <n v="2"/>
    <n v="1"/>
    <n v="2"/>
    <x v="1"/>
    <x v="2"/>
    <d v="2023-08-18T00:00:00"/>
  </r>
  <r>
    <s v="TXN_2142941"/>
    <x v="2"/>
    <n v="5"/>
    <n v="1"/>
    <n v="5"/>
    <x v="3"/>
    <x v="2"/>
    <d v="2023-11-03T00:00:00"/>
  </r>
  <r>
    <s v="TXN_2405666"/>
    <x v="5"/>
    <n v="2"/>
    <n v="3"/>
    <n v="6"/>
    <x v="1"/>
    <x v="0"/>
    <d v="2023-04-20T00:00:00"/>
  </r>
  <r>
    <s v="TXN_4125871"/>
    <x v="7"/>
    <n v="4"/>
    <n v="3"/>
    <n v="12"/>
    <x v="2"/>
    <x v="2"/>
    <d v="2023-12-16T00:00:00"/>
  </r>
  <r>
    <s v="TXN_7102166"/>
    <x v="0"/>
    <n v="4"/>
    <n v="2"/>
    <n v="8"/>
    <x v="2"/>
    <x v="2"/>
    <d v="2023-12-08T00:00:00"/>
  </r>
  <r>
    <s v="TXN_1492585"/>
    <x v="6"/>
    <n v="3"/>
    <n v="4"/>
    <n v="12"/>
    <x v="1"/>
    <x v="0"/>
    <d v="2023-01-17T00:00:00"/>
  </r>
  <r>
    <s v="TXN_2208949"/>
    <x v="1"/>
    <n v="4"/>
    <n v="3"/>
    <n v="12"/>
    <x v="1"/>
    <x v="0"/>
    <d v="2023-08-05T00:00:00"/>
  </r>
  <r>
    <s v="TXN_9815454"/>
    <x v="7"/>
    <n v="5"/>
    <n v="3"/>
    <n v="15"/>
    <x v="3"/>
    <x v="2"/>
    <d v="2023-12-05T00:00:00"/>
  </r>
  <r>
    <s v="TXN_6806968"/>
    <x v="2"/>
    <n v="4"/>
    <n v="1"/>
    <n v="4"/>
    <x v="1"/>
    <x v="0"/>
    <d v="2023-07-03T00:00:00"/>
  </r>
  <r>
    <s v="TXN_3751420"/>
    <x v="6"/>
    <n v="5"/>
    <n v="4"/>
    <n v="20"/>
    <x v="2"/>
    <x v="0"/>
    <d v="2023-11-20T00:00:00"/>
  </r>
  <r>
    <s v="TXN_3439155"/>
    <x v="3"/>
    <n v="3"/>
    <n v="5"/>
    <n v="15"/>
    <x v="2"/>
    <x v="0"/>
    <d v="2023-07-30T00:00:00"/>
  </r>
  <r>
    <s v="TXN_5564198"/>
    <x v="1"/>
    <n v="4"/>
    <n v="3"/>
    <n v="12"/>
    <x v="1"/>
    <x v="2"/>
    <d v="2023-06-06T00:00:00"/>
  </r>
  <r>
    <s v="TXN_3446643"/>
    <x v="4"/>
    <n v="1"/>
    <n v="4"/>
    <n v="4"/>
    <x v="2"/>
    <x v="2"/>
    <d v="2023-06-01T00:00:00"/>
  </r>
  <r>
    <s v="TXN_1770073"/>
    <x v="2"/>
    <n v="2"/>
    <n v="1"/>
    <n v="2"/>
    <x v="2"/>
    <x v="0"/>
    <d v="2023-12-03T00:00:00"/>
  </r>
  <r>
    <s v="TXN_7328209"/>
    <x v="6"/>
    <n v="3"/>
    <n v="4"/>
    <n v="12"/>
    <x v="0"/>
    <x v="2"/>
    <d v="2023-03-01T00:00:00"/>
  </r>
  <r>
    <s v="TXN_4252608"/>
    <x v="7"/>
    <n v="3"/>
    <n v="3"/>
    <n v="9"/>
    <x v="0"/>
    <x v="1"/>
    <d v="2023-08-23T00:00:00"/>
  </r>
  <r>
    <s v="TXN_7221831"/>
    <x v="0"/>
    <n v="3"/>
    <n v="2"/>
    <n v="6"/>
    <x v="0"/>
    <x v="2"/>
    <d v="2023-03-26T00:00:00"/>
  </r>
  <r>
    <s v="TXN_4548565"/>
    <x v="7"/>
    <n v="4"/>
    <n v="3"/>
    <n v="12"/>
    <x v="2"/>
    <x v="1"/>
    <d v="2023-02-17T00:00:00"/>
  </r>
  <r>
    <s v="TXN_7400015"/>
    <x v="7"/>
    <n v="4"/>
    <n v="3"/>
    <n v="12"/>
    <x v="1"/>
    <x v="2"/>
    <d v="2023-01-27T00:00:00"/>
  </r>
  <r>
    <s v="TXN_4749986"/>
    <x v="8"/>
    <n v="5"/>
    <n v="1.5"/>
    <n v="7.5"/>
    <x v="2"/>
    <x v="0"/>
    <d v="2023-05-26T00:00:00"/>
  </r>
  <r>
    <s v="TXN_1917336"/>
    <x v="6"/>
    <n v="3"/>
    <n v="4"/>
    <n v="12"/>
    <x v="1"/>
    <x v="1"/>
    <d v="2023-04-12T00:00:00"/>
  </r>
  <r>
    <s v="TXN_5238755"/>
    <x v="2"/>
    <n v="3"/>
    <n v="1"/>
    <n v="3"/>
    <x v="2"/>
    <x v="0"/>
    <d v="2023-06-01T00:00:00"/>
  </r>
  <r>
    <s v="TXN_1822234"/>
    <x v="3"/>
    <n v="2"/>
    <n v="5"/>
    <n v="10"/>
    <x v="1"/>
    <x v="2"/>
    <d v="2023-10-15T00:00:00"/>
  </r>
  <r>
    <s v="TXN_1342487"/>
    <x v="7"/>
    <n v="3"/>
    <n v="3"/>
    <n v="9"/>
    <x v="0"/>
    <x v="2"/>
    <d v="2023-09-21T00:00:00"/>
  </r>
  <r>
    <s v="TXN_7413282"/>
    <x v="1"/>
    <n v="5"/>
    <n v="3"/>
    <n v="15"/>
    <x v="2"/>
    <x v="2"/>
    <d v="2023-10-13T00:00:00"/>
  </r>
  <r>
    <s v="TXN_5713298"/>
    <x v="4"/>
    <n v="2"/>
    <n v="4"/>
    <n v="8"/>
    <x v="0"/>
    <x v="2"/>
    <d v="2023-07-14T00:00:00"/>
  </r>
  <r>
    <s v="TXN_3045673"/>
    <x v="4"/>
    <n v="3"/>
    <n v="4"/>
    <n v="12"/>
    <x v="3"/>
    <x v="2"/>
    <d v="2023-06-24T00:00:00"/>
  </r>
  <r>
    <s v="TXN_2662720"/>
    <x v="7"/>
    <n v="5"/>
    <n v="3"/>
    <n v="15"/>
    <x v="2"/>
    <x v="2"/>
    <d v="2023-09-18T00:00:00"/>
  </r>
  <r>
    <s v="TXN_8966922"/>
    <x v="7"/>
    <n v="4"/>
    <n v="3"/>
    <n v="12"/>
    <x v="2"/>
    <x v="0"/>
    <d v="2023-11-10T00:00:00"/>
  </r>
  <r>
    <s v="TXN_7311815"/>
    <x v="2"/>
    <n v="4"/>
    <n v="1"/>
    <n v="4"/>
    <x v="2"/>
    <x v="0"/>
    <d v="2023-05-11T00:00:00"/>
  </r>
  <r>
    <s v="TXN_8211198"/>
    <x v="7"/>
    <n v="3"/>
    <n v="3"/>
    <n v="9"/>
    <x v="0"/>
    <x v="2"/>
    <d v="2023-01-24T00:00:00"/>
  </r>
  <r>
    <s v="TXN_6476719"/>
    <x v="7"/>
    <n v="5"/>
    <n v="3"/>
    <n v="15"/>
    <x v="1"/>
    <x v="0"/>
    <d v="2023-06-04T00:00:00"/>
  </r>
  <r>
    <s v="TXN_1556480"/>
    <x v="8"/>
    <n v="5"/>
    <n v="1.5"/>
    <n v="7.5"/>
    <x v="2"/>
    <x v="2"/>
    <d v="2023-02-06T00:00:00"/>
  </r>
  <r>
    <s v="TXN_3009994"/>
    <x v="5"/>
    <n v="5"/>
    <n v="1"/>
    <n v="5"/>
    <x v="0"/>
    <x v="1"/>
    <d v="2023-09-13T00:00:00"/>
  </r>
  <r>
    <s v="TXN_8992377"/>
    <x v="1"/>
    <n v="4"/>
    <n v="3"/>
    <n v="12"/>
    <x v="0"/>
    <x v="0"/>
    <d v="2023-07-12T00:00:00"/>
  </r>
  <r>
    <s v="TXN_5504130"/>
    <x v="1"/>
    <n v="3"/>
    <n v="3"/>
    <n v="9"/>
    <x v="2"/>
    <x v="2"/>
    <d v="2023-06-24T00:00:00"/>
  </r>
  <r>
    <s v="TXN_7153455"/>
    <x v="0"/>
    <n v="4"/>
    <n v="2"/>
    <n v="8"/>
    <x v="3"/>
    <x v="0"/>
    <d v="2023-07-02T00:00:00"/>
  </r>
  <r>
    <s v="TXN_8821579"/>
    <x v="4"/>
    <n v="4"/>
    <n v="4"/>
    <n v="16"/>
    <x v="2"/>
    <x v="0"/>
    <d v="2023-12-06T00:00:00"/>
  </r>
  <r>
    <s v="TXN_6873127"/>
    <x v="2"/>
    <n v="1"/>
    <n v="1"/>
    <n v="1"/>
    <x v="2"/>
    <x v="1"/>
    <d v="2023-02-02T00:00:00"/>
  </r>
  <r>
    <s v="TXN_9923952"/>
    <x v="2"/>
    <n v="4"/>
    <n v="1"/>
    <n v="4"/>
    <x v="2"/>
    <x v="0"/>
    <d v="2023-08-08T00:00:00"/>
  </r>
  <r>
    <s v="TXN_7383137"/>
    <x v="0"/>
    <n v="2"/>
    <n v="2"/>
    <n v="4"/>
    <x v="0"/>
    <x v="1"/>
    <d v="2023-12-02T00:00:00"/>
  </r>
  <r>
    <s v="TXN_4766317"/>
    <x v="2"/>
    <n v="2"/>
    <n v="1"/>
    <n v="2"/>
    <x v="2"/>
    <x v="0"/>
    <d v="2023-09-23T00:00:00"/>
  </r>
  <r>
    <s v="TXN_6335297"/>
    <x v="1"/>
    <n v="3"/>
    <n v="3"/>
    <n v="9"/>
    <x v="2"/>
    <x v="2"/>
    <d v="2023-10-16T00:00:00"/>
  </r>
  <r>
    <s v="TXN_9334593"/>
    <x v="6"/>
    <n v="3"/>
    <n v="4"/>
    <n v="12"/>
    <x v="1"/>
    <x v="2"/>
    <d v="2023-04-23T00:00:00"/>
  </r>
  <r>
    <s v="TXN_2441029"/>
    <x v="1"/>
    <n v="5"/>
    <n v="3"/>
    <n v="15"/>
    <x v="1"/>
    <x v="1"/>
    <d v="2023-05-18T00:00:00"/>
  </r>
  <r>
    <s v="TXN_8260461"/>
    <x v="2"/>
    <n v="2"/>
    <n v="1"/>
    <n v="2"/>
    <x v="3"/>
    <x v="2"/>
    <d v="2023-10-29T00:00:00"/>
  </r>
  <r>
    <s v="TXN_4801947"/>
    <x v="7"/>
    <n v="1"/>
    <n v="3"/>
    <n v="3"/>
    <x v="3"/>
    <x v="0"/>
    <d v="2023-01-01T00:00:00"/>
  </r>
  <r>
    <s v="TXN_4323120"/>
    <x v="0"/>
    <n v="5"/>
    <n v="2"/>
    <n v="10"/>
    <x v="2"/>
    <x v="2"/>
    <d v="2023-08-29T00:00:00"/>
  </r>
  <r>
    <s v="TXN_5947264"/>
    <x v="3"/>
    <n v="1"/>
    <n v="5"/>
    <n v="5"/>
    <x v="2"/>
    <x v="1"/>
    <d v="2023-03-07T00:00:00"/>
  </r>
  <r>
    <s v="TXN_9072628"/>
    <x v="3"/>
    <n v="4"/>
    <n v="5"/>
    <n v="20"/>
    <x v="3"/>
    <x v="2"/>
    <d v="2023-12-29T00:00:00"/>
  </r>
  <r>
    <s v="TXN_8282744"/>
    <x v="8"/>
    <n v="2"/>
    <n v="1.5"/>
    <n v="3"/>
    <x v="2"/>
    <x v="0"/>
    <d v="2023-06-16T00:00:00"/>
  </r>
  <r>
    <s v="TXN_2547156"/>
    <x v="2"/>
    <n v="3"/>
    <n v="1"/>
    <n v="3"/>
    <x v="3"/>
    <x v="0"/>
    <d v="2023-08-18T00:00:00"/>
  </r>
  <r>
    <s v="TXN_2428781"/>
    <x v="3"/>
    <m/>
    <n v="5"/>
    <m/>
    <x v="2"/>
    <x v="1"/>
    <d v="2023-05-09T00:00:00"/>
  </r>
  <r>
    <s v="TXN_8621278"/>
    <x v="3"/>
    <n v="2"/>
    <n v="5"/>
    <n v="10"/>
    <x v="1"/>
    <x v="0"/>
    <d v="2023-02-01T00:00:00"/>
  </r>
  <r>
    <s v="TXN_2616353"/>
    <x v="4"/>
    <n v="3"/>
    <n v="4"/>
    <n v="12"/>
    <x v="1"/>
    <x v="0"/>
    <d v="2023-06-24T00:00:00"/>
  </r>
  <r>
    <s v="TXN_9731999"/>
    <x v="6"/>
    <n v="4"/>
    <n v="4"/>
    <n v="16"/>
    <x v="2"/>
    <x v="0"/>
    <d v="2023-11-26T00:00:00"/>
  </r>
  <r>
    <s v="TXN_3608237"/>
    <x v="3"/>
    <n v="1"/>
    <n v="5"/>
    <n v="5"/>
    <x v="3"/>
    <x v="0"/>
    <d v="2023-11-26T00:00:00"/>
  </r>
  <r>
    <s v="TXN_2423167"/>
    <x v="1"/>
    <n v="3"/>
    <n v="3"/>
    <n v="9"/>
    <x v="3"/>
    <x v="0"/>
    <d v="2023-06-29T00:00:00"/>
  </r>
  <r>
    <s v="TXN_5742202"/>
    <x v="3"/>
    <n v="2"/>
    <n v="5"/>
    <n v="10"/>
    <x v="1"/>
    <x v="0"/>
    <m/>
  </r>
  <r>
    <s v="TXN_6695451"/>
    <x v="3"/>
    <n v="1"/>
    <n v="5"/>
    <n v="5"/>
    <x v="0"/>
    <x v="2"/>
    <d v="2023-07-28T00:00:00"/>
  </r>
  <r>
    <s v="TXN_6098702"/>
    <x v="0"/>
    <n v="3"/>
    <n v="2"/>
    <n v="6"/>
    <x v="0"/>
    <x v="2"/>
    <d v="2023-10-15T00:00:00"/>
  </r>
  <r>
    <s v="TXN_8972184"/>
    <x v="7"/>
    <n v="4"/>
    <n v="3"/>
    <n v="12"/>
    <x v="2"/>
    <x v="2"/>
    <d v="2023-08-17T00:00:00"/>
  </r>
  <r>
    <s v="TXN_2010507"/>
    <x v="1"/>
    <n v="3"/>
    <n v="3"/>
    <n v="9"/>
    <x v="2"/>
    <x v="2"/>
    <d v="2023-05-23T00:00:00"/>
  </r>
  <r>
    <s v="TXN_1390754"/>
    <x v="1"/>
    <n v="2"/>
    <n v="3"/>
    <n v="6"/>
    <x v="2"/>
    <x v="0"/>
    <d v="2023-11-08T00:00:00"/>
  </r>
  <r>
    <s v="TXN_4925291"/>
    <x v="4"/>
    <n v="2"/>
    <n v="4"/>
    <n v="8"/>
    <x v="3"/>
    <x v="2"/>
    <d v="2023-09-22T00:00:00"/>
  </r>
  <r>
    <s v="TXN_8345383"/>
    <x v="8"/>
    <n v="5"/>
    <n v="1.5"/>
    <n v="7.5"/>
    <x v="2"/>
    <x v="0"/>
    <d v="2023-10-14T00:00:00"/>
  </r>
  <r>
    <s v="TXN_3910293"/>
    <x v="1"/>
    <n v="4"/>
    <n v="3"/>
    <n v="12"/>
    <x v="1"/>
    <x v="1"/>
    <d v="2023-01-30T00:00:00"/>
  </r>
  <r>
    <s v="TXN_4696969"/>
    <x v="3"/>
    <n v="1"/>
    <n v="5"/>
    <n v="5"/>
    <x v="0"/>
    <x v="2"/>
    <d v="2023-09-29T00:00:00"/>
  </r>
  <r>
    <s v="TXN_4568379"/>
    <x v="2"/>
    <n v="3"/>
    <n v="1"/>
    <n v="3"/>
    <x v="3"/>
    <x v="1"/>
    <d v="2023-05-28T00:00:00"/>
  </r>
  <r>
    <s v="TXN_8745942"/>
    <x v="2"/>
    <n v="3"/>
    <n v="1"/>
    <n v="3"/>
    <x v="1"/>
    <x v="2"/>
    <d v="2023-05-03T00:00:00"/>
  </r>
  <r>
    <s v="TXN_1827937"/>
    <x v="0"/>
    <n v="1"/>
    <n v="2"/>
    <n v="2"/>
    <x v="2"/>
    <x v="0"/>
    <m/>
  </r>
  <r>
    <s v="TXN_2496907"/>
    <x v="0"/>
    <n v="2"/>
    <n v="2"/>
    <n v="4"/>
    <x v="0"/>
    <x v="2"/>
    <d v="2023-11-28T00:00:00"/>
  </r>
  <r>
    <s v="TXN_3043371"/>
    <x v="4"/>
    <n v="1"/>
    <n v="4"/>
    <n v="4"/>
    <x v="2"/>
    <x v="2"/>
    <d v="2023-12-04T00:00:00"/>
  </r>
  <r>
    <s v="TXN_2687149"/>
    <x v="0"/>
    <n v="5"/>
    <n v="2"/>
    <n v="10"/>
    <x v="2"/>
    <x v="2"/>
    <d v="2023-03-24T00:00:00"/>
  </r>
  <r>
    <s v="TXN_9752207"/>
    <x v="6"/>
    <n v="4"/>
    <n v="4"/>
    <n v="16"/>
    <x v="2"/>
    <x v="1"/>
    <d v="2023-10-15T00:00:00"/>
  </r>
  <r>
    <s v="TXN_7223850"/>
    <x v="3"/>
    <n v="2"/>
    <n v="5"/>
    <n v="10"/>
    <x v="0"/>
    <x v="2"/>
    <d v="2023-02-05T00:00:00"/>
  </r>
  <r>
    <s v="TXN_5421917"/>
    <x v="8"/>
    <n v="5"/>
    <n v="1.5"/>
    <n v="7.5"/>
    <x v="2"/>
    <x v="2"/>
    <d v="2023-05-03T00:00:00"/>
  </r>
  <r>
    <s v="TXN_3812053"/>
    <x v="0"/>
    <n v="5"/>
    <n v="2"/>
    <n v="10"/>
    <x v="2"/>
    <x v="1"/>
    <d v="2023-04-03T00:00:00"/>
  </r>
  <r>
    <s v="TXN_8437195"/>
    <x v="1"/>
    <n v="1"/>
    <n v="3"/>
    <n v="3"/>
    <x v="1"/>
    <x v="2"/>
    <d v="2023-12-10T00:00:00"/>
  </r>
  <r>
    <s v="TXN_3880494"/>
    <x v="6"/>
    <n v="4"/>
    <n v="4"/>
    <n v="16"/>
    <x v="1"/>
    <x v="0"/>
    <d v="2023-12-17T00:00:00"/>
  </r>
  <r>
    <s v="TXN_2755642"/>
    <x v="1"/>
    <n v="3"/>
    <n v="3"/>
    <n v="9"/>
    <x v="3"/>
    <x v="1"/>
    <d v="2023-03-24T00:00:00"/>
  </r>
  <r>
    <s v="TXN_9320353"/>
    <x v="3"/>
    <n v="5"/>
    <n v="5"/>
    <n v="25"/>
    <x v="1"/>
    <x v="1"/>
    <d v="2023-01-10T00:00:00"/>
  </r>
  <r>
    <s v="TXN_8837015"/>
    <x v="7"/>
    <n v="3"/>
    <n v="3"/>
    <n v="9"/>
    <x v="0"/>
    <x v="1"/>
    <d v="2023-06-11T00:00:00"/>
  </r>
  <r>
    <s v="TXN_1856538"/>
    <x v="0"/>
    <n v="3"/>
    <n v="2"/>
    <n v="6"/>
    <x v="1"/>
    <x v="2"/>
    <d v="2023-11-01T00:00:00"/>
  </r>
  <r>
    <s v="TXN_2933439"/>
    <x v="3"/>
    <n v="4"/>
    <n v="5"/>
    <n v="20"/>
    <x v="3"/>
    <x v="2"/>
    <d v="2023-04-14T00:00:00"/>
  </r>
  <r>
    <s v="TXN_2667131"/>
    <x v="6"/>
    <n v="2"/>
    <n v="4"/>
    <n v="8"/>
    <x v="0"/>
    <x v="0"/>
    <d v="2023-10-10T00:00:00"/>
  </r>
  <r>
    <s v="TXN_5536056"/>
    <x v="4"/>
    <n v="3"/>
    <n v="4"/>
    <n v="12"/>
    <x v="3"/>
    <x v="0"/>
    <d v="2023-12-22T00:00:00"/>
  </r>
  <r>
    <s v="TXN_3846628"/>
    <x v="7"/>
    <n v="1"/>
    <n v="3"/>
    <n v="3"/>
    <x v="2"/>
    <x v="0"/>
    <d v="2023-10-16T00:00:00"/>
  </r>
  <r>
    <s v="TXN_9043894"/>
    <x v="1"/>
    <n v="1"/>
    <n v="3"/>
    <n v="3"/>
    <x v="3"/>
    <x v="2"/>
    <d v="2023-07-28T00:00:00"/>
  </r>
  <r>
    <s v="TXN_9354349"/>
    <x v="7"/>
    <n v="1"/>
    <n v="3"/>
    <n v="3"/>
    <x v="0"/>
    <x v="2"/>
    <d v="2023-02-12T00:00:00"/>
  </r>
  <r>
    <s v="TXN_3655950"/>
    <x v="2"/>
    <n v="1"/>
    <n v="1"/>
    <n v="1"/>
    <x v="2"/>
    <x v="1"/>
    <d v="2023-11-25T00:00:00"/>
  </r>
  <r>
    <s v="TXN_4483585"/>
    <x v="4"/>
    <n v="5"/>
    <n v="4"/>
    <n v="20"/>
    <x v="2"/>
    <x v="0"/>
    <d v="2023-12-26T00:00:00"/>
  </r>
  <r>
    <s v="TXN_2332364"/>
    <x v="1"/>
    <n v="2"/>
    <n v="3"/>
    <n v="6"/>
    <x v="0"/>
    <x v="2"/>
    <d v="2023-08-10T00:00:00"/>
  </r>
  <r>
    <s v="TXN_5878649"/>
    <x v="3"/>
    <n v="3"/>
    <n v="5"/>
    <n v="15"/>
    <x v="2"/>
    <x v="0"/>
    <d v="2023-02-15T00:00:00"/>
  </r>
  <r>
    <s v="TXN_2716940"/>
    <x v="0"/>
    <n v="1"/>
    <n v="2"/>
    <n v="2"/>
    <x v="2"/>
    <x v="2"/>
    <d v="2023-11-27T00:00:00"/>
  </r>
  <r>
    <s v="TXN_2496249"/>
    <x v="7"/>
    <n v="4"/>
    <n v="3"/>
    <n v="12"/>
    <x v="1"/>
    <x v="0"/>
    <m/>
  </r>
  <r>
    <s v="TXN_9020641"/>
    <x v="1"/>
    <n v="4"/>
    <n v="3"/>
    <n v="12"/>
    <x v="0"/>
    <x v="1"/>
    <d v="2023-06-27T00:00:00"/>
  </r>
  <r>
    <s v="TXN_5931551"/>
    <x v="6"/>
    <n v="4"/>
    <n v="4"/>
    <n v="16"/>
    <x v="2"/>
    <x v="1"/>
    <d v="2023-03-28T00:00:00"/>
  </r>
  <r>
    <s v="TXN_5812552"/>
    <x v="1"/>
    <n v="1"/>
    <n v="3"/>
    <n v="3"/>
    <x v="2"/>
    <x v="2"/>
    <d v="2023-09-17T00:00:00"/>
  </r>
  <r>
    <s v="TXN_8899417"/>
    <x v="5"/>
    <n v="3"/>
    <n v="5"/>
    <n v="15"/>
    <x v="3"/>
    <x v="2"/>
    <m/>
  </r>
  <r>
    <s v="TXN_2259102"/>
    <x v="6"/>
    <n v="2"/>
    <n v="4"/>
    <n v="8"/>
    <x v="2"/>
    <x v="2"/>
    <d v="2023-02-19T00:00:00"/>
  </r>
  <r>
    <s v="TXN_7041367"/>
    <x v="2"/>
    <n v="4"/>
    <n v="1"/>
    <n v="4"/>
    <x v="2"/>
    <x v="2"/>
    <d v="2023-01-04T00:00:00"/>
  </r>
  <r>
    <s v="TXN_1005377"/>
    <x v="1"/>
    <n v="5"/>
    <n v="3"/>
    <n v="15"/>
    <x v="3"/>
    <x v="0"/>
    <d v="2023-06-03T00:00:00"/>
  </r>
  <r>
    <s v="TXN_7262554"/>
    <x v="3"/>
    <n v="3"/>
    <n v="5"/>
    <n v="15"/>
    <x v="0"/>
    <x v="2"/>
    <d v="2023-07-08T00:00:00"/>
  </r>
  <r>
    <s v="TXN_9705971"/>
    <x v="7"/>
    <n v="2"/>
    <n v="3"/>
    <n v="6"/>
    <x v="0"/>
    <x v="0"/>
    <d v="2023-09-02T00:00:00"/>
  </r>
  <r>
    <s v="TXN_4809626"/>
    <x v="0"/>
    <n v="5"/>
    <n v="2"/>
    <n v="10"/>
    <x v="1"/>
    <x v="0"/>
    <d v="2023-02-18T00:00:00"/>
  </r>
  <r>
    <s v="TXN_5171248"/>
    <x v="1"/>
    <n v="5"/>
    <n v="3"/>
    <n v="15"/>
    <x v="3"/>
    <x v="1"/>
    <d v="2023-06-14T00:00:00"/>
  </r>
  <r>
    <s v="TXN_2201235"/>
    <x v="8"/>
    <n v="1"/>
    <n v="1.5"/>
    <n v="1.5"/>
    <x v="3"/>
    <x v="2"/>
    <d v="2023-12-17T00:00:00"/>
  </r>
  <r>
    <s v="TXN_2907979"/>
    <x v="7"/>
    <n v="3"/>
    <n v="3"/>
    <n v="9"/>
    <x v="1"/>
    <x v="2"/>
    <d v="2023-06-18T00:00:00"/>
  </r>
  <r>
    <s v="TXN_7229918"/>
    <x v="0"/>
    <n v="2"/>
    <n v="2"/>
    <n v="4"/>
    <x v="3"/>
    <x v="0"/>
    <d v="2023-03-24T00:00:00"/>
  </r>
  <r>
    <s v="TXN_5179245"/>
    <x v="7"/>
    <n v="3"/>
    <n v="3"/>
    <n v="9"/>
    <x v="0"/>
    <x v="2"/>
    <d v="2023-04-17T00:00:00"/>
  </r>
  <r>
    <s v="TXN_5010968"/>
    <x v="4"/>
    <n v="2"/>
    <n v="4"/>
    <n v="8"/>
    <x v="3"/>
    <x v="2"/>
    <d v="2023-12-03T00:00:00"/>
  </r>
  <r>
    <s v="TXN_6294315"/>
    <x v="2"/>
    <n v="2"/>
    <n v="1"/>
    <n v="2"/>
    <x v="3"/>
    <x v="2"/>
    <d v="2023-04-04T00:00:00"/>
  </r>
  <r>
    <s v="TXN_8487985"/>
    <x v="7"/>
    <n v="5"/>
    <n v="3"/>
    <n v="15"/>
    <x v="2"/>
    <x v="0"/>
    <d v="2023-05-09T00:00:00"/>
  </r>
  <r>
    <s v="TXN_8552898"/>
    <x v="0"/>
    <n v="5"/>
    <n v="2"/>
    <n v="10"/>
    <x v="0"/>
    <x v="0"/>
    <d v="2023-11-06T00:00:00"/>
  </r>
  <r>
    <s v="TXN_1307428"/>
    <x v="5"/>
    <n v="4"/>
    <n v="1.5"/>
    <n v="6"/>
    <x v="0"/>
    <x v="2"/>
    <m/>
  </r>
  <r>
    <s v="TXN_4787754"/>
    <x v="7"/>
    <n v="2"/>
    <n v="3"/>
    <n v="6"/>
    <x v="3"/>
    <x v="0"/>
    <d v="2023-08-31T00:00:00"/>
  </r>
  <r>
    <s v="TXN_9176533"/>
    <x v="1"/>
    <n v="3"/>
    <n v="3"/>
    <n v="9"/>
    <x v="0"/>
    <x v="2"/>
    <d v="2023-10-14T00:00:00"/>
  </r>
  <r>
    <s v="TXN_1228474"/>
    <x v="4"/>
    <n v="4"/>
    <n v="4"/>
    <n v="16"/>
    <x v="2"/>
    <x v="1"/>
    <d v="2023-11-20T00:00:00"/>
  </r>
  <r>
    <s v="TXN_9376428"/>
    <x v="5"/>
    <n v="1"/>
    <n v="5"/>
    <n v="5"/>
    <x v="0"/>
    <x v="0"/>
    <d v="2023-10-30T00:00:00"/>
  </r>
  <r>
    <s v="TXN_3678804"/>
    <x v="5"/>
    <n v="3"/>
    <n v="2"/>
    <n v="6"/>
    <x v="3"/>
    <x v="2"/>
    <d v="2023-10-20T00:00:00"/>
  </r>
  <r>
    <s v="TXN_6021363"/>
    <x v="6"/>
    <n v="2"/>
    <n v="4"/>
    <n v="8"/>
    <x v="0"/>
    <x v="0"/>
    <d v="2023-01-11T00:00:00"/>
  </r>
  <r>
    <s v="TXN_8518812"/>
    <x v="2"/>
    <n v="3"/>
    <n v="1"/>
    <n v="3"/>
    <x v="2"/>
    <x v="1"/>
    <d v="2023-06-22T00:00:00"/>
  </r>
  <r>
    <s v="TXN_5573436"/>
    <x v="0"/>
    <n v="1"/>
    <n v="2"/>
    <n v="2"/>
    <x v="2"/>
    <x v="0"/>
    <d v="2023-02-22T00:00:00"/>
  </r>
  <r>
    <s v="TXN_3274591"/>
    <x v="7"/>
    <n v="5"/>
    <n v="3"/>
    <n v="15"/>
    <x v="2"/>
    <x v="0"/>
    <d v="2023-04-09T00:00:00"/>
  </r>
  <r>
    <s v="TXN_2477650"/>
    <x v="2"/>
    <n v="1"/>
    <n v="1"/>
    <n v="1"/>
    <x v="1"/>
    <x v="0"/>
    <d v="2023-10-24T00:00:00"/>
  </r>
  <r>
    <s v="TXN_4987376"/>
    <x v="8"/>
    <n v="2"/>
    <n v="1.5"/>
    <n v="3"/>
    <x v="3"/>
    <x v="0"/>
    <d v="2023-08-20T00:00:00"/>
  </r>
  <r>
    <s v="TXN_3099819"/>
    <x v="5"/>
    <n v="4"/>
    <n v="2"/>
    <n v="8"/>
    <x v="3"/>
    <x v="0"/>
    <m/>
  </r>
  <r>
    <s v="TXN_9196694"/>
    <x v="1"/>
    <n v="4"/>
    <n v="3"/>
    <n v="12"/>
    <x v="2"/>
    <x v="1"/>
    <d v="2023-03-23T00:00:00"/>
  </r>
  <r>
    <s v="TXN_2735598"/>
    <x v="8"/>
    <n v="5"/>
    <n v="1.5"/>
    <n v="7.5"/>
    <x v="0"/>
    <x v="0"/>
    <d v="2023-06-30T00:00:00"/>
  </r>
  <r>
    <s v="TXN_7362526"/>
    <x v="7"/>
    <n v="1"/>
    <n v="3"/>
    <n v="3"/>
    <x v="0"/>
    <x v="0"/>
    <d v="2023-09-16T00:00:00"/>
  </r>
  <r>
    <s v="TXN_3584252"/>
    <x v="3"/>
    <n v="2"/>
    <n v="5"/>
    <n v="10"/>
    <x v="3"/>
    <x v="0"/>
    <d v="2023-12-19T00:00:00"/>
  </r>
  <r>
    <s v="TXN_4854751"/>
    <x v="5"/>
    <n v="3"/>
    <n v="5"/>
    <n v="15"/>
    <x v="0"/>
    <x v="2"/>
    <m/>
  </r>
  <r>
    <s v="TXN_6324687"/>
    <x v="4"/>
    <n v="1"/>
    <n v="4"/>
    <n v="4"/>
    <x v="0"/>
    <x v="0"/>
    <d v="2023-03-03T00:00:00"/>
  </r>
  <r>
    <s v="TXN_2716377"/>
    <x v="7"/>
    <n v="4"/>
    <n v="3"/>
    <n v="12"/>
    <x v="1"/>
    <x v="2"/>
    <d v="2023-01-03T00:00:00"/>
  </r>
  <r>
    <s v="TXN_4002142"/>
    <x v="1"/>
    <n v="5"/>
    <n v="3"/>
    <n v="15"/>
    <x v="2"/>
    <x v="2"/>
    <d v="2023-06-27T00:00:00"/>
  </r>
  <r>
    <s v="TXN_9417438"/>
    <x v="3"/>
    <n v="1"/>
    <n v="5"/>
    <n v="5"/>
    <x v="2"/>
    <x v="1"/>
    <d v="2023-01-05T00:00:00"/>
  </r>
  <r>
    <s v="TXN_4757873"/>
    <x v="8"/>
    <n v="1"/>
    <n v="1.5"/>
    <n v="1.5"/>
    <x v="0"/>
    <x v="1"/>
    <d v="2023-09-12T00:00:00"/>
  </r>
  <r>
    <s v="TXN_6283718"/>
    <x v="4"/>
    <n v="3"/>
    <n v="4"/>
    <n v="12"/>
    <x v="3"/>
    <x v="0"/>
    <d v="2023-07-20T00:00:00"/>
  </r>
  <r>
    <s v="TXN_2019127"/>
    <x v="3"/>
    <n v="1"/>
    <n v="5"/>
    <n v="5"/>
    <x v="1"/>
    <x v="2"/>
    <d v="2023-08-03T00:00:00"/>
  </r>
  <r>
    <s v="TXN_2007652"/>
    <x v="7"/>
    <n v="2"/>
    <n v="3"/>
    <n v="6"/>
    <x v="3"/>
    <x v="2"/>
    <d v="2023-12-09T00:00:00"/>
  </r>
  <r>
    <s v="TXN_3048882"/>
    <x v="7"/>
    <n v="2"/>
    <n v="3"/>
    <n v="6"/>
    <x v="1"/>
    <x v="0"/>
    <d v="2023-12-30T00:00:00"/>
  </r>
  <r>
    <s v="TXN_3241510"/>
    <x v="8"/>
    <n v="5"/>
    <n v="1.5"/>
    <n v="7.5"/>
    <x v="0"/>
    <x v="2"/>
    <d v="2023-10-05T00:00:00"/>
  </r>
  <r>
    <s v="TXN_1978239"/>
    <x v="3"/>
    <n v="4"/>
    <n v="5"/>
    <n v="20"/>
    <x v="2"/>
    <x v="1"/>
    <d v="2023-09-20T00:00:00"/>
  </r>
  <r>
    <s v="TXN_3286168"/>
    <x v="4"/>
    <n v="5"/>
    <n v="4"/>
    <n v="20"/>
    <x v="3"/>
    <x v="2"/>
    <d v="2023-06-25T00:00:00"/>
  </r>
  <r>
    <s v="TXN_5922981"/>
    <x v="3"/>
    <n v="5"/>
    <n v="5"/>
    <n v="25"/>
    <x v="3"/>
    <x v="0"/>
    <d v="2023-11-10T00:00:00"/>
  </r>
  <r>
    <s v="TXN_4108567"/>
    <x v="0"/>
    <n v="2"/>
    <n v="2"/>
    <n v="4"/>
    <x v="1"/>
    <x v="0"/>
    <d v="2023-08-14T00:00:00"/>
  </r>
  <r>
    <s v="TXN_5217434"/>
    <x v="0"/>
    <n v="1"/>
    <n v="2"/>
    <n v="2"/>
    <x v="2"/>
    <x v="0"/>
    <d v="2023-09-22T00:00:00"/>
  </r>
  <r>
    <s v="TXN_6691792"/>
    <x v="5"/>
    <n v="3"/>
    <n v="3"/>
    <n v="9"/>
    <x v="2"/>
    <x v="0"/>
    <d v="2023-06-21T00:00:00"/>
  </r>
  <r>
    <s v="TXN_4822216"/>
    <x v="1"/>
    <n v="1"/>
    <n v="3"/>
    <n v="3"/>
    <x v="2"/>
    <x v="2"/>
    <d v="2023-09-03T00:00:00"/>
  </r>
  <r>
    <s v="TXN_9246986"/>
    <x v="8"/>
    <n v="4"/>
    <n v="1.5"/>
    <n v="6"/>
    <x v="1"/>
    <x v="0"/>
    <d v="2023-09-08T00:00:00"/>
  </r>
  <r>
    <s v="TXN_3931393"/>
    <x v="6"/>
    <n v="2"/>
    <n v="4"/>
    <n v="8"/>
    <x v="3"/>
    <x v="2"/>
    <d v="2023-11-18T00:00:00"/>
  </r>
  <r>
    <s v="TXN_1429325"/>
    <x v="4"/>
    <n v="2"/>
    <n v="4"/>
    <n v="8"/>
    <x v="1"/>
    <x v="2"/>
    <d v="2023-04-20T00:00:00"/>
  </r>
  <r>
    <s v="TXN_2888655"/>
    <x v="2"/>
    <n v="4"/>
    <n v="1"/>
    <n v="4"/>
    <x v="3"/>
    <x v="2"/>
    <d v="2023-12-17T00:00:00"/>
  </r>
  <r>
    <s v="TXN_3648160"/>
    <x v="0"/>
    <n v="5"/>
    <n v="2"/>
    <n v="10"/>
    <x v="2"/>
    <x v="0"/>
    <d v="2023-12-03T00:00:00"/>
  </r>
  <r>
    <s v="TXN_5832513"/>
    <x v="7"/>
    <n v="4"/>
    <n v="3"/>
    <n v="12"/>
    <x v="1"/>
    <x v="1"/>
    <d v="2023-11-02T00:00:00"/>
  </r>
  <r>
    <s v="TXN_6053755"/>
    <x v="2"/>
    <n v="4"/>
    <n v="1"/>
    <n v="4"/>
    <x v="3"/>
    <x v="0"/>
    <d v="2023-01-18T00:00:00"/>
  </r>
  <r>
    <s v="TXN_4437520"/>
    <x v="4"/>
    <n v="3"/>
    <n v="4"/>
    <n v="12"/>
    <x v="0"/>
    <x v="2"/>
    <d v="2023-07-28T00:00:00"/>
  </r>
  <r>
    <s v="TXN_4995281"/>
    <x v="3"/>
    <n v="4"/>
    <n v="5"/>
    <n v="20"/>
    <x v="0"/>
    <x v="2"/>
    <d v="2023-02-25T00:00:00"/>
  </r>
  <r>
    <s v="TXN_6105807"/>
    <x v="4"/>
    <n v="3"/>
    <n v="4"/>
    <n v="12"/>
    <x v="0"/>
    <x v="0"/>
    <d v="2023-01-18T00:00:00"/>
  </r>
  <r>
    <s v="TXN_8384699"/>
    <x v="5"/>
    <n v="3"/>
    <n v="5"/>
    <n v="15"/>
    <x v="2"/>
    <x v="1"/>
    <d v="2023-12-16T00:00:00"/>
  </r>
  <r>
    <s v="TXN_3549667"/>
    <x v="6"/>
    <n v="3"/>
    <n v="4"/>
    <n v="12"/>
    <x v="3"/>
    <x v="0"/>
    <d v="2023-01-29T00:00:00"/>
  </r>
  <r>
    <s v="TXN_2566211"/>
    <x v="8"/>
    <n v="2"/>
    <n v="1.5"/>
    <n v="3"/>
    <x v="1"/>
    <x v="2"/>
    <d v="2023-09-26T00:00:00"/>
  </r>
  <r>
    <s v="TXN_3206842"/>
    <x v="5"/>
    <n v="4"/>
    <n v="5"/>
    <n v="20"/>
    <x v="1"/>
    <x v="2"/>
    <d v="2023-04-30T00:00:00"/>
  </r>
  <r>
    <s v="TXN_8970135"/>
    <x v="7"/>
    <n v="4"/>
    <n v="3"/>
    <n v="12"/>
    <x v="2"/>
    <x v="1"/>
    <d v="2023-03-26T00:00:00"/>
  </r>
  <r>
    <s v="TXN_3222612"/>
    <x v="5"/>
    <n v="3"/>
    <n v="3"/>
    <n v="9"/>
    <x v="1"/>
    <x v="0"/>
    <d v="2023-01-25T00:00:00"/>
  </r>
  <r>
    <s v="TXN_6361593"/>
    <x v="6"/>
    <n v="4"/>
    <n v="4"/>
    <n v="16"/>
    <x v="3"/>
    <x v="0"/>
    <d v="2023-08-29T00:00:00"/>
  </r>
  <r>
    <s v="TXN_9375445"/>
    <x v="4"/>
    <n v="2"/>
    <n v="4"/>
    <n v="8"/>
    <x v="2"/>
    <x v="1"/>
    <d v="2023-10-22T00:00:00"/>
  </r>
  <r>
    <s v="TXN_4943552"/>
    <x v="5"/>
    <n v="5"/>
    <n v="3"/>
    <n v="15"/>
    <x v="2"/>
    <x v="0"/>
    <d v="2023-04-14T00:00:00"/>
  </r>
  <r>
    <s v="TXN_1532390"/>
    <x v="8"/>
    <n v="5"/>
    <n v="1.5"/>
    <n v="7.5"/>
    <x v="3"/>
    <x v="2"/>
    <d v="2023-04-08T00:00:00"/>
  </r>
  <r>
    <s v="TXN_8020606"/>
    <x v="1"/>
    <n v="4"/>
    <n v="3"/>
    <n v="12"/>
    <x v="2"/>
    <x v="0"/>
    <d v="2023-10-10T00:00:00"/>
  </r>
  <r>
    <s v="TXN_2729959"/>
    <x v="4"/>
    <n v="4"/>
    <n v="4"/>
    <n v="16"/>
    <x v="3"/>
    <x v="1"/>
    <d v="2023-02-01T00:00:00"/>
  </r>
  <r>
    <s v="TXN_4582054"/>
    <x v="5"/>
    <n v="2"/>
    <n v="5"/>
    <n v="10"/>
    <x v="3"/>
    <x v="0"/>
    <d v="2023-08-27T00:00:00"/>
  </r>
  <r>
    <s v="TXN_2134763"/>
    <x v="7"/>
    <n v="3"/>
    <n v="3"/>
    <n v="9"/>
    <x v="0"/>
    <x v="0"/>
    <d v="2023-03-28T00:00:00"/>
  </r>
  <r>
    <s v="TXN_1633607"/>
    <x v="7"/>
    <n v="1"/>
    <n v="3"/>
    <n v="3"/>
    <x v="1"/>
    <x v="0"/>
    <d v="2023-03-13T00:00:00"/>
  </r>
  <r>
    <s v="TXN_5124999"/>
    <x v="0"/>
    <n v="5"/>
    <n v="2"/>
    <n v="10"/>
    <x v="3"/>
    <x v="2"/>
    <d v="2023-04-11T00:00:00"/>
  </r>
  <r>
    <s v="TXN_7647190"/>
    <x v="3"/>
    <n v="5"/>
    <n v="5"/>
    <n v="25"/>
    <x v="0"/>
    <x v="0"/>
    <d v="2023-02-22T00:00:00"/>
  </r>
  <r>
    <s v="TXN_3514890"/>
    <x v="4"/>
    <n v="5"/>
    <n v="4"/>
    <n v="20"/>
    <x v="2"/>
    <x v="1"/>
    <d v="2023-08-02T00:00:00"/>
  </r>
  <r>
    <s v="TXN_2921765"/>
    <x v="8"/>
    <n v="2"/>
    <n v="1.5"/>
    <n v="3"/>
    <x v="0"/>
    <x v="0"/>
    <m/>
  </r>
  <r>
    <s v="TXN_5845583"/>
    <x v="8"/>
    <n v="4"/>
    <n v="1.5"/>
    <n v="6"/>
    <x v="1"/>
    <x v="1"/>
    <d v="2023-10-19T00:00:00"/>
  </r>
  <r>
    <s v="TXN_6692318"/>
    <x v="8"/>
    <n v="2"/>
    <n v="1.5"/>
    <n v="3"/>
    <x v="1"/>
    <x v="1"/>
    <d v="2023-08-20T00:00:00"/>
  </r>
  <r>
    <s v="TXN_9571019"/>
    <x v="0"/>
    <n v="2"/>
    <n v="2"/>
    <n v="4"/>
    <x v="1"/>
    <x v="1"/>
    <d v="2023-06-22T00:00:00"/>
  </r>
  <r>
    <s v="TXN_6451595"/>
    <x v="7"/>
    <n v="2"/>
    <n v="3"/>
    <n v="6"/>
    <x v="0"/>
    <x v="0"/>
    <d v="2023-03-26T00:00:00"/>
  </r>
  <r>
    <s v="TXN_4797429"/>
    <x v="3"/>
    <n v="5"/>
    <n v="5"/>
    <n v="25"/>
    <x v="3"/>
    <x v="1"/>
    <d v="2023-11-07T00:00:00"/>
  </r>
  <r>
    <s v="TXN_7255755"/>
    <x v="6"/>
    <n v="5"/>
    <n v="4"/>
    <n v="20"/>
    <x v="2"/>
    <x v="2"/>
    <d v="2023-10-19T00:00:00"/>
  </r>
  <r>
    <s v="TXN_6925284"/>
    <x v="7"/>
    <n v="5"/>
    <n v="3"/>
    <n v="15"/>
    <x v="3"/>
    <x v="0"/>
    <d v="2023-01-21T00:00:00"/>
  </r>
  <r>
    <s v="TXN_2925996"/>
    <x v="1"/>
    <n v="3"/>
    <n v="3"/>
    <n v="9"/>
    <x v="1"/>
    <x v="0"/>
    <d v="2023-04-11T00:00:00"/>
  </r>
  <r>
    <s v="TXN_3944582"/>
    <x v="8"/>
    <n v="5"/>
    <n v="1.5"/>
    <n v="7.5"/>
    <x v="2"/>
    <x v="1"/>
    <d v="2023-10-21T00:00:00"/>
  </r>
  <r>
    <s v="TXN_7653452"/>
    <x v="6"/>
    <n v="1"/>
    <n v="4"/>
    <n v="4"/>
    <x v="0"/>
    <x v="2"/>
    <m/>
  </r>
  <r>
    <s v="TXN_5750248"/>
    <x v="3"/>
    <n v="4"/>
    <n v="5"/>
    <n v="20"/>
    <x v="3"/>
    <x v="1"/>
    <d v="2023-07-20T00:00:00"/>
  </r>
  <r>
    <s v="TXN_1020983"/>
    <x v="7"/>
    <n v="1"/>
    <n v="3"/>
    <n v="3"/>
    <x v="3"/>
    <x v="2"/>
    <d v="2023-03-23T00:00:00"/>
  </r>
  <r>
    <s v="TXN_9072817"/>
    <x v="2"/>
    <n v="5"/>
    <n v="1"/>
    <n v="5"/>
    <x v="2"/>
    <x v="0"/>
    <d v="2023-07-18T00:00:00"/>
  </r>
  <r>
    <s v="TXN_1732639"/>
    <x v="2"/>
    <n v="4"/>
    <n v="1"/>
    <n v="4"/>
    <x v="2"/>
    <x v="1"/>
    <m/>
  </r>
  <r>
    <s v="TXN_7416196"/>
    <x v="4"/>
    <n v="2"/>
    <n v="4"/>
    <n v="8"/>
    <x v="1"/>
    <x v="1"/>
    <d v="2023-10-20T00:00:00"/>
  </r>
  <r>
    <s v="TXN_7276452"/>
    <x v="0"/>
    <n v="3"/>
    <n v="2"/>
    <n v="6"/>
    <x v="3"/>
    <x v="2"/>
    <d v="2023-06-05T00:00:00"/>
  </r>
  <r>
    <s v="TXN_2610195"/>
    <x v="1"/>
    <n v="2"/>
    <n v="3"/>
    <n v="6"/>
    <x v="2"/>
    <x v="2"/>
    <d v="2023-10-25T00:00:00"/>
  </r>
  <r>
    <s v="TXN_7971761"/>
    <x v="3"/>
    <n v="1"/>
    <n v="5"/>
    <n v="5"/>
    <x v="0"/>
    <x v="1"/>
    <m/>
  </r>
  <r>
    <s v="TXN_9281392"/>
    <x v="2"/>
    <n v="2"/>
    <n v="1"/>
    <n v="2"/>
    <x v="3"/>
    <x v="2"/>
    <d v="2023-08-06T00:00:00"/>
  </r>
  <r>
    <s v="TXN_8386253"/>
    <x v="8"/>
    <n v="4"/>
    <n v="1.5"/>
    <n v="6"/>
    <x v="1"/>
    <x v="2"/>
    <d v="2023-05-11T00:00:00"/>
  </r>
  <r>
    <s v="TXN_7995960"/>
    <x v="7"/>
    <n v="1"/>
    <n v="3"/>
    <n v="3"/>
    <x v="3"/>
    <x v="2"/>
    <d v="2023-01-11T00:00:00"/>
  </r>
  <r>
    <s v="TXN_7663739"/>
    <x v="2"/>
    <n v="5"/>
    <n v="1"/>
    <n v="5"/>
    <x v="0"/>
    <x v="2"/>
    <d v="2023-03-27T00:00:00"/>
  </r>
  <r>
    <s v="TXN_3936339"/>
    <x v="5"/>
    <n v="5"/>
    <n v="3"/>
    <n v="15"/>
    <x v="3"/>
    <x v="1"/>
    <d v="2023-09-08T00:00:00"/>
  </r>
  <r>
    <s v="TXN_7784608"/>
    <x v="0"/>
    <n v="5"/>
    <n v="2"/>
    <n v="10"/>
    <x v="2"/>
    <x v="2"/>
    <d v="2023-06-01T00:00:00"/>
  </r>
  <r>
    <s v="TXN_7132021"/>
    <x v="4"/>
    <n v="2"/>
    <n v="4"/>
    <n v="8"/>
    <x v="0"/>
    <x v="1"/>
    <m/>
  </r>
  <r>
    <s v="TXN_6438980"/>
    <x v="3"/>
    <n v="2"/>
    <n v="5"/>
    <n v="10"/>
    <x v="0"/>
    <x v="0"/>
    <d v="2023-11-10T00:00:00"/>
  </r>
  <r>
    <s v="TXN_2196926"/>
    <x v="7"/>
    <n v="2"/>
    <n v="3"/>
    <n v="6"/>
    <x v="3"/>
    <x v="2"/>
    <d v="2023-07-27T00:00:00"/>
  </r>
  <r>
    <s v="TXN_9582506"/>
    <x v="2"/>
    <n v="2"/>
    <n v="1"/>
    <n v="2"/>
    <x v="0"/>
    <x v="2"/>
    <d v="2023-04-28T00:00:00"/>
  </r>
  <r>
    <s v="TXN_2424839"/>
    <x v="7"/>
    <n v="4"/>
    <n v="3"/>
    <n v="12"/>
    <x v="3"/>
    <x v="1"/>
    <d v="2023-09-28T00:00:00"/>
  </r>
  <r>
    <s v="TXN_5215704"/>
    <x v="6"/>
    <n v="5"/>
    <n v="4"/>
    <n v="20"/>
    <x v="0"/>
    <x v="2"/>
    <d v="2023-10-31T00:00:00"/>
  </r>
  <r>
    <s v="TXN_1982031"/>
    <x v="2"/>
    <n v="4"/>
    <n v="1"/>
    <n v="4"/>
    <x v="1"/>
    <x v="0"/>
    <d v="2023-02-03T00:00:00"/>
  </r>
  <r>
    <s v="TXN_3060286"/>
    <x v="8"/>
    <n v="2"/>
    <n v="1.5"/>
    <n v="3"/>
    <x v="1"/>
    <x v="0"/>
    <d v="2023-08-10T00:00:00"/>
  </r>
  <r>
    <s v="TXN_7878231"/>
    <x v="5"/>
    <n v="1"/>
    <n v="5"/>
    <n v="5"/>
    <x v="1"/>
    <x v="2"/>
    <d v="2023-05-15T00:00:00"/>
  </r>
  <r>
    <s v="TXN_9329112"/>
    <x v="4"/>
    <n v="3"/>
    <n v="4"/>
    <n v="12"/>
    <x v="2"/>
    <x v="2"/>
    <m/>
  </r>
  <r>
    <s v="TXN_1643029"/>
    <x v="2"/>
    <n v="3"/>
    <n v="1"/>
    <n v="3"/>
    <x v="2"/>
    <x v="2"/>
    <d v="2023-09-11T00:00:00"/>
  </r>
  <r>
    <s v="TXN_2764625"/>
    <x v="8"/>
    <n v="1"/>
    <n v="1.5"/>
    <n v="1.5"/>
    <x v="1"/>
    <x v="1"/>
    <d v="2023-12-03T00:00:00"/>
  </r>
  <r>
    <s v="TXN_6086123"/>
    <x v="7"/>
    <n v="3"/>
    <n v="3"/>
    <n v="9"/>
    <x v="0"/>
    <x v="0"/>
    <d v="2023-11-17T00:00:00"/>
  </r>
  <r>
    <s v="TXN_1796259"/>
    <x v="7"/>
    <n v="1"/>
    <n v="3"/>
    <n v="3"/>
    <x v="2"/>
    <x v="1"/>
    <d v="2023-04-29T00:00:00"/>
  </r>
  <r>
    <s v="TXN_4078284"/>
    <x v="0"/>
    <n v="1"/>
    <n v="2"/>
    <n v="2"/>
    <x v="0"/>
    <x v="2"/>
    <d v="2023-05-14T00:00:00"/>
  </r>
  <r>
    <s v="TXN_4389662"/>
    <x v="4"/>
    <n v="1"/>
    <n v="4"/>
    <n v="4"/>
    <x v="1"/>
    <x v="0"/>
    <d v="2023-08-09T00:00:00"/>
  </r>
  <r>
    <s v="TXN_1992699"/>
    <x v="2"/>
    <n v="2"/>
    <n v="1"/>
    <n v="2"/>
    <x v="2"/>
    <x v="0"/>
    <d v="2023-05-08T00:00:00"/>
  </r>
  <r>
    <s v="TXN_9389300"/>
    <x v="3"/>
    <n v="3"/>
    <n v="5"/>
    <n v="15"/>
    <x v="0"/>
    <x v="0"/>
    <d v="2023-01-14T00:00:00"/>
  </r>
  <r>
    <s v="TXN_5409951"/>
    <x v="0"/>
    <n v="3"/>
    <n v="2"/>
    <n v="6"/>
    <x v="2"/>
    <x v="2"/>
    <d v="2023-06-23T00:00:00"/>
  </r>
  <r>
    <s v="TXN_2147448"/>
    <x v="0"/>
    <n v="4"/>
    <n v="2"/>
    <n v="8"/>
    <x v="0"/>
    <x v="1"/>
    <d v="2023-11-27T00:00:00"/>
  </r>
  <r>
    <s v="TXN_9826170"/>
    <x v="7"/>
    <n v="2"/>
    <n v="3"/>
    <n v="6"/>
    <x v="2"/>
    <x v="2"/>
    <d v="2023-12-06T00:00:00"/>
  </r>
  <r>
    <s v="TXN_4949509"/>
    <x v="4"/>
    <n v="4"/>
    <n v="4"/>
    <n v="16"/>
    <x v="2"/>
    <x v="2"/>
    <d v="2023-04-20T00:00:00"/>
  </r>
  <r>
    <s v="TXN_9857832"/>
    <x v="8"/>
    <n v="3"/>
    <n v="1.5"/>
    <n v="4.5"/>
    <x v="1"/>
    <x v="1"/>
    <d v="2023-03-31T00:00:00"/>
  </r>
  <r>
    <s v="TXN_5038122"/>
    <x v="3"/>
    <n v="1"/>
    <n v="5"/>
    <n v="5"/>
    <x v="2"/>
    <x v="2"/>
    <d v="2023-08-11T00:00:00"/>
  </r>
  <r>
    <s v="TXN_8984085"/>
    <x v="3"/>
    <n v="1"/>
    <n v="5"/>
    <n v="5"/>
    <x v="2"/>
    <x v="2"/>
    <d v="2023-08-17T00:00:00"/>
  </r>
  <r>
    <s v="TXN_8830264"/>
    <x v="3"/>
    <n v="1"/>
    <n v="5"/>
    <n v="5"/>
    <x v="1"/>
    <x v="2"/>
    <d v="2023-11-23T00:00:00"/>
  </r>
  <r>
    <s v="TXN_9696074"/>
    <x v="0"/>
    <n v="4"/>
    <n v="2"/>
    <n v="8"/>
    <x v="2"/>
    <x v="0"/>
    <d v="2023-06-24T00:00:00"/>
  </r>
  <r>
    <s v="TXN_9579637"/>
    <x v="8"/>
    <n v="4"/>
    <n v="1.5"/>
    <n v="6"/>
    <x v="3"/>
    <x v="2"/>
    <d v="2023-06-26T00:00:00"/>
  </r>
  <r>
    <s v="TXN_7907786"/>
    <x v="8"/>
    <n v="5"/>
    <n v="1.5"/>
    <n v="7.5"/>
    <x v="1"/>
    <x v="2"/>
    <d v="2023-09-20T00:00:00"/>
  </r>
  <r>
    <s v="TXN_5316852"/>
    <x v="0"/>
    <n v="2"/>
    <n v="2"/>
    <n v="4"/>
    <x v="3"/>
    <x v="2"/>
    <d v="2023-04-08T00:00:00"/>
  </r>
  <r>
    <s v="TXN_1292430"/>
    <x v="4"/>
    <n v="1"/>
    <n v="4"/>
    <n v="4"/>
    <x v="0"/>
    <x v="0"/>
    <d v="2023-03-09T00:00:00"/>
  </r>
  <r>
    <s v="TXN_5226399"/>
    <x v="5"/>
    <n v="4"/>
    <n v="3"/>
    <n v="12"/>
    <x v="2"/>
    <x v="0"/>
    <d v="2023-01-19T00:00:00"/>
  </r>
  <r>
    <s v="TXN_2470530"/>
    <x v="1"/>
    <n v="1"/>
    <n v="3"/>
    <n v="3"/>
    <x v="3"/>
    <x v="0"/>
    <d v="2023-03-21T00:00:00"/>
  </r>
  <r>
    <s v="TXN_6498718"/>
    <x v="0"/>
    <n v="4"/>
    <n v="2"/>
    <n v="8"/>
    <x v="2"/>
    <x v="2"/>
    <d v="2023-03-18T00:00:00"/>
  </r>
  <r>
    <s v="TXN_1602435"/>
    <x v="4"/>
    <n v="1"/>
    <n v="4"/>
    <n v="4"/>
    <x v="1"/>
    <x v="2"/>
    <d v="2023-12-01T00:00:00"/>
  </r>
  <r>
    <s v="TXN_1434598"/>
    <x v="6"/>
    <n v="5"/>
    <n v="4"/>
    <n v="20"/>
    <x v="1"/>
    <x v="0"/>
    <d v="2023-11-18T00:00:00"/>
  </r>
  <r>
    <s v="TXN_9871036"/>
    <x v="4"/>
    <n v="1"/>
    <n v="4"/>
    <n v="4"/>
    <x v="2"/>
    <x v="0"/>
    <d v="2023-07-02T00:00:00"/>
  </r>
  <r>
    <s v="TXN_2073001"/>
    <x v="0"/>
    <n v="2"/>
    <n v="2"/>
    <n v="4"/>
    <x v="3"/>
    <x v="2"/>
    <d v="2023-11-22T00:00:00"/>
  </r>
  <r>
    <s v="TXN_9284622"/>
    <x v="5"/>
    <n v="1"/>
    <n v="2"/>
    <n v="2"/>
    <x v="0"/>
    <x v="2"/>
    <d v="2023-05-15T00:00:00"/>
  </r>
  <r>
    <s v="TXN_7815076"/>
    <x v="7"/>
    <n v="5"/>
    <n v="3"/>
    <n v="15"/>
    <x v="1"/>
    <x v="2"/>
    <d v="2023-12-16T00:00:00"/>
  </r>
  <r>
    <s v="TXN_6897172"/>
    <x v="0"/>
    <n v="4"/>
    <n v="2"/>
    <n v="8"/>
    <x v="3"/>
    <x v="2"/>
    <d v="2023-12-08T00:00:00"/>
  </r>
  <r>
    <s v="TXN_3783903"/>
    <x v="8"/>
    <n v="4"/>
    <n v="1.5"/>
    <n v="6"/>
    <x v="2"/>
    <x v="2"/>
    <d v="2023-06-25T00:00:00"/>
  </r>
  <r>
    <s v="TXN_4378637"/>
    <x v="2"/>
    <n v="1"/>
    <n v="1"/>
    <n v="1"/>
    <x v="2"/>
    <x v="0"/>
    <d v="2023-05-12T00:00:00"/>
  </r>
  <r>
    <s v="TXN_7514047"/>
    <x v="5"/>
    <n v="1"/>
    <n v="5"/>
    <n v="5"/>
    <x v="1"/>
    <x v="2"/>
    <d v="2023-03-08T00:00:00"/>
  </r>
  <r>
    <s v="TXN_4375708"/>
    <x v="6"/>
    <n v="4"/>
    <n v="4"/>
    <n v="16"/>
    <x v="0"/>
    <x v="0"/>
    <d v="2023-08-01T00:00:00"/>
  </r>
  <r>
    <s v="TXN_9775984"/>
    <x v="7"/>
    <n v="2"/>
    <n v="3"/>
    <n v="6"/>
    <x v="0"/>
    <x v="1"/>
    <d v="2023-10-09T00:00:00"/>
  </r>
  <r>
    <s v="TXN_1708928"/>
    <x v="4"/>
    <n v="1"/>
    <n v="4"/>
    <n v="4"/>
    <x v="2"/>
    <x v="2"/>
    <m/>
  </r>
  <r>
    <s v="TXN_2352685"/>
    <x v="2"/>
    <n v="1"/>
    <n v="1"/>
    <n v="1"/>
    <x v="1"/>
    <x v="0"/>
    <m/>
  </r>
  <r>
    <s v="TXN_1625754"/>
    <x v="1"/>
    <n v="5"/>
    <n v="3"/>
    <n v="15"/>
    <x v="3"/>
    <x v="1"/>
    <d v="2023-08-03T00:00:00"/>
  </r>
  <r>
    <s v="TXN_9567915"/>
    <x v="1"/>
    <n v="1"/>
    <n v="3"/>
    <n v="3"/>
    <x v="3"/>
    <x v="0"/>
    <d v="2023-06-30T00:00:00"/>
  </r>
  <r>
    <s v="TXN_4062634"/>
    <x v="3"/>
    <n v="2"/>
    <n v="5"/>
    <n v="10"/>
    <x v="0"/>
    <x v="1"/>
    <d v="2023-04-05T00:00:00"/>
  </r>
  <r>
    <s v="TXN_6624397"/>
    <x v="7"/>
    <n v="4"/>
    <n v="3"/>
    <n v="12"/>
    <x v="1"/>
    <x v="0"/>
    <d v="2023-04-30T00:00:00"/>
  </r>
  <r>
    <s v="TXN_2991733"/>
    <x v="8"/>
    <n v="5"/>
    <n v="1.5"/>
    <n v="7.5"/>
    <x v="0"/>
    <x v="2"/>
    <d v="2023-04-13T00:00:00"/>
  </r>
  <r>
    <s v="TXN_8978924"/>
    <x v="3"/>
    <n v="5"/>
    <n v="5"/>
    <n v="25"/>
    <x v="1"/>
    <x v="2"/>
    <d v="2023-10-09T00:00:00"/>
  </r>
  <r>
    <s v="TXN_2404800"/>
    <x v="6"/>
    <n v="5"/>
    <n v="4"/>
    <n v="20"/>
    <x v="1"/>
    <x v="1"/>
    <d v="2023-01-28T00:00:00"/>
  </r>
  <r>
    <s v="TXN_4501915"/>
    <x v="7"/>
    <n v="4"/>
    <n v="3"/>
    <n v="12"/>
    <x v="0"/>
    <x v="0"/>
    <d v="2023-12-04T00:00:00"/>
  </r>
  <r>
    <s v="TXN_6273431"/>
    <x v="5"/>
    <n v="2"/>
    <n v="3"/>
    <n v="6"/>
    <x v="2"/>
    <x v="1"/>
    <d v="2023-04-05T00:00:00"/>
  </r>
  <r>
    <s v="TXN_7166936"/>
    <x v="2"/>
    <n v="4"/>
    <n v="1"/>
    <n v="4"/>
    <x v="2"/>
    <x v="1"/>
    <d v="2023-09-25T00:00:00"/>
  </r>
  <r>
    <s v="TXN_7645250"/>
    <x v="7"/>
    <n v="2"/>
    <n v="3"/>
    <n v="6"/>
    <x v="2"/>
    <x v="2"/>
    <d v="2023-10-09T00:00:00"/>
  </r>
  <r>
    <s v="TXN_9231480"/>
    <x v="2"/>
    <n v="4"/>
    <n v="1"/>
    <n v="4"/>
    <x v="1"/>
    <x v="2"/>
    <d v="2023-08-28T00:00:00"/>
  </r>
  <r>
    <s v="TXN_4247105"/>
    <x v="0"/>
    <n v="5"/>
    <n v="2"/>
    <n v="10"/>
    <x v="1"/>
    <x v="1"/>
    <d v="2023-04-14T00:00:00"/>
  </r>
  <r>
    <s v="TXN_8732935"/>
    <x v="2"/>
    <n v="4"/>
    <n v="1"/>
    <n v="4"/>
    <x v="0"/>
    <x v="0"/>
    <d v="2023-08-06T00:00:00"/>
  </r>
  <r>
    <s v="TXN_5108867"/>
    <x v="5"/>
    <n v="3"/>
    <n v="3"/>
    <n v="9"/>
    <x v="1"/>
    <x v="0"/>
    <d v="2023-03-19T00:00:00"/>
  </r>
  <r>
    <s v="TXN_3270584"/>
    <x v="1"/>
    <n v="3"/>
    <n v="3"/>
    <n v="9"/>
    <x v="0"/>
    <x v="0"/>
    <d v="2023-01-10T00:00:00"/>
  </r>
  <r>
    <s v="TXN_8258798"/>
    <x v="0"/>
    <n v="3"/>
    <n v="2"/>
    <n v="6"/>
    <x v="1"/>
    <x v="1"/>
    <d v="2023-10-18T00:00:00"/>
  </r>
  <r>
    <s v="TXN_7412012"/>
    <x v="0"/>
    <n v="1"/>
    <n v="2"/>
    <n v="2"/>
    <x v="1"/>
    <x v="1"/>
    <d v="2023-08-02T00:00:00"/>
  </r>
  <r>
    <s v="TXN_1927324"/>
    <x v="6"/>
    <n v="1"/>
    <n v="4"/>
    <n v="4"/>
    <x v="3"/>
    <x v="0"/>
    <d v="2023-08-29T00:00:00"/>
  </r>
  <r>
    <s v="TXN_9159655"/>
    <x v="2"/>
    <n v="5"/>
    <n v="1"/>
    <n v="5"/>
    <x v="1"/>
    <x v="2"/>
    <d v="2023-03-21T00:00:00"/>
  </r>
  <r>
    <s v="TXN_1293057"/>
    <x v="8"/>
    <n v="2"/>
    <n v="1.5"/>
    <n v="3"/>
    <x v="3"/>
    <x v="2"/>
    <d v="2023-07-03T00:00:00"/>
  </r>
  <r>
    <s v="TXN_8829698"/>
    <x v="1"/>
    <n v="2"/>
    <n v="3"/>
    <n v="6"/>
    <x v="1"/>
    <x v="2"/>
    <d v="2023-03-19T00:00:00"/>
  </r>
  <r>
    <s v="TXN_5056351"/>
    <x v="7"/>
    <n v="1"/>
    <n v="3"/>
    <n v="3"/>
    <x v="2"/>
    <x v="0"/>
    <d v="2023-04-24T00:00:00"/>
  </r>
  <r>
    <s v="TXN_4431264"/>
    <x v="4"/>
    <n v="2"/>
    <n v="4"/>
    <n v="8"/>
    <x v="2"/>
    <x v="2"/>
    <d v="2023-11-14T00:00:00"/>
  </r>
  <r>
    <s v="TXN_7371782"/>
    <x v="8"/>
    <n v="3"/>
    <n v="1.5"/>
    <n v="4.5"/>
    <x v="1"/>
    <x v="1"/>
    <d v="2023-02-26T00:00:00"/>
  </r>
  <r>
    <s v="TXN_7631505"/>
    <x v="6"/>
    <n v="4"/>
    <n v="4"/>
    <n v="16"/>
    <x v="1"/>
    <x v="1"/>
    <d v="2023-07-08T00:00:00"/>
  </r>
  <r>
    <s v="TXN_4331770"/>
    <x v="3"/>
    <n v="4"/>
    <n v="5"/>
    <n v="20"/>
    <x v="2"/>
    <x v="2"/>
    <d v="2023-06-04T00:00:00"/>
  </r>
  <r>
    <s v="TXN_2593909"/>
    <x v="7"/>
    <n v="2"/>
    <n v="3"/>
    <n v="6"/>
    <x v="1"/>
    <x v="1"/>
    <d v="2023-02-25T00:00:00"/>
  </r>
  <r>
    <s v="TXN_9728062"/>
    <x v="0"/>
    <n v="1"/>
    <n v="2"/>
    <n v="2"/>
    <x v="1"/>
    <x v="2"/>
    <d v="2023-05-01T00:00:00"/>
  </r>
  <r>
    <s v="TXN_7664606"/>
    <x v="2"/>
    <n v="2"/>
    <n v="1"/>
    <n v="2"/>
    <x v="3"/>
    <x v="2"/>
    <d v="2023-07-05T00:00:00"/>
  </r>
  <r>
    <s v="TXN_3359911"/>
    <x v="2"/>
    <n v="4"/>
    <n v="1"/>
    <n v="4"/>
    <x v="2"/>
    <x v="1"/>
    <d v="2023-06-18T00:00:00"/>
  </r>
  <r>
    <s v="TXN_3745153"/>
    <x v="4"/>
    <n v="4"/>
    <n v="4"/>
    <n v="16"/>
    <x v="3"/>
    <x v="1"/>
    <d v="2023-06-30T00:00:00"/>
  </r>
  <r>
    <s v="TXN_2019258"/>
    <x v="7"/>
    <n v="4"/>
    <n v="3"/>
    <n v="12"/>
    <x v="0"/>
    <x v="2"/>
    <d v="2023-02-03T00:00:00"/>
  </r>
  <r>
    <s v="TXN_8153957"/>
    <x v="0"/>
    <n v="1"/>
    <n v="2"/>
    <n v="2"/>
    <x v="3"/>
    <x v="0"/>
    <d v="2023-10-12T00:00:00"/>
  </r>
  <r>
    <s v="TXN_3437948"/>
    <x v="4"/>
    <n v="2"/>
    <n v="4"/>
    <n v="8"/>
    <x v="1"/>
    <x v="2"/>
    <d v="2023-11-02T00:00:00"/>
  </r>
  <r>
    <s v="TXN_6874195"/>
    <x v="7"/>
    <n v="3"/>
    <n v="3"/>
    <n v="9"/>
    <x v="1"/>
    <x v="0"/>
    <d v="2023-04-22T00:00:00"/>
  </r>
  <r>
    <s v="TXN_3234146"/>
    <x v="7"/>
    <n v="1"/>
    <n v="3"/>
    <n v="3"/>
    <x v="2"/>
    <x v="0"/>
    <d v="2023-11-14T00:00:00"/>
  </r>
  <r>
    <s v="TXN_5172383"/>
    <x v="7"/>
    <n v="3"/>
    <n v="3"/>
    <n v="9"/>
    <x v="1"/>
    <x v="1"/>
    <d v="2023-03-28T00:00:00"/>
  </r>
  <r>
    <s v="TXN_9288999"/>
    <x v="2"/>
    <n v="3"/>
    <n v="1"/>
    <n v="3"/>
    <x v="0"/>
    <x v="1"/>
    <d v="2023-05-01T00:00:00"/>
  </r>
  <r>
    <s v="TXN_4205407"/>
    <x v="4"/>
    <n v="5"/>
    <n v="4"/>
    <n v="20"/>
    <x v="3"/>
    <x v="2"/>
    <d v="2023-04-27T00:00:00"/>
  </r>
  <r>
    <s v="TXN_8325722"/>
    <x v="6"/>
    <n v="2"/>
    <n v="4"/>
    <n v="8"/>
    <x v="2"/>
    <x v="0"/>
    <d v="2023-05-27T00:00:00"/>
  </r>
  <r>
    <s v="TXN_3050797"/>
    <x v="6"/>
    <n v="3"/>
    <n v="4"/>
    <n v="12"/>
    <x v="0"/>
    <x v="2"/>
    <d v="2023-09-28T00:00:00"/>
  </r>
  <r>
    <s v="TXN_8731991"/>
    <x v="3"/>
    <n v="4"/>
    <n v="5"/>
    <n v="20"/>
    <x v="2"/>
    <x v="1"/>
    <d v="2023-01-20T00:00:00"/>
  </r>
  <r>
    <s v="TXN_7387416"/>
    <x v="7"/>
    <n v="3"/>
    <n v="3"/>
    <n v="9"/>
    <x v="1"/>
    <x v="2"/>
    <d v="2023-12-15T00:00:00"/>
  </r>
  <r>
    <s v="TXN_2244418"/>
    <x v="3"/>
    <n v="5"/>
    <n v="5"/>
    <n v="25"/>
    <x v="1"/>
    <x v="0"/>
    <d v="2023-10-15T00:00:00"/>
  </r>
  <r>
    <s v="TXN_2638644"/>
    <x v="5"/>
    <n v="1"/>
    <n v="1.5"/>
    <n v="1.5"/>
    <x v="2"/>
    <x v="2"/>
    <d v="2023-03-08T00:00:00"/>
  </r>
  <r>
    <s v="TXN_3886177"/>
    <x v="1"/>
    <n v="3"/>
    <n v="3"/>
    <n v="9"/>
    <x v="2"/>
    <x v="0"/>
    <d v="2023-07-17T00:00:00"/>
  </r>
  <r>
    <s v="TXN_2334047"/>
    <x v="8"/>
    <n v="1"/>
    <n v="1.5"/>
    <n v="1.5"/>
    <x v="2"/>
    <x v="0"/>
    <d v="2023-11-08T00:00:00"/>
  </r>
  <r>
    <s v="TXN_3888864"/>
    <x v="6"/>
    <n v="1"/>
    <n v="4"/>
    <n v="4"/>
    <x v="0"/>
    <x v="1"/>
    <d v="2023-10-13T00:00:00"/>
  </r>
  <r>
    <s v="TXN_6972491"/>
    <x v="6"/>
    <n v="1"/>
    <n v="4"/>
    <n v="4"/>
    <x v="2"/>
    <x v="0"/>
    <d v="2023-07-02T00:00:00"/>
  </r>
  <r>
    <s v="TXN_8886791"/>
    <x v="8"/>
    <n v="2"/>
    <n v="1.5"/>
    <n v="3"/>
    <x v="1"/>
    <x v="2"/>
    <d v="2023-07-09T00:00:00"/>
  </r>
  <r>
    <s v="TXN_4356114"/>
    <x v="7"/>
    <n v="2"/>
    <n v="3"/>
    <n v="6"/>
    <x v="1"/>
    <x v="0"/>
    <d v="2023-05-05T00:00:00"/>
  </r>
  <r>
    <s v="TXN_2097023"/>
    <x v="3"/>
    <n v="3"/>
    <n v="5"/>
    <n v="15"/>
    <x v="3"/>
    <x v="0"/>
    <d v="2023-11-10T00:00:00"/>
  </r>
  <r>
    <s v="TXN_2726749"/>
    <x v="7"/>
    <n v="4"/>
    <n v="3"/>
    <n v="12"/>
    <x v="2"/>
    <x v="0"/>
    <d v="2023-05-19T00:00:00"/>
  </r>
  <r>
    <s v="TXN_3357336"/>
    <x v="1"/>
    <n v="4"/>
    <n v="3"/>
    <n v="12"/>
    <x v="2"/>
    <x v="1"/>
    <d v="2023-02-20T00:00:00"/>
  </r>
  <r>
    <s v="TXN_3529354"/>
    <x v="7"/>
    <n v="2"/>
    <n v="3"/>
    <n v="6"/>
    <x v="0"/>
    <x v="0"/>
    <d v="2023-09-06T00:00:00"/>
  </r>
  <r>
    <s v="TXN_9738339"/>
    <x v="7"/>
    <n v="1"/>
    <n v="3"/>
    <n v="3"/>
    <x v="2"/>
    <x v="1"/>
    <d v="2023-07-09T00:00:00"/>
  </r>
  <r>
    <s v="TXN_9389963"/>
    <x v="5"/>
    <n v="5"/>
    <n v="4"/>
    <n v="20"/>
    <x v="2"/>
    <x v="0"/>
    <d v="2023-02-28T00:00:00"/>
  </r>
  <r>
    <s v="TXN_6837879"/>
    <x v="5"/>
    <n v="5"/>
    <n v="3"/>
    <n v="15"/>
    <x v="3"/>
    <x v="2"/>
    <d v="2023-04-09T00:00:00"/>
  </r>
  <r>
    <s v="TXN_1046659"/>
    <x v="4"/>
    <n v="3"/>
    <n v="4"/>
    <n v="12"/>
    <x v="2"/>
    <x v="0"/>
    <d v="2023-12-14T00:00:00"/>
  </r>
  <r>
    <s v="TXN_2032049"/>
    <x v="3"/>
    <n v="2"/>
    <n v="5"/>
    <n v="10"/>
    <x v="0"/>
    <x v="2"/>
    <d v="2023-10-12T00:00:00"/>
  </r>
  <r>
    <s v="TXN_1444479"/>
    <x v="5"/>
    <n v="1"/>
    <n v="3"/>
    <n v="3"/>
    <x v="0"/>
    <x v="2"/>
    <d v="2023-12-10T00:00:00"/>
  </r>
  <r>
    <s v="TXN_7251037"/>
    <x v="3"/>
    <n v="3"/>
    <n v="5"/>
    <n v="15"/>
    <x v="0"/>
    <x v="1"/>
    <d v="2023-08-17T00:00:00"/>
  </r>
  <r>
    <s v="TXN_9891576"/>
    <x v="6"/>
    <n v="3"/>
    <n v="4"/>
    <n v="12"/>
    <x v="3"/>
    <x v="0"/>
    <d v="2023-04-28T00:00:00"/>
  </r>
  <r>
    <s v="TXN_5315818"/>
    <x v="3"/>
    <n v="1"/>
    <n v="5"/>
    <n v="5"/>
    <x v="3"/>
    <x v="2"/>
    <d v="2023-02-06T00:00:00"/>
  </r>
  <r>
    <s v="TXN_9830755"/>
    <x v="2"/>
    <n v="5"/>
    <n v="1"/>
    <n v="5"/>
    <x v="3"/>
    <x v="0"/>
    <d v="2023-06-24T00:00:00"/>
  </r>
  <r>
    <s v="TXN_8833319"/>
    <x v="3"/>
    <n v="1"/>
    <n v="5"/>
    <n v="5"/>
    <x v="2"/>
    <x v="0"/>
    <d v="2023-10-01T00:00:00"/>
  </r>
  <r>
    <s v="TXN_4353750"/>
    <x v="1"/>
    <n v="2"/>
    <n v="3"/>
    <n v="6"/>
    <x v="0"/>
    <x v="2"/>
    <d v="2023-03-02T00:00:00"/>
  </r>
  <r>
    <s v="TXN_8809659"/>
    <x v="7"/>
    <n v="2"/>
    <n v="3"/>
    <n v="6"/>
    <x v="1"/>
    <x v="0"/>
    <d v="2023-01-16T00:00:00"/>
  </r>
  <r>
    <s v="TXN_2104550"/>
    <x v="0"/>
    <n v="4"/>
    <n v="2"/>
    <n v="8"/>
    <x v="0"/>
    <x v="1"/>
    <d v="2023-09-08T00:00:00"/>
  </r>
  <r>
    <s v="TXN_7554731"/>
    <x v="1"/>
    <n v="1"/>
    <n v="3"/>
    <n v="3"/>
    <x v="0"/>
    <x v="1"/>
    <d v="2023-02-02T00:00:00"/>
  </r>
  <r>
    <s v="TXN_8743142"/>
    <x v="2"/>
    <n v="1"/>
    <n v="1"/>
    <n v="1"/>
    <x v="3"/>
    <x v="1"/>
    <m/>
  </r>
  <r>
    <s v="TXN_8652021"/>
    <x v="1"/>
    <n v="1"/>
    <n v="3"/>
    <n v="3"/>
    <x v="0"/>
    <x v="1"/>
    <d v="2023-09-23T00:00:00"/>
  </r>
  <r>
    <s v="TXN_3744962"/>
    <x v="3"/>
    <n v="1"/>
    <n v="5"/>
    <n v="5"/>
    <x v="2"/>
    <x v="1"/>
    <d v="2023-07-26T00:00:00"/>
  </r>
  <r>
    <s v="TXN_7312277"/>
    <x v="7"/>
    <n v="4"/>
    <n v="3"/>
    <n v="12"/>
    <x v="2"/>
    <x v="1"/>
    <d v="2023-09-07T00:00:00"/>
  </r>
  <r>
    <s v="TXN_2342308"/>
    <x v="2"/>
    <n v="5"/>
    <n v="1"/>
    <n v="5"/>
    <x v="3"/>
    <x v="2"/>
    <d v="2023-05-20T00:00:00"/>
  </r>
  <r>
    <s v="TXN_7797507"/>
    <x v="6"/>
    <n v="5"/>
    <n v="4"/>
    <n v="20"/>
    <x v="3"/>
    <x v="0"/>
    <d v="2023-06-06T00:00:00"/>
  </r>
  <r>
    <s v="TXN_3121360"/>
    <x v="1"/>
    <n v="3"/>
    <n v="3"/>
    <n v="9"/>
    <x v="3"/>
    <x v="2"/>
    <d v="2023-01-21T00:00:00"/>
  </r>
  <r>
    <s v="TXN_5568416"/>
    <x v="1"/>
    <n v="5"/>
    <n v="3"/>
    <n v="15"/>
    <x v="0"/>
    <x v="2"/>
    <d v="2023-09-06T00:00:00"/>
  </r>
  <r>
    <s v="TXN_7032922"/>
    <x v="6"/>
    <n v="4"/>
    <n v="4"/>
    <n v="16"/>
    <x v="2"/>
    <x v="2"/>
    <d v="2023-08-18T00:00:00"/>
  </r>
  <r>
    <s v="TXN_5734186"/>
    <x v="7"/>
    <n v="3"/>
    <n v="3"/>
    <n v="9"/>
    <x v="1"/>
    <x v="2"/>
    <d v="2023-04-03T00:00:00"/>
  </r>
  <r>
    <s v="TXN_5107025"/>
    <x v="8"/>
    <n v="2"/>
    <n v="1.5"/>
    <n v="3"/>
    <x v="2"/>
    <x v="1"/>
    <d v="2023-02-19T00:00:00"/>
  </r>
  <r>
    <s v="TXN_7975387"/>
    <x v="4"/>
    <n v="2"/>
    <n v="4"/>
    <n v="8"/>
    <x v="0"/>
    <x v="0"/>
    <d v="2023-03-23T00:00:00"/>
  </r>
  <r>
    <s v="TXN_5209346"/>
    <x v="4"/>
    <n v="3"/>
    <n v="4"/>
    <n v="12"/>
    <x v="0"/>
    <x v="1"/>
    <d v="2023-02-22T00:00:00"/>
  </r>
  <r>
    <s v="TXN_8947660"/>
    <x v="0"/>
    <n v="1"/>
    <n v="2"/>
    <n v="2"/>
    <x v="2"/>
    <x v="1"/>
    <d v="2023-09-03T00:00:00"/>
  </r>
  <r>
    <s v="TXN_6752053"/>
    <x v="4"/>
    <n v="4"/>
    <n v="4"/>
    <n v="16"/>
    <x v="2"/>
    <x v="2"/>
    <d v="2023-05-13T00:00:00"/>
  </r>
  <r>
    <s v="TXN_6571385"/>
    <x v="8"/>
    <n v="4"/>
    <n v="1.5"/>
    <n v="6"/>
    <x v="1"/>
    <x v="0"/>
    <d v="2023-01-06T00:00:00"/>
  </r>
  <r>
    <s v="TXN_6430534"/>
    <x v="8"/>
    <n v="5"/>
    <n v="1.5"/>
    <n v="7.5"/>
    <x v="1"/>
    <x v="0"/>
    <d v="2023-01-29T00:00:00"/>
  </r>
  <r>
    <s v="TXN_6467414"/>
    <x v="8"/>
    <n v="3"/>
    <n v="1.5"/>
    <n v="4.5"/>
    <x v="1"/>
    <x v="2"/>
    <d v="2023-01-06T00:00:00"/>
  </r>
  <r>
    <s v="TXN_2861912"/>
    <x v="0"/>
    <n v="3"/>
    <n v="2"/>
    <n v="6"/>
    <x v="2"/>
    <x v="1"/>
    <d v="2023-03-25T00:00:00"/>
  </r>
  <r>
    <s v="TXN_8347965"/>
    <x v="3"/>
    <n v="1"/>
    <n v="5"/>
    <n v="5"/>
    <x v="1"/>
    <x v="0"/>
    <d v="2023-03-17T00:00:00"/>
  </r>
  <r>
    <s v="TXN_9693344"/>
    <x v="8"/>
    <n v="4"/>
    <n v="1.5"/>
    <n v="6"/>
    <x v="0"/>
    <x v="0"/>
    <d v="2023-01-15T00:00:00"/>
  </r>
  <r>
    <s v="TXN_9801552"/>
    <x v="6"/>
    <n v="4"/>
    <n v="4"/>
    <n v="16"/>
    <x v="0"/>
    <x v="0"/>
    <d v="2023-04-20T00:00:00"/>
  </r>
  <r>
    <s v="TXN_1929109"/>
    <x v="6"/>
    <n v="5"/>
    <n v="4"/>
    <n v="20"/>
    <x v="2"/>
    <x v="2"/>
    <m/>
  </r>
  <r>
    <s v="TXN_8082317"/>
    <x v="7"/>
    <n v="3"/>
    <n v="3"/>
    <n v="9"/>
    <x v="1"/>
    <x v="0"/>
    <d v="2023-08-18T00:00:00"/>
  </r>
  <r>
    <s v="TXN_1569729"/>
    <x v="4"/>
    <n v="5"/>
    <n v="4"/>
    <n v="20"/>
    <x v="1"/>
    <x v="0"/>
    <d v="2023-07-16T00:00:00"/>
  </r>
  <r>
    <s v="TXN_8126049"/>
    <x v="6"/>
    <n v="3"/>
    <n v="4"/>
    <n v="12"/>
    <x v="2"/>
    <x v="2"/>
    <m/>
  </r>
  <r>
    <s v="TXN_2644962"/>
    <x v="4"/>
    <n v="2"/>
    <n v="4"/>
    <n v="8"/>
    <x v="2"/>
    <x v="2"/>
    <d v="2023-04-09T00:00:00"/>
  </r>
  <r>
    <s v="TXN_8991609"/>
    <x v="3"/>
    <n v="4"/>
    <n v="5"/>
    <n v="20"/>
    <x v="3"/>
    <x v="1"/>
    <d v="2023-06-19T00:00:00"/>
  </r>
  <r>
    <s v="TXN_5000665"/>
    <x v="1"/>
    <n v="3"/>
    <n v="3"/>
    <n v="9"/>
    <x v="3"/>
    <x v="1"/>
    <d v="2023-11-28T00:00:00"/>
  </r>
  <r>
    <s v="TXN_2161255"/>
    <x v="6"/>
    <n v="3"/>
    <n v="4"/>
    <n v="12"/>
    <x v="2"/>
    <x v="2"/>
    <d v="2023-06-08T00:00:00"/>
  </r>
  <r>
    <s v="TXN_6549359"/>
    <x v="5"/>
    <n v="3"/>
    <n v="1.5"/>
    <n v="4.5"/>
    <x v="1"/>
    <x v="2"/>
    <d v="2023-04-21T00:00:00"/>
  </r>
  <r>
    <s v="TXN_8833173"/>
    <x v="4"/>
    <n v="4"/>
    <n v="4"/>
    <n v="16"/>
    <x v="3"/>
    <x v="2"/>
    <d v="2023-03-14T00:00:00"/>
  </r>
  <r>
    <s v="TXN_8449081"/>
    <x v="2"/>
    <n v="2"/>
    <n v="1"/>
    <n v="2"/>
    <x v="2"/>
    <x v="1"/>
    <d v="2023-02-24T00:00:00"/>
  </r>
  <r>
    <s v="TXN_7153321"/>
    <x v="3"/>
    <n v="5"/>
    <n v="5"/>
    <n v="25"/>
    <x v="0"/>
    <x v="0"/>
    <d v="2023-12-19T00:00:00"/>
  </r>
  <r>
    <s v="TXN_2935761"/>
    <x v="4"/>
    <n v="4"/>
    <n v="4"/>
    <n v="16"/>
    <x v="3"/>
    <x v="2"/>
    <d v="2023-04-01T00:00:00"/>
  </r>
  <r>
    <s v="TXN_7328705"/>
    <x v="2"/>
    <n v="4"/>
    <n v="1"/>
    <n v="4"/>
    <x v="3"/>
    <x v="0"/>
    <d v="2023-09-09T00:00:00"/>
  </r>
  <r>
    <s v="TXN_1419790"/>
    <x v="6"/>
    <n v="3"/>
    <n v="4"/>
    <n v="12"/>
    <x v="2"/>
    <x v="2"/>
    <d v="2023-01-06T00:00:00"/>
  </r>
  <r>
    <s v="TXN_8970187"/>
    <x v="1"/>
    <n v="1"/>
    <n v="3"/>
    <n v="3"/>
    <x v="3"/>
    <x v="0"/>
    <d v="2023-03-13T00:00:00"/>
  </r>
  <r>
    <s v="TXN_4385632"/>
    <x v="8"/>
    <n v="5"/>
    <n v="1.5"/>
    <n v="7.5"/>
    <x v="2"/>
    <x v="0"/>
    <d v="2023-06-18T00:00:00"/>
  </r>
  <r>
    <s v="TXN_4343133"/>
    <x v="2"/>
    <n v="4"/>
    <n v="1"/>
    <n v="4"/>
    <x v="3"/>
    <x v="2"/>
    <d v="2023-03-04T00:00:00"/>
  </r>
  <r>
    <s v="TXN_7712544"/>
    <x v="2"/>
    <n v="3"/>
    <n v="1"/>
    <n v="3"/>
    <x v="1"/>
    <x v="2"/>
    <d v="2023-05-06T00:00:00"/>
  </r>
  <r>
    <s v="TXN_6904952"/>
    <x v="3"/>
    <n v="4"/>
    <n v="5"/>
    <n v="20"/>
    <x v="3"/>
    <x v="0"/>
    <d v="2023-04-04T00:00:00"/>
  </r>
  <r>
    <s v="TXN_4023091"/>
    <x v="4"/>
    <n v="3"/>
    <n v="4"/>
    <n v="12"/>
    <x v="0"/>
    <x v="2"/>
    <d v="2023-07-24T00:00:00"/>
  </r>
  <r>
    <s v="TXN_6005707"/>
    <x v="7"/>
    <n v="4"/>
    <n v="3"/>
    <n v="12"/>
    <x v="1"/>
    <x v="2"/>
    <d v="2023-02-06T00:00:00"/>
  </r>
  <r>
    <s v="TXN_9824238"/>
    <x v="8"/>
    <n v="5"/>
    <n v="1.5"/>
    <n v="7.5"/>
    <x v="1"/>
    <x v="1"/>
    <d v="2023-07-14T00:00:00"/>
  </r>
  <r>
    <s v="TXN_2867795"/>
    <x v="2"/>
    <n v="1"/>
    <n v="1"/>
    <n v="1"/>
    <x v="0"/>
    <x v="2"/>
    <d v="2023-06-26T00:00:00"/>
  </r>
  <r>
    <s v="TXN_8434259"/>
    <x v="8"/>
    <n v="2"/>
    <n v="1.5"/>
    <n v="3"/>
    <x v="3"/>
    <x v="2"/>
    <m/>
  </r>
  <r>
    <s v="TXN_5437961"/>
    <x v="6"/>
    <n v="3"/>
    <n v="4"/>
    <n v="12"/>
    <x v="2"/>
    <x v="1"/>
    <d v="2023-06-30T00:00:00"/>
  </r>
  <r>
    <s v="TXN_3440463"/>
    <x v="1"/>
    <n v="1"/>
    <n v="3"/>
    <n v="3"/>
    <x v="0"/>
    <x v="0"/>
    <d v="2023-04-04T00:00:00"/>
  </r>
  <r>
    <s v="TXN_1242840"/>
    <x v="4"/>
    <n v="1"/>
    <n v="4"/>
    <n v="4"/>
    <x v="0"/>
    <x v="2"/>
    <d v="2023-08-26T00:00:00"/>
  </r>
  <r>
    <s v="TXN_2997717"/>
    <x v="1"/>
    <n v="4"/>
    <n v="3"/>
    <n v="12"/>
    <x v="0"/>
    <x v="2"/>
    <d v="2023-10-19T00:00:00"/>
  </r>
  <r>
    <s v="TXN_4440412"/>
    <x v="6"/>
    <n v="3"/>
    <n v="4"/>
    <n v="12"/>
    <x v="1"/>
    <x v="0"/>
    <d v="2023-04-15T00:00:00"/>
  </r>
  <r>
    <s v="TXN_9897583"/>
    <x v="0"/>
    <n v="2"/>
    <n v="2"/>
    <n v="4"/>
    <x v="3"/>
    <x v="0"/>
    <d v="2023-01-20T00:00:00"/>
  </r>
  <r>
    <s v="TXN_9772498"/>
    <x v="1"/>
    <n v="4"/>
    <n v="3"/>
    <n v="12"/>
    <x v="1"/>
    <x v="2"/>
    <d v="2023-08-21T00:00:00"/>
  </r>
  <r>
    <s v="TXN_7908929"/>
    <x v="8"/>
    <n v="2"/>
    <n v="1.5"/>
    <n v="3"/>
    <x v="3"/>
    <x v="2"/>
    <d v="2023-11-18T00:00:00"/>
  </r>
  <r>
    <s v="TXN_6411390"/>
    <x v="7"/>
    <n v="1"/>
    <n v="3"/>
    <n v="3"/>
    <x v="1"/>
    <x v="2"/>
    <d v="2023-09-07T00:00:00"/>
  </r>
  <r>
    <s v="TXN_5784400"/>
    <x v="1"/>
    <n v="4"/>
    <n v="3"/>
    <n v="12"/>
    <x v="3"/>
    <x v="2"/>
    <d v="2023-11-25T00:00:00"/>
  </r>
  <r>
    <s v="TXN_9660737"/>
    <x v="2"/>
    <n v="5"/>
    <n v="1"/>
    <n v="5"/>
    <x v="1"/>
    <x v="2"/>
    <d v="2023-05-19T00:00:00"/>
  </r>
  <r>
    <s v="TXN_9719954"/>
    <x v="8"/>
    <n v="1"/>
    <n v="1.5"/>
    <n v="1.5"/>
    <x v="3"/>
    <x v="2"/>
    <m/>
  </r>
  <r>
    <s v="TXN_3287282"/>
    <x v="5"/>
    <n v="2"/>
    <n v="1.5"/>
    <n v="3"/>
    <x v="3"/>
    <x v="0"/>
    <d v="2023-09-23T00:00:00"/>
  </r>
  <r>
    <s v="TXN_7368518"/>
    <x v="5"/>
    <n v="3"/>
    <n v="3"/>
    <n v="9"/>
    <x v="2"/>
    <x v="2"/>
    <d v="2023-03-14T00:00:00"/>
  </r>
  <r>
    <s v="TXN_6068074"/>
    <x v="4"/>
    <n v="2"/>
    <n v="4"/>
    <n v="8"/>
    <x v="1"/>
    <x v="1"/>
    <d v="2023-06-01T00:00:00"/>
  </r>
  <r>
    <s v="TXN_2265329"/>
    <x v="1"/>
    <n v="5"/>
    <n v="3"/>
    <n v="15"/>
    <x v="0"/>
    <x v="2"/>
    <d v="2023-12-23T00:00:00"/>
  </r>
  <r>
    <s v="TXN_8500316"/>
    <x v="6"/>
    <n v="4"/>
    <n v="4"/>
    <n v="16"/>
    <x v="2"/>
    <x v="2"/>
    <d v="2023-03-10T00:00:00"/>
  </r>
  <r>
    <s v="TXN_4235472"/>
    <x v="3"/>
    <n v="5"/>
    <n v="5"/>
    <n v="25"/>
    <x v="2"/>
    <x v="0"/>
    <d v="2023-12-22T00:00:00"/>
  </r>
  <r>
    <s v="TXN_1701798"/>
    <x v="0"/>
    <n v="2"/>
    <n v="2"/>
    <n v="4"/>
    <x v="1"/>
    <x v="0"/>
    <d v="2023-07-24T00:00:00"/>
  </r>
  <r>
    <s v="TXN_4352950"/>
    <x v="0"/>
    <n v="1"/>
    <n v="2"/>
    <n v="2"/>
    <x v="3"/>
    <x v="2"/>
    <d v="2023-02-06T00:00:00"/>
  </r>
  <r>
    <s v="TXN_4807899"/>
    <x v="0"/>
    <n v="5"/>
    <n v="2"/>
    <n v="10"/>
    <x v="3"/>
    <x v="0"/>
    <d v="2023-07-03T00:00:00"/>
  </r>
  <r>
    <s v="TXN_4916085"/>
    <x v="7"/>
    <n v="1"/>
    <n v="3"/>
    <n v="3"/>
    <x v="3"/>
    <x v="2"/>
    <d v="2023-03-03T00:00:00"/>
  </r>
  <r>
    <s v="TXN_2764819"/>
    <x v="5"/>
    <n v="1"/>
    <n v="3"/>
    <n v="3"/>
    <x v="0"/>
    <x v="0"/>
    <d v="2023-02-23T00:00:00"/>
  </r>
  <r>
    <s v="TXN_2102950"/>
    <x v="0"/>
    <n v="5"/>
    <n v="2"/>
    <n v="10"/>
    <x v="3"/>
    <x v="0"/>
    <d v="2023-12-07T00:00:00"/>
  </r>
  <r>
    <s v="TXN_5530180"/>
    <x v="2"/>
    <n v="5"/>
    <n v="1"/>
    <n v="5"/>
    <x v="2"/>
    <x v="1"/>
    <d v="2023-09-06T00:00:00"/>
  </r>
  <r>
    <s v="TXN_6774559"/>
    <x v="2"/>
    <n v="2"/>
    <n v="1"/>
    <n v="2"/>
    <x v="2"/>
    <x v="2"/>
    <d v="2023-02-18T00:00:00"/>
  </r>
  <r>
    <s v="TXN_7914312"/>
    <x v="6"/>
    <n v="5"/>
    <n v="4"/>
    <n v="20"/>
    <x v="2"/>
    <x v="1"/>
    <d v="2023-06-06T00:00:00"/>
  </r>
  <r>
    <s v="TXN_5282804"/>
    <x v="6"/>
    <n v="1"/>
    <n v="4"/>
    <n v="4"/>
    <x v="0"/>
    <x v="2"/>
    <d v="2023-12-01T00:00:00"/>
  </r>
  <r>
    <s v="TXN_6526078"/>
    <x v="6"/>
    <n v="5"/>
    <n v="4"/>
    <n v="20"/>
    <x v="1"/>
    <x v="2"/>
    <d v="2023-11-07T00:00:00"/>
  </r>
  <r>
    <s v="TXN_4070040"/>
    <x v="1"/>
    <n v="1"/>
    <n v="3"/>
    <n v="3"/>
    <x v="2"/>
    <x v="2"/>
    <m/>
  </r>
  <r>
    <s v="TXN_7668576"/>
    <x v="5"/>
    <n v="2"/>
    <n v="3"/>
    <n v="6"/>
    <x v="2"/>
    <x v="2"/>
    <d v="2023-11-08T00:00:00"/>
  </r>
  <r>
    <s v="TXN_2210019"/>
    <x v="6"/>
    <n v="3"/>
    <n v="4"/>
    <n v="12"/>
    <x v="1"/>
    <x v="1"/>
    <d v="2023-12-05T00:00:00"/>
  </r>
  <r>
    <s v="TXN_4727260"/>
    <x v="8"/>
    <n v="2"/>
    <n v="1.5"/>
    <n v="3"/>
    <x v="2"/>
    <x v="2"/>
    <d v="2023-01-30T00:00:00"/>
  </r>
  <r>
    <s v="TXN_2617632"/>
    <x v="4"/>
    <n v="4"/>
    <n v="4"/>
    <n v="16"/>
    <x v="3"/>
    <x v="2"/>
    <d v="2023-10-17T00:00:00"/>
  </r>
  <r>
    <s v="TXN_5585601"/>
    <x v="1"/>
    <n v="4"/>
    <n v="3"/>
    <n v="12"/>
    <x v="2"/>
    <x v="0"/>
    <d v="2023-05-28T00:00:00"/>
  </r>
  <r>
    <s v="TXN_8019306"/>
    <x v="7"/>
    <n v="1"/>
    <n v="3"/>
    <n v="3"/>
    <x v="0"/>
    <x v="2"/>
    <d v="2023-05-21T00:00:00"/>
  </r>
  <r>
    <s v="TXN_6469563"/>
    <x v="7"/>
    <n v="5"/>
    <n v="3"/>
    <n v="15"/>
    <x v="0"/>
    <x v="2"/>
    <d v="2023-03-04T00:00:00"/>
  </r>
  <r>
    <s v="TXN_4059695"/>
    <x v="3"/>
    <n v="3"/>
    <n v="5"/>
    <n v="15"/>
    <x v="1"/>
    <x v="0"/>
    <d v="2023-12-30T00:00:00"/>
  </r>
  <r>
    <s v="TXN_2393287"/>
    <x v="5"/>
    <n v="2"/>
    <n v="3"/>
    <n v="6"/>
    <x v="1"/>
    <x v="2"/>
    <d v="2023-04-14T00:00:00"/>
  </r>
  <r>
    <s v="TXN_3799280"/>
    <x v="0"/>
    <n v="5"/>
    <n v="2"/>
    <n v="10"/>
    <x v="1"/>
    <x v="2"/>
    <d v="2023-09-23T00:00:00"/>
  </r>
  <r>
    <s v="TXN_1454024"/>
    <x v="2"/>
    <n v="5"/>
    <n v="1"/>
    <n v="5"/>
    <x v="3"/>
    <x v="2"/>
    <m/>
  </r>
  <r>
    <s v="TXN_2749862"/>
    <x v="3"/>
    <n v="4"/>
    <n v="5"/>
    <n v="20"/>
    <x v="3"/>
    <x v="2"/>
    <d v="2023-07-19T00:00:00"/>
  </r>
  <r>
    <s v="TXN_3863625"/>
    <x v="3"/>
    <n v="5"/>
    <n v="5"/>
    <n v="25"/>
    <x v="1"/>
    <x v="1"/>
    <d v="2023-09-04T00:00:00"/>
  </r>
  <r>
    <s v="TXN_2928676"/>
    <x v="2"/>
    <n v="1"/>
    <n v="1"/>
    <n v="1"/>
    <x v="0"/>
    <x v="2"/>
    <d v="2023-06-09T00:00:00"/>
  </r>
  <r>
    <s v="TXN_4030763"/>
    <x v="3"/>
    <n v="2"/>
    <n v="5"/>
    <n v="10"/>
    <x v="2"/>
    <x v="0"/>
    <d v="2023-06-17T00:00:00"/>
  </r>
  <r>
    <s v="TXN_6853830"/>
    <x v="5"/>
    <n v="5"/>
    <n v="1.5"/>
    <n v="7.5"/>
    <x v="2"/>
    <x v="1"/>
    <d v="2023-07-13T00:00:00"/>
  </r>
  <r>
    <s v="TXN_3877643"/>
    <x v="7"/>
    <n v="4"/>
    <n v="3"/>
    <n v="12"/>
    <x v="1"/>
    <x v="1"/>
    <d v="2023-11-15T00:00:00"/>
  </r>
  <r>
    <s v="TXN_9395554"/>
    <x v="5"/>
    <n v="4"/>
    <n v="2"/>
    <n v="8"/>
    <x v="1"/>
    <x v="0"/>
    <d v="2023-03-31T00:00:00"/>
  </r>
  <r>
    <s v="TXN_3755657"/>
    <x v="4"/>
    <n v="2"/>
    <n v="4"/>
    <n v="8"/>
    <x v="3"/>
    <x v="1"/>
    <d v="2023-03-24T00:00:00"/>
  </r>
  <r>
    <s v="TXN_6987232"/>
    <x v="7"/>
    <n v="5"/>
    <n v="3"/>
    <n v="15"/>
    <x v="3"/>
    <x v="2"/>
    <d v="2023-06-02T00:00:00"/>
  </r>
  <r>
    <s v="TXN_8045032"/>
    <x v="7"/>
    <n v="4"/>
    <n v="3"/>
    <n v="12"/>
    <x v="2"/>
    <x v="1"/>
    <d v="2023-02-20T00:00:00"/>
  </r>
  <r>
    <s v="TXN_3288233"/>
    <x v="7"/>
    <n v="5"/>
    <n v="3"/>
    <n v="15"/>
    <x v="1"/>
    <x v="2"/>
    <d v="2023-12-24T00:00:00"/>
  </r>
  <r>
    <s v="TXN_4231121"/>
    <x v="0"/>
    <n v="4"/>
    <n v="2"/>
    <n v="8"/>
    <x v="2"/>
    <x v="2"/>
    <d v="2023-09-01T00:00:00"/>
  </r>
  <r>
    <s v="TXN_8932087"/>
    <x v="5"/>
    <n v="1"/>
    <n v="3"/>
    <n v="3"/>
    <x v="3"/>
    <x v="0"/>
    <d v="2023-10-30T00:00:00"/>
  </r>
  <r>
    <s v="TXN_6189486"/>
    <x v="5"/>
    <n v="5"/>
    <n v="4"/>
    <n v="20"/>
    <x v="2"/>
    <x v="0"/>
    <d v="2023-03-23T00:00:00"/>
  </r>
  <r>
    <s v="TXN_2489067"/>
    <x v="7"/>
    <n v="2"/>
    <n v="3"/>
    <n v="6"/>
    <x v="2"/>
    <x v="0"/>
    <d v="2023-07-05T00:00:00"/>
  </r>
  <r>
    <s v="TXN_7293600"/>
    <x v="1"/>
    <n v="3"/>
    <n v="3"/>
    <n v="9"/>
    <x v="3"/>
    <x v="2"/>
    <d v="2023-10-28T00:00:00"/>
  </r>
  <r>
    <s v="TXN_3147874"/>
    <x v="2"/>
    <n v="1"/>
    <n v="1"/>
    <n v="1"/>
    <x v="3"/>
    <x v="0"/>
    <m/>
  </r>
  <r>
    <s v="TXN_5279293"/>
    <x v="6"/>
    <n v="3"/>
    <n v="4"/>
    <n v="12"/>
    <x v="3"/>
    <x v="0"/>
    <d v="2023-11-11T00:00:00"/>
  </r>
  <r>
    <s v="TXN_3488082"/>
    <x v="6"/>
    <n v="1"/>
    <n v="4"/>
    <n v="4"/>
    <x v="3"/>
    <x v="1"/>
    <d v="2023-04-12T00:00:00"/>
  </r>
  <r>
    <s v="TXN_3342106"/>
    <x v="6"/>
    <n v="1"/>
    <n v="4"/>
    <n v="4"/>
    <x v="0"/>
    <x v="1"/>
    <d v="2023-01-14T00:00:00"/>
  </r>
  <r>
    <s v="TXN_3713880"/>
    <x v="3"/>
    <n v="5"/>
    <n v="5"/>
    <n v="25"/>
    <x v="2"/>
    <x v="1"/>
    <d v="2023-06-30T00:00:00"/>
  </r>
  <r>
    <s v="TXN_1967032"/>
    <x v="8"/>
    <n v="1"/>
    <n v="1.5"/>
    <n v="1.5"/>
    <x v="3"/>
    <x v="0"/>
    <d v="2023-01-12T00:00:00"/>
  </r>
  <r>
    <s v="TXN_6587151"/>
    <x v="4"/>
    <n v="4"/>
    <n v="4"/>
    <n v="16"/>
    <x v="0"/>
    <x v="2"/>
    <d v="2023-10-07T00:00:00"/>
  </r>
  <r>
    <s v="TXN_2630698"/>
    <x v="6"/>
    <n v="2"/>
    <n v="4"/>
    <n v="8"/>
    <x v="2"/>
    <x v="0"/>
    <d v="2023-08-22T00:00:00"/>
  </r>
  <r>
    <s v="TXN_3632558"/>
    <x v="0"/>
    <n v="2"/>
    <n v="2"/>
    <n v="4"/>
    <x v="1"/>
    <x v="0"/>
    <d v="2023-08-10T00:00:00"/>
  </r>
  <r>
    <s v="TXN_8228500"/>
    <x v="8"/>
    <n v="3"/>
    <n v="1.5"/>
    <n v="4.5"/>
    <x v="2"/>
    <x v="1"/>
    <d v="2023-04-15T00:00:00"/>
  </r>
  <r>
    <s v="TXN_9708632"/>
    <x v="0"/>
    <n v="5"/>
    <n v="2"/>
    <n v="10"/>
    <x v="2"/>
    <x v="1"/>
    <m/>
  </r>
  <r>
    <s v="TXN_3543930"/>
    <x v="7"/>
    <n v="2"/>
    <n v="3"/>
    <n v="6"/>
    <x v="0"/>
    <x v="0"/>
    <d v="2023-10-10T00:00:00"/>
  </r>
  <r>
    <s v="TXN_1037464"/>
    <x v="5"/>
    <n v="5"/>
    <n v="4"/>
    <n v="20"/>
    <x v="3"/>
    <x v="2"/>
    <d v="2023-02-14T00:00:00"/>
  </r>
  <r>
    <s v="TXN_3508619"/>
    <x v="4"/>
    <n v="4"/>
    <n v="4"/>
    <n v="16"/>
    <x v="2"/>
    <x v="2"/>
    <d v="2023-09-04T00:00:00"/>
  </r>
  <r>
    <s v="TXN_4553403"/>
    <x v="0"/>
    <n v="5"/>
    <n v="2"/>
    <n v="10"/>
    <x v="2"/>
    <x v="1"/>
    <d v="2023-06-20T00:00:00"/>
  </r>
  <r>
    <s v="TXN_5747509"/>
    <x v="2"/>
    <n v="2"/>
    <n v="1"/>
    <n v="2"/>
    <x v="1"/>
    <x v="1"/>
    <d v="2023-10-30T00:00:00"/>
  </r>
  <r>
    <s v="TXN_7910572"/>
    <x v="6"/>
    <n v="4"/>
    <n v="4"/>
    <n v="16"/>
    <x v="2"/>
    <x v="0"/>
    <d v="2023-07-07T00:00:00"/>
  </r>
  <r>
    <s v="TXN_9012517"/>
    <x v="0"/>
    <n v="2"/>
    <n v="2"/>
    <n v="4"/>
    <x v="0"/>
    <x v="1"/>
    <d v="2023-10-21T00:00:00"/>
  </r>
  <r>
    <s v="TXN_8237192"/>
    <x v="6"/>
    <n v="3"/>
    <n v="4"/>
    <n v="12"/>
    <x v="2"/>
    <x v="2"/>
    <d v="2023-10-03T00:00:00"/>
  </r>
  <r>
    <s v="TXN_5303092"/>
    <x v="8"/>
    <n v="2"/>
    <n v="1.5"/>
    <n v="3"/>
    <x v="0"/>
    <x v="1"/>
    <d v="2023-05-05T00:00:00"/>
  </r>
  <r>
    <s v="TXN_3136657"/>
    <x v="1"/>
    <n v="2"/>
    <n v="3"/>
    <n v="6"/>
    <x v="1"/>
    <x v="1"/>
    <d v="2023-09-21T00:00:00"/>
  </r>
  <r>
    <s v="TXN_3865641"/>
    <x v="1"/>
    <n v="5"/>
    <n v="3"/>
    <n v="15"/>
    <x v="3"/>
    <x v="1"/>
    <d v="2023-09-15T00:00:00"/>
  </r>
  <r>
    <s v="TXN_1049697"/>
    <x v="8"/>
    <n v="3"/>
    <n v="1.5"/>
    <n v="4.5"/>
    <x v="1"/>
    <x v="1"/>
    <d v="2023-10-08T00:00:00"/>
  </r>
  <r>
    <s v="TXN_3420316"/>
    <x v="6"/>
    <n v="3"/>
    <n v="4"/>
    <n v="12"/>
    <x v="2"/>
    <x v="0"/>
    <d v="2023-10-31T00:00:00"/>
  </r>
  <r>
    <s v="TXN_6568307"/>
    <x v="0"/>
    <n v="1"/>
    <n v="2"/>
    <n v="2"/>
    <x v="1"/>
    <x v="1"/>
    <d v="2023-07-16T00:00:00"/>
  </r>
  <r>
    <s v="TXN_8281347"/>
    <x v="7"/>
    <n v="4"/>
    <n v="3"/>
    <n v="12"/>
    <x v="0"/>
    <x v="1"/>
    <d v="2023-08-11T00:00:00"/>
  </r>
  <r>
    <s v="TXN_8353202"/>
    <x v="6"/>
    <n v="4"/>
    <n v="4"/>
    <n v="16"/>
    <x v="3"/>
    <x v="1"/>
    <d v="2023-06-14T00:00:00"/>
  </r>
  <r>
    <s v="TXN_7377398"/>
    <x v="7"/>
    <n v="2"/>
    <n v="3"/>
    <n v="6"/>
    <x v="1"/>
    <x v="0"/>
    <d v="2023-02-26T00:00:00"/>
  </r>
  <r>
    <s v="TXN_6915068"/>
    <x v="7"/>
    <n v="2"/>
    <n v="3"/>
    <n v="6"/>
    <x v="1"/>
    <x v="1"/>
    <d v="2023-11-26T00:00:00"/>
  </r>
  <r>
    <s v="TXN_8704802"/>
    <x v="4"/>
    <n v="3"/>
    <n v="4"/>
    <n v="12"/>
    <x v="2"/>
    <x v="2"/>
    <d v="2023-08-30T00:00:00"/>
  </r>
  <r>
    <s v="TXN_1983422"/>
    <x v="2"/>
    <n v="2"/>
    <n v="1"/>
    <n v="2"/>
    <x v="3"/>
    <x v="1"/>
    <d v="2023-06-26T00:00:00"/>
  </r>
  <r>
    <s v="TXN_1603186"/>
    <x v="1"/>
    <n v="3"/>
    <n v="3"/>
    <n v="9"/>
    <x v="1"/>
    <x v="0"/>
    <d v="2023-10-13T00:00:00"/>
  </r>
  <r>
    <s v="TXN_5572520"/>
    <x v="4"/>
    <n v="5"/>
    <n v="4"/>
    <n v="20"/>
    <x v="1"/>
    <x v="0"/>
    <d v="2023-05-14T00:00:00"/>
  </r>
  <r>
    <s v="TXN_2021680"/>
    <x v="7"/>
    <n v="3"/>
    <n v="3"/>
    <n v="9"/>
    <x v="2"/>
    <x v="0"/>
    <d v="2023-08-16T00:00:00"/>
  </r>
  <r>
    <s v="TXN_9220900"/>
    <x v="2"/>
    <n v="4"/>
    <n v="1"/>
    <n v="4"/>
    <x v="2"/>
    <x v="2"/>
    <d v="2023-06-19T00:00:00"/>
  </r>
  <r>
    <s v="TXN_6123007"/>
    <x v="0"/>
    <n v="3"/>
    <n v="2"/>
    <n v="6"/>
    <x v="3"/>
    <x v="2"/>
    <d v="2023-05-28T00:00:00"/>
  </r>
  <r>
    <s v="TXN_2832660"/>
    <x v="4"/>
    <n v="2"/>
    <n v="4"/>
    <n v="8"/>
    <x v="0"/>
    <x v="2"/>
    <d v="2023-01-08T00:00:00"/>
  </r>
  <r>
    <s v="TXN_7697496"/>
    <x v="3"/>
    <n v="1"/>
    <n v="5"/>
    <n v="5"/>
    <x v="2"/>
    <x v="0"/>
    <d v="2023-06-18T00:00:00"/>
  </r>
  <r>
    <s v="TXN_9802838"/>
    <x v="8"/>
    <n v="1"/>
    <n v="1.5"/>
    <n v="1.5"/>
    <x v="2"/>
    <x v="0"/>
    <d v="2023-02-15T00:00:00"/>
  </r>
  <r>
    <s v="TXN_4011509"/>
    <x v="4"/>
    <n v="4"/>
    <n v="4"/>
    <n v="16"/>
    <x v="3"/>
    <x v="2"/>
    <d v="2023-11-10T00:00:00"/>
  </r>
  <r>
    <s v="TXN_6786730"/>
    <x v="0"/>
    <n v="1"/>
    <n v="2"/>
    <n v="2"/>
    <x v="0"/>
    <x v="2"/>
    <d v="2023-04-15T00:00:00"/>
  </r>
  <r>
    <s v="TXN_3641356"/>
    <x v="7"/>
    <n v="3"/>
    <n v="3"/>
    <n v="9"/>
    <x v="0"/>
    <x v="1"/>
    <d v="2023-07-26T00:00:00"/>
  </r>
  <r>
    <s v="TXN_8245502"/>
    <x v="3"/>
    <n v="1"/>
    <n v="5"/>
    <n v="5"/>
    <x v="0"/>
    <x v="2"/>
    <d v="2023-03-16T00:00:00"/>
  </r>
  <r>
    <s v="TXN_3645818"/>
    <x v="5"/>
    <n v="1"/>
    <n v="1"/>
    <n v="1"/>
    <x v="3"/>
    <x v="0"/>
    <d v="2023-03-18T00:00:00"/>
  </r>
  <r>
    <s v="TXN_1318238"/>
    <x v="6"/>
    <n v="1"/>
    <n v="4"/>
    <n v="4"/>
    <x v="3"/>
    <x v="0"/>
    <d v="2023-09-23T00:00:00"/>
  </r>
  <r>
    <s v="TXN_1970180"/>
    <x v="1"/>
    <n v="2"/>
    <n v="3"/>
    <n v="6"/>
    <x v="3"/>
    <x v="0"/>
    <d v="2023-08-02T00:00:00"/>
  </r>
  <r>
    <s v="TXN_5415223"/>
    <x v="8"/>
    <n v="2"/>
    <n v="1.5"/>
    <n v="3"/>
    <x v="1"/>
    <x v="1"/>
    <d v="2023-09-02T00:00:00"/>
  </r>
  <r>
    <s v="TXN_4777601"/>
    <x v="8"/>
    <n v="1"/>
    <n v="1.5"/>
    <n v="1.5"/>
    <x v="0"/>
    <x v="1"/>
    <d v="2023-08-18T00:00:00"/>
  </r>
  <r>
    <s v="TXN_2023651"/>
    <x v="6"/>
    <m/>
    <n v="4"/>
    <m/>
    <x v="1"/>
    <x v="1"/>
    <d v="2023-05-25T00:00:00"/>
  </r>
  <r>
    <s v="TXN_5110688"/>
    <x v="3"/>
    <n v="3"/>
    <n v="5"/>
    <n v="15"/>
    <x v="3"/>
    <x v="2"/>
    <d v="2023-05-09T00:00:00"/>
  </r>
  <r>
    <s v="TXN_7497122"/>
    <x v="6"/>
    <n v="5"/>
    <n v="4"/>
    <n v="20"/>
    <x v="3"/>
    <x v="0"/>
    <d v="2023-03-23T00:00:00"/>
  </r>
  <r>
    <s v="TXN_4870483"/>
    <x v="0"/>
    <n v="1"/>
    <n v="2"/>
    <n v="2"/>
    <x v="2"/>
    <x v="0"/>
    <d v="2023-03-03T00:00:00"/>
  </r>
  <r>
    <s v="TXN_3003979"/>
    <x v="8"/>
    <n v="1"/>
    <n v="1.5"/>
    <n v="1.5"/>
    <x v="3"/>
    <x v="0"/>
    <d v="2023-01-08T00:00:00"/>
  </r>
  <r>
    <s v="TXN_3838923"/>
    <x v="7"/>
    <n v="4"/>
    <n v="3"/>
    <n v="12"/>
    <x v="2"/>
    <x v="0"/>
    <d v="2023-06-03T00:00:00"/>
  </r>
  <r>
    <s v="TXN_1998143"/>
    <x v="5"/>
    <n v="1"/>
    <n v="1"/>
    <n v="1"/>
    <x v="3"/>
    <x v="1"/>
    <d v="2023-12-10T00:00:00"/>
  </r>
  <r>
    <s v="TXN_2458782"/>
    <x v="3"/>
    <n v="1"/>
    <n v="5"/>
    <n v="5"/>
    <x v="1"/>
    <x v="2"/>
    <d v="2023-04-15T00:00:00"/>
  </r>
  <r>
    <s v="TXN_1256513"/>
    <x v="0"/>
    <n v="4"/>
    <n v="2"/>
    <n v="8"/>
    <x v="0"/>
    <x v="1"/>
    <d v="2023-02-21T00:00:00"/>
  </r>
  <r>
    <s v="TXN_6266187"/>
    <x v="8"/>
    <n v="5"/>
    <n v="1.5"/>
    <n v="7.5"/>
    <x v="0"/>
    <x v="1"/>
    <m/>
  </r>
  <r>
    <s v="TXN_9432758"/>
    <x v="2"/>
    <n v="3"/>
    <n v="1"/>
    <n v="3"/>
    <x v="1"/>
    <x v="0"/>
    <d v="2023-10-02T00:00:00"/>
  </r>
  <r>
    <s v="TXN_1254663"/>
    <x v="0"/>
    <n v="3"/>
    <n v="2"/>
    <n v="6"/>
    <x v="2"/>
    <x v="2"/>
    <d v="2023-08-15T00:00:00"/>
  </r>
  <r>
    <s v="TXN_7174856"/>
    <x v="6"/>
    <n v="1"/>
    <n v="4"/>
    <n v="4"/>
    <x v="1"/>
    <x v="0"/>
    <d v="2023-05-03T00:00:00"/>
  </r>
  <r>
    <s v="TXN_5548756"/>
    <x v="2"/>
    <n v="4"/>
    <n v="1"/>
    <n v="4"/>
    <x v="0"/>
    <x v="2"/>
    <d v="2023-09-09T00:00:00"/>
  </r>
  <r>
    <s v="TXN_2736267"/>
    <x v="3"/>
    <n v="5"/>
    <n v="5"/>
    <n v="25"/>
    <x v="2"/>
    <x v="1"/>
    <d v="2023-03-17T00:00:00"/>
  </r>
  <r>
    <s v="TXN_7595907"/>
    <x v="5"/>
    <n v="5"/>
    <n v="3"/>
    <n v="15"/>
    <x v="2"/>
    <x v="1"/>
    <d v="2023-04-24T00:00:00"/>
  </r>
  <r>
    <s v="TXN_1990997"/>
    <x v="3"/>
    <n v="1"/>
    <n v="5"/>
    <n v="5"/>
    <x v="3"/>
    <x v="2"/>
    <d v="2023-03-27T00:00:00"/>
  </r>
  <r>
    <s v="TXN_3820150"/>
    <x v="8"/>
    <n v="1"/>
    <n v="1.5"/>
    <n v="1.5"/>
    <x v="2"/>
    <x v="2"/>
    <d v="2023-05-10T00:00:00"/>
  </r>
  <r>
    <s v="TXN_7325508"/>
    <x v="3"/>
    <n v="4"/>
    <n v="5"/>
    <n v="20"/>
    <x v="0"/>
    <x v="0"/>
    <d v="2023-05-27T00:00:00"/>
  </r>
  <r>
    <s v="TXN_5398134"/>
    <x v="0"/>
    <n v="2"/>
    <n v="2"/>
    <n v="4"/>
    <x v="0"/>
    <x v="2"/>
    <d v="2023-10-01T00:00:00"/>
  </r>
  <r>
    <s v="TXN_2150872"/>
    <x v="5"/>
    <n v="5"/>
    <n v="3"/>
    <n v="15"/>
    <x v="1"/>
    <x v="0"/>
    <d v="2023-03-18T00:00:00"/>
  </r>
  <r>
    <s v="TXN_6563365"/>
    <x v="7"/>
    <n v="4"/>
    <n v="3"/>
    <n v="12"/>
    <x v="2"/>
    <x v="0"/>
    <m/>
  </r>
  <r>
    <s v="TXN_9669616"/>
    <x v="0"/>
    <m/>
    <n v="2"/>
    <m/>
    <x v="2"/>
    <x v="2"/>
    <d v="2023-06-03T00:00:00"/>
  </r>
  <r>
    <s v="TXN_1936447"/>
    <x v="2"/>
    <n v="2"/>
    <n v="1"/>
    <n v="2"/>
    <x v="1"/>
    <x v="2"/>
    <d v="2023-10-28T00:00:00"/>
  </r>
  <r>
    <s v="TXN_8469087"/>
    <x v="3"/>
    <n v="2"/>
    <n v="5"/>
    <n v="10"/>
    <x v="3"/>
    <x v="0"/>
    <d v="2023-11-06T00:00:00"/>
  </r>
  <r>
    <s v="TXN_5556985"/>
    <x v="7"/>
    <n v="3"/>
    <n v="3"/>
    <n v="9"/>
    <x v="3"/>
    <x v="1"/>
    <m/>
  </r>
  <r>
    <s v="TXN_8621589"/>
    <x v="7"/>
    <n v="5"/>
    <n v="3"/>
    <n v="15"/>
    <x v="3"/>
    <x v="2"/>
    <d v="2023-11-15T00:00:00"/>
  </r>
  <r>
    <s v="TXN_9901097"/>
    <x v="0"/>
    <n v="1"/>
    <n v="2"/>
    <n v="2"/>
    <x v="1"/>
    <x v="2"/>
    <d v="2023-01-07T00:00:00"/>
  </r>
  <r>
    <s v="TXN_8783484"/>
    <x v="4"/>
    <n v="1"/>
    <n v="4"/>
    <n v="4"/>
    <x v="1"/>
    <x v="1"/>
    <d v="2023-11-20T00:00:00"/>
  </r>
  <r>
    <s v="TXN_9599703"/>
    <x v="1"/>
    <n v="2"/>
    <n v="3"/>
    <n v="6"/>
    <x v="3"/>
    <x v="1"/>
    <d v="2023-09-25T00:00:00"/>
  </r>
  <r>
    <s v="TXN_1353248"/>
    <x v="6"/>
    <n v="3"/>
    <n v="4"/>
    <n v="12"/>
    <x v="1"/>
    <x v="2"/>
    <d v="2023-09-03T00:00:00"/>
  </r>
  <r>
    <s v="TXN_2470745"/>
    <x v="6"/>
    <n v="2"/>
    <n v="4"/>
    <n v="8"/>
    <x v="3"/>
    <x v="2"/>
    <d v="2023-01-10T00:00:00"/>
  </r>
  <r>
    <s v="TXN_1266598"/>
    <x v="1"/>
    <n v="4"/>
    <n v="3"/>
    <n v="12"/>
    <x v="3"/>
    <x v="2"/>
    <d v="2023-04-05T00:00:00"/>
  </r>
  <r>
    <s v="TXN_5445994"/>
    <x v="7"/>
    <n v="1"/>
    <n v="3"/>
    <n v="3"/>
    <x v="0"/>
    <x v="1"/>
    <d v="2023-06-11T00:00:00"/>
  </r>
  <r>
    <s v="TXN_5689687"/>
    <x v="1"/>
    <n v="5"/>
    <n v="3"/>
    <n v="15"/>
    <x v="2"/>
    <x v="1"/>
    <d v="2023-06-04T00:00:00"/>
  </r>
  <r>
    <s v="TXN_2208733"/>
    <x v="7"/>
    <n v="1"/>
    <n v="3"/>
    <n v="3"/>
    <x v="2"/>
    <x v="0"/>
    <d v="2023-06-20T00:00:00"/>
  </r>
  <r>
    <s v="TXN_1547245"/>
    <x v="6"/>
    <m/>
    <n v="4"/>
    <m/>
    <x v="2"/>
    <x v="0"/>
    <d v="2023-09-11T00:00:00"/>
  </r>
  <r>
    <s v="TXN_4694285"/>
    <x v="8"/>
    <n v="3"/>
    <n v="1.5"/>
    <n v="4.5"/>
    <x v="2"/>
    <x v="1"/>
    <d v="2023-01-25T00:00:00"/>
  </r>
  <r>
    <s v="TXN_3829375"/>
    <x v="7"/>
    <n v="5"/>
    <n v="3"/>
    <n v="15"/>
    <x v="1"/>
    <x v="2"/>
    <d v="2023-12-18T00:00:00"/>
  </r>
  <r>
    <s v="TXN_1932224"/>
    <x v="0"/>
    <n v="1"/>
    <n v="2"/>
    <n v="2"/>
    <x v="0"/>
    <x v="2"/>
    <d v="2023-09-09T00:00:00"/>
  </r>
  <r>
    <s v="TXN_5468153"/>
    <x v="4"/>
    <n v="5"/>
    <n v="4"/>
    <n v="20"/>
    <x v="3"/>
    <x v="1"/>
    <d v="2023-12-15T00:00:00"/>
  </r>
  <r>
    <s v="TXN_9363711"/>
    <x v="0"/>
    <n v="5"/>
    <n v="2"/>
    <n v="10"/>
    <x v="3"/>
    <x v="0"/>
    <d v="2023-11-23T00:00:00"/>
  </r>
  <r>
    <s v="TXN_6845073"/>
    <x v="2"/>
    <n v="1"/>
    <n v="1"/>
    <n v="1"/>
    <x v="0"/>
    <x v="1"/>
    <d v="2023-04-05T00:00:00"/>
  </r>
  <r>
    <s v="TXN_1621227"/>
    <x v="0"/>
    <n v="2"/>
    <n v="2"/>
    <n v="4"/>
    <x v="1"/>
    <x v="2"/>
    <m/>
  </r>
  <r>
    <s v="TXN_1691313"/>
    <x v="6"/>
    <n v="2"/>
    <n v="4"/>
    <n v="8"/>
    <x v="3"/>
    <x v="0"/>
    <d v="2023-03-17T00:00:00"/>
  </r>
  <r>
    <s v="TXN_4007522"/>
    <x v="1"/>
    <n v="2"/>
    <n v="3"/>
    <n v="6"/>
    <x v="1"/>
    <x v="0"/>
    <d v="2023-12-20T00:00:00"/>
  </r>
  <r>
    <s v="TXN_3175177"/>
    <x v="7"/>
    <n v="3"/>
    <n v="3"/>
    <n v="9"/>
    <x v="0"/>
    <x v="2"/>
    <d v="2023-10-24T00:00:00"/>
  </r>
  <r>
    <s v="TXN_9282265"/>
    <x v="3"/>
    <n v="2"/>
    <n v="5"/>
    <n v="10"/>
    <x v="0"/>
    <x v="2"/>
    <d v="2023-03-20T00:00:00"/>
  </r>
  <r>
    <s v="TXN_8265257"/>
    <x v="0"/>
    <n v="1"/>
    <n v="2"/>
    <n v="2"/>
    <x v="2"/>
    <x v="1"/>
    <d v="2023-10-25T00:00:00"/>
  </r>
  <r>
    <s v="TXN_5425668"/>
    <x v="2"/>
    <n v="5"/>
    <n v="1"/>
    <n v="5"/>
    <x v="1"/>
    <x v="0"/>
    <d v="2023-04-09T00:00:00"/>
  </r>
  <r>
    <s v="TXN_7738455"/>
    <x v="8"/>
    <n v="3"/>
    <n v="1.5"/>
    <n v="4.5"/>
    <x v="3"/>
    <x v="2"/>
    <d v="2023-06-05T00:00:00"/>
  </r>
  <r>
    <s v="TXN_7349681"/>
    <x v="3"/>
    <n v="1"/>
    <n v="5"/>
    <n v="5"/>
    <x v="1"/>
    <x v="1"/>
    <d v="2023-08-09T00:00:00"/>
  </r>
  <r>
    <s v="TXN_2660576"/>
    <x v="6"/>
    <n v="1"/>
    <n v="4"/>
    <n v="4"/>
    <x v="2"/>
    <x v="2"/>
    <d v="2023-05-15T00:00:00"/>
  </r>
  <r>
    <s v="TXN_2101934"/>
    <x v="4"/>
    <n v="4"/>
    <n v="4"/>
    <n v="16"/>
    <x v="1"/>
    <x v="1"/>
    <d v="2023-11-27T00:00:00"/>
  </r>
  <r>
    <s v="TXN_1525583"/>
    <x v="6"/>
    <n v="3"/>
    <n v="4"/>
    <n v="12"/>
    <x v="1"/>
    <x v="0"/>
    <d v="2023-05-20T00:00:00"/>
  </r>
  <r>
    <s v="TXN_6110108"/>
    <x v="8"/>
    <n v="5"/>
    <n v="1.5"/>
    <n v="7.5"/>
    <x v="2"/>
    <x v="0"/>
    <d v="2023-02-10T00:00:00"/>
  </r>
  <r>
    <s v="TXN_9205425"/>
    <x v="6"/>
    <n v="3"/>
    <n v="4"/>
    <n v="12"/>
    <x v="3"/>
    <x v="0"/>
    <d v="2023-09-16T00:00:00"/>
  </r>
  <r>
    <s v="TXN_9306482"/>
    <x v="4"/>
    <n v="2"/>
    <n v="4"/>
    <n v="8"/>
    <x v="3"/>
    <x v="0"/>
    <d v="2023-01-16T00:00:00"/>
  </r>
  <r>
    <s v="TXN_8407849"/>
    <x v="2"/>
    <n v="2"/>
    <n v="1"/>
    <n v="2"/>
    <x v="2"/>
    <x v="2"/>
    <d v="2023-05-05T00:00:00"/>
  </r>
  <r>
    <s v="TXN_3162244"/>
    <x v="6"/>
    <n v="5"/>
    <n v="4"/>
    <n v="20"/>
    <x v="3"/>
    <x v="1"/>
    <d v="2023-12-15T00:00:00"/>
  </r>
  <r>
    <s v="TXN_9121687"/>
    <x v="6"/>
    <n v="2"/>
    <n v="4"/>
    <n v="8"/>
    <x v="2"/>
    <x v="1"/>
    <d v="2023-05-13T00:00:00"/>
  </r>
  <r>
    <s v="TXN_3182191"/>
    <x v="1"/>
    <n v="5"/>
    <n v="3"/>
    <n v="15"/>
    <x v="3"/>
    <x v="2"/>
    <d v="2023-07-21T00:00:00"/>
  </r>
  <r>
    <s v="TXN_4734366"/>
    <x v="4"/>
    <n v="1"/>
    <n v="4"/>
    <n v="4"/>
    <x v="0"/>
    <x v="0"/>
    <d v="2023-08-20T00:00:00"/>
  </r>
  <r>
    <s v="TXN_4430006"/>
    <x v="7"/>
    <n v="5"/>
    <n v="3"/>
    <n v="15"/>
    <x v="2"/>
    <x v="2"/>
    <d v="2023-01-14T00:00:00"/>
  </r>
  <r>
    <s v="TXN_7341975"/>
    <x v="7"/>
    <n v="2"/>
    <n v="3"/>
    <n v="6"/>
    <x v="3"/>
    <x v="2"/>
    <d v="2023-07-29T00:00:00"/>
  </r>
  <r>
    <s v="TXN_8787149"/>
    <x v="7"/>
    <n v="1"/>
    <n v="3"/>
    <n v="3"/>
    <x v="2"/>
    <x v="2"/>
    <d v="2023-04-20T00:00:00"/>
  </r>
  <r>
    <s v="TXN_4224284"/>
    <x v="2"/>
    <n v="2"/>
    <n v="1"/>
    <n v="2"/>
    <x v="2"/>
    <x v="0"/>
    <d v="2023-09-04T00:00:00"/>
  </r>
  <r>
    <s v="TXN_2177436"/>
    <x v="1"/>
    <n v="1"/>
    <n v="3"/>
    <n v="3"/>
    <x v="2"/>
    <x v="0"/>
    <d v="2023-03-13T00:00:00"/>
  </r>
  <r>
    <s v="TXN_5097542"/>
    <x v="1"/>
    <n v="5"/>
    <n v="3"/>
    <n v="15"/>
    <x v="1"/>
    <x v="2"/>
    <d v="2023-05-15T00:00:00"/>
  </r>
  <r>
    <s v="TXN_4260738"/>
    <x v="0"/>
    <n v="2"/>
    <n v="2"/>
    <n v="4"/>
    <x v="2"/>
    <x v="1"/>
    <d v="2023-11-15T00:00:00"/>
  </r>
  <r>
    <s v="TXN_5402821"/>
    <x v="3"/>
    <n v="4"/>
    <n v="5"/>
    <n v="20"/>
    <x v="2"/>
    <x v="2"/>
    <d v="2023-11-29T00:00:00"/>
  </r>
  <r>
    <s v="TXN_4130343"/>
    <x v="0"/>
    <n v="4"/>
    <n v="2"/>
    <n v="8"/>
    <x v="0"/>
    <x v="1"/>
    <d v="2023-12-08T00:00:00"/>
  </r>
  <r>
    <s v="TXN_3028667"/>
    <x v="7"/>
    <n v="2"/>
    <n v="3"/>
    <n v="6"/>
    <x v="2"/>
    <x v="0"/>
    <d v="2023-11-24T00:00:00"/>
  </r>
  <r>
    <s v="TXN_8592808"/>
    <x v="5"/>
    <n v="1"/>
    <n v="4"/>
    <n v="4"/>
    <x v="0"/>
    <x v="2"/>
    <d v="2023-04-02T00:00:00"/>
  </r>
  <r>
    <s v="TXN_5875201"/>
    <x v="5"/>
    <n v="1"/>
    <n v="4"/>
    <n v="4"/>
    <x v="2"/>
    <x v="1"/>
    <d v="2023-01-31T00:00:00"/>
  </r>
  <r>
    <s v="TXN_6849062"/>
    <x v="0"/>
    <n v="5"/>
    <n v="2"/>
    <n v="10"/>
    <x v="1"/>
    <x v="2"/>
    <d v="2023-07-30T00:00:00"/>
  </r>
  <r>
    <s v="TXN_4336844"/>
    <x v="4"/>
    <n v="4"/>
    <n v="4"/>
    <n v="16"/>
    <x v="2"/>
    <x v="2"/>
    <d v="2023-07-09T00:00:00"/>
  </r>
  <r>
    <s v="TXN_6090715"/>
    <x v="7"/>
    <n v="3"/>
    <n v="3"/>
    <n v="9"/>
    <x v="0"/>
    <x v="1"/>
    <d v="2023-11-14T00:00:00"/>
  </r>
  <r>
    <s v="TXN_9162014"/>
    <x v="1"/>
    <n v="1"/>
    <n v="3"/>
    <n v="3"/>
    <x v="1"/>
    <x v="2"/>
    <d v="2023-07-21T00:00:00"/>
  </r>
  <r>
    <s v="TXN_4751689"/>
    <x v="4"/>
    <n v="5"/>
    <n v="4"/>
    <n v="20"/>
    <x v="1"/>
    <x v="1"/>
    <d v="2023-07-28T00:00:00"/>
  </r>
  <r>
    <s v="TXN_2200163"/>
    <x v="0"/>
    <n v="4"/>
    <n v="2"/>
    <n v="8"/>
    <x v="1"/>
    <x v="2"/>
    <d v="2023-03-13T00:00:00"/>
  </r>
  <r>
    <s v="TXN_7310903"/>
    <x v="4"/>
    <n v="3"/>
    <n v="4"/>
    <n v="12"/>
    <x v="0"/>
    <x v="2"/>
    <d v="2023-09-10T00:00:00"/>
  </r>
  <r>
    <s v="TXN_7155957"/>
    <x v="3"/>
    <n v="5"/>
    <n v="5"/>
    <n v="25"/>
    <x v="3"/>
    <x v="1"/>
    <d v="2023-02-22T00:00:00"/>
  </r>
  <r>
    <s v="TXN_4350828"/>
    <x v="7"/>
    <n v="2"/>
    <n v="3"/>
    <n v="6"/>
    <x v="3"/>
    <x v="1"/>
    <d v="2023-02-16T00:00:00"/>
  </r>
  <r>
    <s v="TXN_7539585"/>
    <x v="4"/>
    <n v="5"/>
    <n v="4"/>
    <n v="20"/>
    <x v="2"/>
    <x v="2"/>
    <d v="2023-10-20T00:00:00"/>
  </r>
  <r>
    <s v="TXN_6868763"/>
    <x v="5"/>
    <n v="3"/>
    <n v="3"/>
    <n v="9"/>
    <x v="3"/>
    <x v="1"/>
    <d v="2023-01-13T00:00:00"/>
  </r>
  <r>
    <s v="TXN_6156180"/>
    <x v="0"/>
    <n v="5"/>
    <n v="2"/>
    <n v="10"/>
    <x v="1"/>
    <x v="2"/>
    <d v="2023-07-25T00:00:00"/>
  </r>
  <r>
    <s v="TXN_4970127"/>
    <x v="8"/>
    <n v="1"/>
    <n v="1.5"/>
    <n v="1.5"/>
    <x v="3"/>
    <x v="1"/>
    <d v="2023-12-09T00:00:00"/>
  </r>
  <r>
    <s v="TXN_9567719"/>
    <x v="6"/>
    <n v="5"/>
    <n v="4"/>
    <n v="20"/>
    <x v="3"/>
    <x v="1"/>
    <d v="2023-01-24T00:00:00"/>
  </r>
  <r>
    <s v="TXN_2950265"/>
    <x v="3"/>
    <n v="3"/>
    <n v="5"/>
    <n v="15"/>
    <x v="0"/>
    <x v="2"/>
    <d v="2023-08-23T00:00:00"/>
  </r>
  <r>
    <s v="TXN_1556609"/>
    <x v="6"/>
    <n v="1"/>
    <n v="4"/>
    <n v="4"/>
    <x v="3"/>
    <x v="2"/>
    <d v="2023-07-21T00:00:00"/>
  </r>
  <r>
    <s v="TXN_2203547"/>
    <x v="7"/>
    <n v="3"/>
    <n v="3"/>
    <n v="9"/>
    <x v="2"/>
    <x v="1"/>
    <d v="2023-07-01T00:00:00"/>
  </r>
  <r>
    <s v="TXN_1084010"/>
    <x v="4"/>
    <n v="2"/>
    <n v="4"/>
    <n v="8"/>
    <x v="0"/>
    <x v="1"/>
    <d v="2023-08-11T00:00:00"/>
  </r>
  <r>
    <s v="TXN_4218637"/>
    <x v="8"/>
    <n v="5"/>
    <n v="1.5"/>
    <n v="7.5"/>
    <x v="1"/>
    <x v="2"/>
    <d v="2023-08-31T00:00:00"/>
  </r>
  <r>
    <s v="TXN_2245465"/>
    <x v="3"/>
    <n v="2"/>
    <n v="5"/>
    <n v="10"/>
    <x v="3"/>
    <x v="2"/>
    <d v="2023-12-27T00:00:00"/>
  </r>
  <r>
    <s v="TXN_4742049"/>
    <x v="7"/>
    <n v="1"/>
    <n v="3"/>
    <n v="3"/>
    <x v="0"/>
    <x v="0"/>
    <d v="2023-09-10T00:00:00"/>
  </r>
  <r>
    <s v="TXN_9889005"/>
    <x v="1"/>
    <n v="3"/>
    <n v="3"/>
    <n v="9"/>
    <x v="2"/>
    <x v="2"/>
    <d v="2023-12-16T00:00:00"/>
  </r>
  <r>
    <s v="TXN_4840522"/>
    <x v="4"/>
    <n v="3"/>
    <n v="4"/>
    <n v="12"/>
    <x v="2"/>
    <x v="1"/>
    <d v="2023-06-16T00:00:00"/>
  </r>
  <r>
    <s v="TXN_2585392"/>
    <x v="3"/>
    <n v="4"/>
    <n v="5"/>
    <n v="20"/>
    <x v="2"/>
    <x v="2"/>
    <d v="2023-07-12T00:00:00"/>
  </r>
  <r>
    <s v="TXN_3135264"/>
    <x v="5"/>
    <n v="2"/>
    <n v="3"/>
    <n v="6"/>
    <x v="3"/>
    <x v="2"/>
    <d v="2023-08-25T00:00:00"/>
  </r>
  <r>
    <s v="TXN_2180562"/>
    <x v="3"/>
    <n v="2"/>
    <n v="5"/>
    <n v="10"/>
    <x v="2"/>
    <x v="0"/>
    <d v="2023-07-02T00:00:00"/>
  </r>
  <r>
    <s v="TXN_5905580"/>
    <x v="5"/>
    <n v="3"/>
    <n v="1"/>
    <n v="3"/>
    <x v="1"/>
    <x v="0"/>
    <d v="2023-02-20T00:00:00"/>
  </r>
  <r>
    <s v="TXN_5993677"/>
    <x v="1"/>
    <n v="4"/>
    <n v="3"/>
    <n v="12"/>
    <x v="2"/>
    <x v="0"/>
    <d v="2023-01-28T00:00:00"/>
  </r>
  <r>
    <s v="TXN_8984991"/>
    <x v="4"/>
    <n v="3"/>
    <n v="4"/>
    <n v="12"/>
    <x v="0"/>
    <x v="2"/>
    <d v="2023-05-17T00:00:00"/>
  </r>
  <r>
    <s v="TXN_3522597"/>
    <x v="5"/>
    <n v="3"/>
    <n v="1.5"/>
    <n v="4.5"/>
    <x v="3"/>
    <x v="1"/>
    <d v="2023-02-04T00:00:00"/>
  </r>
  <r>
    <s v="TXN_6123633"/>
    <x v="3"/>
    <n v="3"/>
    <n v="5"/>
    <n v="15"/>
    <x v="2"/>
    <x v="2"/>
    <d v="2023-01-16T00:00:00"/>
  </r>
  <r>
    <s v="TXN_6769554"/>
    <x v="0"/>
    <n v="5"/>
    <n v="2"/>
    <n v="10"/>
    <x v="0"/>
    <x v="0"/>
    <d v="2023-02-06T00:00:00"/>
  </r>
  <r>
    <s v="TXN_5761414"/>
    <x v="4"/>
    <n v="1"/>
    <n v="4"/>
    <n v="4"/>
    <x v="3"/>
    <x v="2"/>
    <d v="2023-10-02T00:00:00"/>
  </r>
  <r>
    <s v="TXN_5157516"/>
    <x v="3"/>
    <n v="3"/>
    <n v="5"/>
    <n v="15"/>
    <x v="2"/>
    <x v="1"/>
    <d v="2023-10-09T00:00:00"/>
  </r>
  <r>
    <s v="TXN_2614633"/>
    <x v="0"/>
    <n v="4"/>
    <n v="2"/>
    <n v="8"/>
    <x v="3"/>
    <x v="1"/>
    <d v="2023-04-23T00:00:00"/>
  </r>
  <r>
    <s v="TXN_3781240"/>
    <x v="1"/>
    <n v="5"/>
    <n v="3"/>
    <n v="15"/>
    <x v="2"/>
    <x v="0"/>
    <d v="2023-05-27T00:00:00"/>
  </r>
  <r>
    <s v="TXN_7068823"/>
    <x v="5"/>
    <n v="4"/>
    <n v="4"/>
    <n v="16"/>
    <x v="2"/>
    <x v="0"/>
    <d v="2023-06-28T00:00:00"/>
  </r>
  <r>
    <s v="TXN_2085081"/>
    <x v="1"/>
    <n v="2"/>
    <n v="3"/>
    <n v="6"/>
    <x v="1"/>
    <x v="2"/>
    <d v="2023-03-14T00:00:00"/>
  </r>
  <r>
    <s v="TXN_3399636"/>
    <x v="7"/>
    <n v="3"/>
    <n v="3"/>
    <n v="9"/>
    <x v="3"/>
    <x v="0"/>
    <d v="2023-08-07T00:00:00"/>
  </r>
  <r>
    <s v="TXN_8587529"/>
    <x v="2"/>
    <n v="2"/>
    <n v="1"/>
    <n v="2"/>
    <x v="0"/>
    <x v="0"/>
    <d v="2023-07-09T00:00:00"/>
  </r>
  <r>
    <s v="TXN_1476775"/>
    <x v="3"/>
    <n v="3"/>
    <n v="5"/>
    <n v="15"/>
    <x v="0"/>
    <x v="2"/>
    <d v="2023-11-01T00:00:00"/>
  </r>
  <r>
    <s v="TXN_6945985"/>
    <x v="8"/>
    <n v="3"/>
    <n v="1.5"/>
    <n v="4.5"/>
    <x v="3"/>
    <x v="1"/>
    <d v="2023-02-13T00:00:00"/>
  </r>
  <r>
    <s v="TXN_4117627"/>
    <x v="1"/>
    <n v="3"/>
    <n v="3"/>
    <n v="9"/>
    <x v="0"/>
    <x v="1"/>
    <d v="2023-06-22T00:00:00"/>
  </r>
  <r>
    <s v="TXN_7530300"/>
    <x v="0"/>
    <n v="3"/>
    <n v="2"/>
    <n v="6"/>
    <x v="3"/>
    <x v="2"/>
    <d v="2023-05-08T00:00:00"/>
  </r>
  <r>
    <s v="TXN_7071783"/>
    <x v="2"/>
    <n v="4"/>
    <n v="1"/>
    <n v="4"/>
    <x v="1"/>
    <x v="2"/>
    <d v="2023-07-04T00:00:00"/>
  </r>
  <r>
    <s v="TXN_3676305"/>
    <x v="3"/>
    <n v="5"/>
    <n v="5"/>
    <n v="25"/>
    <x v="0"/>
    <x v="2"/>
    <d v="2023-06-14T00:00:00"/>
  </r>
  <r>
    <s v="TXN_8867827"/>
    <x v="8"/>
    <n v="1"/>
    <n v="1.5"/>
    <n v="1.5"/>
    <x v="3"/>
    <x v="2"/>
    <d v="2023-01-14T00:00:00"/>
  </r>
  <r>
    <s v="TXN_9061106"/>
    <x v="1"/>
    <n v="4"/>
    <n v="3"/>
    <n v="12"/>
    <x v="3"/>
    <x v="0"/>
    <d v="2023-11-04T00:00:00"/>
  </r>
  <r>
    <s v="TXN_1245485"/>
    <x v="1"/>
    <n v="1"/>
    <n v="3"/>
    <n v="3"/>
    <x v="3"/>
    <x v="2"/>
    <d v="2023-05-15T00:00:00"/>
  </r>
  <r>
    <s v="TXN_1357780"/>
    <x v="8"/>
    <n v="4"/>
    <n v="1.5"/>
    <n v="6"/>
    <x v="2"/>
    <x v="1"/>
    <d v="2023-10-23T00:00:00"/>
  </r>
  <r>
    <s v="TXN_4075053"/>
    <x v="5"/>
    <n v="3"/>
    <n v="4"/>
    <n v="12"/>
    <x v="3"/>
    <x v="0"/>
    <d v="2023-02-27T00:00:00"/>
  </r>
  <r>
    <s v="TXN_6113724"/>
    <x v="0"/>
    <n v="1"/>
    <n v="2"/>
    <n v="2"/>
    <x v="3"/>
    <x v="0"/>
    <d v="2023-03-26T00:00:00"/>
  </r>
  <r>
    <s v="TXN_6496176"/>
    <x v="2"/>
    <n v="4"/>
    <n v="1"/>
    <n v="4"/>
    <x v="2"/>
    <x v="1"/>
    <d v="2023-07-26T00:00:00"/>
  </r>
  <r>
    <s v="TXN_2381411"/>
    <x v="0"/>
    <n v="5"/>
    <n v="2"/>
    <n v="10"/>
    <x v="1"/>
    <x v="1"/>
    <d v="2023-07-30T00:00:00"/>
  </r>
  <r>
    <s v="TXN_9210096"/>
    <x v="4"/>
    <n v="3"/>
    <n v="4"/>
    <n v="12"/>
    <x v="2"/>
    <x v="2"/>
    <d v="2023-05-25T00:00:00"/>
  </r>
  <r>
    <s v="TXN_4563544"/>
    <x v="6"/>
    <n v="5"/>
    <n v="4"/>
    <n v="20"/>
    <x v="2"/>
    <x v="2"/>
    <d v="2023-06-10T00:00:00"/>
  </r>
  <r>
    <s v="TXN_2546684"/>
    <x v="7"/>
    <m/>
    <n v="3"/>
    <m/>
    <x v="3"/>
    <x v="0"/>
    <d v="2023-04-08T00:00:00"/>
  </r>
  <r>
    <s v="TXN_4623468"/>
    <x v="0"/>
    <n v="5"/>
    <n v="2"/>
    <n v="10"/>
    <x v="0"/>
    <x v="0"/>
    <m/>
  </r>
  <r>
    <s v="TXN_2168277"/>
    <x v="2"/>
    <n v="1"/>
    <n v="1"/>
    <n v="1"/>
    <x v="2"/>
    <x v="0"/>
    <d v="2023-06-02T00:00:00"/>
  </r>
  <r>
    <s v="TXN_9178545"/>
    <x v="7"/>
    <n v="4"/>
    <n v="3"/>
    <n v="12"/>
    <x v="1"/>
    <x v="1"/>
    <d v="2023-01-24T00:00:00"/>
  </r>
  <r>
    <s v="TXN_8535886"/>
    <x v="8"/>
    <n v="5"/>
    <n v="1.5"/>
    <n v="7.5"/>
    <x v="0"/>
    <x v="1"/>
    <d v="2023-05-13T00:00:00"/>
  </r>
  <r>
    <s v="TXN_1037486"/>
    <x v="3"/>
    <n v="5"/>
    <n v="5"/>
    <n v="25"/>
    <x v="3"/>
    <x v="1"/>
    <m/>
  </r>
  <r>
    <s v="TXN_7978452"/>
    <x v="1"/>
    <n v="5"/>
    <n v="3"/>
    <n v="15"/>
    <x v="3"/>
    <x v="2"/>
    <d v="2023-10-03T00:00:00"/>
  </r>
  <r>
    <s v="TXN_8488163"/>
    <x v="6"/>
    <n v="4"/>
    <n v="4"/>
    <n v="16"/>
    <x v="2"/>
    <x v="2"/>
    <d v="2023-01-19T00:00:00"/>
  </r>
  <r>
    <s v="TXN_6926855"/>
    <x v="6"/>
    <n v="3"/>
    <n v="4"/>
    <n v="12"/>
    <x v="1"/>
    <x v="0"/>
    <d v="2023-01-12T00:00:00"/>
  </r>
  <r>
    <s v="TXN_9869593"/>
    <x v="1"/>
    <n v="2"/>
    <n v="3"/>
    <n v="6"/>
    <x v="3"/>
    <x v="0"/>
    <d v="2023-10-03T00:00:00"/>
  </r>
  <r>
    <s v="TXN_3055407"/>
    <x v="8"/>
    <n v="2"/>
    <n v="1.5"/>
    <n v="3"/>
    <x v="2"/>
    <x v="2"/>
    <d v="2023-06-03T00:00:00"/>
  </r>
  <r>
    <s v="TXN_4981027"/>
    <x v="0"/>
    <n v="3"/>
    <n v="2"/>
    <n v="6"/>
    <x v="2"/>
    <x v="2"/>
    <d v="2023-08-02T00:00:00"/>
  </r>
  <r>
    <s v="TXN_5332773"/>
    <x v="0"/>
    <n v="2"/>
    <n v="2"/>
    <n v="4"/>
    <x v="3"/>
    <x v="0"/>
    <d v="2023-05-04T00:00:00"/>
  </r>
  <r>
    <s v="TXN_5946554"/>
    <x v="1"/>
    <n v="2"/>
    <n v="3"/>
    <n v="6"/>
    <x v="2"/>
    <x v="2"/>
    <d v="2023-03-01T00:00:00"/>
  </r>
  <r>
    <s v="TXN_7508715"/>
    <x v="4"/>
    <n v="2"/>
    <n v="4"/>
    <n v="8"/>
    <x v="1"/>
    <x v="1"/>
    <d v="2023-12-11T00:00:00"/>
  </r>
  <r>
    <s v="TXN_9728789"/>
    <x v="2"/>
    <n v="3"/>
    <n v="1"/>
    <n v="3"/>
    <x v="1"/>
    <x v="1"/>
    <d v="2023-03-29T00:00:00"/>
  </r>
  <r>
    <s v="TXN_8061866"/>
    <x v="3"/>
    <n v="4"/>
    <n v="5"/>
    <n v="20"/>
    <x v="1"/>
    <x v="0"/>
    <d v="2023-12-13T00:00:00"/>
  </r>
  <r>
    <s v="TXN_8961034"/>
    <x v="7"/>
    <n v="2"/>
    <n v="3"/>
    <n v="6"/>
    <x v="2"/>
    <x v="2"/>
    <d v="2023-01-21T00:00:00"/>
  </r>
  <r>
    <s v="TXN_1099119"/>
    <x v="4"/>
    <n v="4"/>
    <n v="4"/>
    <n v="16"/>
    <x v="1"/>
    <x v="2"/>
    <d v="2023-02-09T00:00:00"/>
  </r>
  <r>
    <s v="TXN_2421387"/>
    <x v="2"/>
    <n v="4"/>
    <n v="1"/>
    <n v="4"/>
    <x v="2"/>
    <x v="2"/>
    <d v="2023-04-09T00:00:00"/>
  </r>
  <r>
    <s v="TXN_8627017"/>
    <x v="8"/>
    <n v="4"/>
    <n v="1.5"/>
    <n v="6"/>
    <x v="1"/>
    <x v="1"/>
    <d v="2023-01-28T00:00:00"/>
  </r>
  <r>
    <s v="TXN_7468084"/>
    <x v="0"/>
    <n v="5"/>
    <n v="2"/>
    <n v="10"/>
    <x v="0"/>
    <x v="2"/>
    <d v="2023-06-14T00:00:00"/>
  </r>
  <r>
    <s v="TXN_1185069"/>
    <x v="3"/>
    <n v="1"/>
    <n v="5"/>
    <n v="5"/>
    <x v="3"/>
    <x v="2"/>
    <d v="2023-02-21T00:00:00"/>
  </r>
  <r>
    <s v="TXN_5100941"/>
    <x v="2"/>
    <n v="5"/>
    <n v="1"/>
    <n v="5"/>
    <x v="3"/>
    <x v="2"/>
    <d v="2023-07-11T00:00:00"/>
  </r>
  <r>
    <s v="TXN_6428745"/>
    <x v="1"/>
    <n v="1"/>
    <n v="3"/>
    <n v="3"/>
    <x v="2"/>
    <x v="0"/>
    <d v="2023-06-02T00:00:00"/>
  </r>
  <r>
    <s v="TXN_4096757"/>
    <x v="3"/>
    <n v="5"/>
    <n v="5"/>
    <n v="25"/>
    <x v="0"/>
    <x v="1"/>
    <d v="2023-07-20T00:00:00"/>
  </r>
  <r>
    <s v="TXN_6057914"/>
    <x v="4"/>
    <n v="2"/>
    <n v="4"/>
    <n v="8"/>
    <x v="3"/>
    <x v="2"/>
    <d v="2023-03-18T00:00:00"/>
  </r>
  <r>
    <s v="TXN_2517078"/>
    <x v="6"/>
    <n v="2"/>
    <n v="4"/>
    <n v="8"/>
    <x v="2"/>
    <x v="1"/>
    <d v="2023-03-07T00:00:00"/>
  </r>
  <r>
    <s v="TXN_2890321"/>
    <x v="8"/>
    <n v="3"/>
    <n v="1.5"/>
    <n v="4.5"/>
    <x v="1"/>
    <x v="1"/>
    <d v="2023-06-13T00:00:00"/>
  </r>
  <r>
    <s v="TXN_4808812"/>
    <x v="4"/>
    <n v="4"/>
    <n v="4"/>
    <n v="16"/>
    <x v="2"/>
    <x v="2"/>
    <d v="2023-05-31T00:00:00"/>
  </r>
  <r>
    <s v="TXN_1866707"/>
    <x v="4"/>
    <n v="3"/>
    <n v="4"/>
    <n v="12"/>
    <x v="1"/>
    <x v="2"/>
    <d v="2023-06-05T00:00:00"/>
  </r>
  <r>
    <s v="TXN_9745609"/>
    <x v="3"/>
    <n v="3"/>
    <n v="5"/>
    <n v="15"/>
    <x v="2"/>
    <x v="2"/>
    <d v="2023-02-05T00:00:00"/>
  </r>
  <r>
    <s v="TXN_8488298"/>
    <x v="1"/>
    <n v="3"/>
    <n v="3"/>
    <n v="9"/>
    <x v="1"/>
    <x v="2"/>
    <d v="2023-11-03T00:00:00"/>
  </r>
  <r>
    <s v="TXN_2515796"/>
    <x v="8"/>
    <n v="3"/>
    <n v="1.5"/>
    <n v="4.5"/>
    <x v="0"/>
    <x v="0"/>
    <d v="2023-02-06T00:00:00"/>
  </r>
  <r>
    <s v="TXN_2369294"/>
    <x v="6"/>
    <n v="2"/>
    <n v="4"/>
    <n v="8"/>
    <x v="1"/>
    <x v="0"/>
    <d v="2023-09-07T00:00:00"/>
  </r>
  <r>
    <s v="TXN_9444736"/>
    <x v="8"/>
    <n v="5"/>
    <n v="1.5"/>
    <n v="7.5"/>
    <x v="0"/>
    <x v="0"/>
    <d v="2023-04-23T00:00:00"/>
  </r>
  <r>
    <s v="TXN_4764398"/>
    <x v="6"/>
    <n v="2"/>
    <n v="4"/>
    <n v="8"/>
    <x v="0"/>
    <x v="2"/>
    <d v="2023-06-13T00:00:00"/>
  </r>
  <r>
    <s v="TXN_8696392"/>
    <x v="7"/>
    <n v="1"/>
    <n v="3"/>
    <n v="3"/>
    <x v="2"/>
    <x v="2"/>
    <d v="2023-04-16T00:00:00"/>
  </r>
  <r>
    <s v="TXN_1993675"/>
    <x v="2"/>
    <n v="3"/>
    <n v="1"/>
    <n v="3"/>
    <x v="1"/>
    <x v="0"/>
    <d v="2023-01-09T00:00:00"/>
  </r>
  <r>
    <s v="TXN_7754136"/>
    <x v="2"/>
    <n v="1"/>
    <n v="1"/>
    <n v="1"/>
    <x v="0"/>
    <x v="1"/>
    <d v="2023-07-12T00:00:00"/>
  </r>
  <r>
    <s v="TXN_4873173"/>
    <x v="0"/>
    <n v="5"/>
    <n v="2"/>
    <n v="10"/>
    <x v="1"/>
    <x v="0"/>
    <d v="2023-10-08T00:00:00"/>
  </r>
  <r>
    <s v="TXN_7221126"/>
    <x v="8"/>
    <n v="5"/>
    <n v="1.5"/>
    <n v="7.5"/>
    <x v="3"/>
    <x v="1"/>
    <d v="2023-10-11T00:00:00"/>
  </r>
  <r>
    <s v="TXN_4537288"/>
    <x v="2"/>
    <n v="1"/>
    <n v="1"/>
    <n v="1"/>
    <x v="1"/>
    <x v="2"/>
    <d v="2023-02-25T00:00:00"/>
  </r>
  <r>
    <s v="TXN_5492760"/>
    <x v="1"/>
    <n v="2"/>
    <n v="3"/>
    <n v="6"/>
    <x v="2"/>
    <x v="0"/>
    <m/>
  </r>
  <r>
    <s v="TXN_5079166"/>
    <x v="3"/>
    <n v="5"/>
    <n v="5"/>
    <n v="25"/>
    <x v="0"/>
    <x v="0"/>
    <d v="2023-04-15T00:00:00"/>
  </r>
  <r>
    <s v="TXN_4597600"/>
    <x v="2"/>
    <n v="5"/>
    <n v="1"/>
    <n v="5"/>
    <x v="2"/>
    <x v="0"/>
    <d v="2023-11-15T00:00:00"/>
  </r>
  <r>
    <s v="TXN_6568440"/>
    <x v="2"/>
    <n v="1"/>
    <n v="1"/>
    <n v="1"/>
    <x v="2"/>
    <x v="0"/>
    <d v="2023-06-15T00:00:00"/>
  </r>
  <r>
    <s v="TXN_1713639"/>
    <x v="2"/>
    <n v="1"/>
    <n v="1"/>
    <n v="1"/>
    <x v="2"/>
    <x v="2"/>
    <d v="2023-08-04T00:00:00"/>
  </r>
  <r>
    <s v="TXN_4780352"/>
    <x v="3"/>
    <n v="1"/>
    <n v="5"/>
    <n v="5"/>
    <x v="3"/>
    <x v="0"/>
    <d v="2023-01-12T00:00:00"/>
  </r>
  <r>
    <s v="TXN_6419344"/>
    <x v="7"/>
    <n v="1"/>
    <n v="3"/>
    <n v="3"/>
    <x v="1"/>
    <x v="1"/>
    <d v="2023-05-26T00:00:00"/>
  </r>
  <r>
    <s v="TXN_3669068"/>
    <x v="1"/>
    <n v="5"/>
    <n v="3"/>
    <n v="15"/>
    <x v="1"/>
    <x v="0"/>
    <d v="2023-01-17T00:00:00"/>
  </r>
  <r>
    <s v="TXN_2201248"/>
    <x v="8"/>
    <n v="1"/>
    <n v="1.5"/>
    <n v="1.5"/>
    <x v="1"/>
    <x v="0"/>
    <d v="2023-07-20T00:00:00"/>
  </r>
  <r>
    <s v="TXN_4432252"/>
    <x v="4"/>
    <n v="5"/>
    <n v="4"/>
    <n v="20"/>
    <x v="0"/>
    <x v="2"/>
    <d v="2023-02-16T00:00:00"/>
  </r>
  <r>
    <s v="TXN_6595038"/>
    <x v="2"/>
    <n v="2"/>
    <n v="1"/>
    <n v="2"/>
    <x v="2"/>
    <x v="2"/>
    <d v="2023-02-08T00:00:00"/>
  </r>
  <r>
    <s v="TXN_2940895"/>
    <x v="1"/>
    <n v="4"/>
    <n v="3"/>
    <n v="12"/>
    <x v="2"/>
    <x v="2"/>
    <d v="2023-02-20T00:00:00"/>
  </r>
  <r>
    <s v="TXN_9796122"/>
    <x v="3"/>
    <n v="3"/>
    <n v="5"/>
    <n v="15"/>
    <x v="2"/>
    <x v="2"/>
    <m/>
  </r>
  <r>
    <s v="TXN_4069354"/>
    <x v="3"/>
    <n v="1"/>
    <n v="5"/>
    <n v="5"/>
    <x v="2"/>
    <x v="2"/>
    <d v="2023-08-18T00:00:00"/>
  </r>
  <r>
    <s v="TXN_9737509"/>
    <x v="8"/>
    <n v="5"/>
    <n v="1.5"/>
    <n v="7.5"/>
    <x v="3"/>
    <x v="1"/>
    <d v="2023-11-27T00:00:00"/>
  </r>
  <r>
    <s v="TXN_8749404"/>
    <x v="0"/>
    <n v="4"/>
    <n v="2"/>
    <n v="8"/>
    <x v="3"/>
    <x v="1"/>
    <d v="2023-12-16T00:00:00"/>
  </r>
  <r>
    <s v="TXN_2069068"/>
    <x v="1"/>
    <n v="5"/>
    <n v="3"/>
    <n v="15"/>
    <x v="2"/>
    <x v="1"/>
    <d v="2023-06-15T00:00:00"/>
  </r>
  <r>
    <s v="TXN_7010812"/>
    <x v="5"/>
    <n v="2"/>
    <n v="5"/>
    <n v="10"/>
    <x v="3"/>
    <x v="1"/>
    <d v="2023-11-13T00:00:00"/>
  </r>
  <r>
    <s v="TXN_6411385"/>
    <x v="3"/>
    <n v="4"/>
    <n v="5"/>
    <n v="20"/>
    <x v="1"/>
    <x v="0"/>
    <d v="2023-06-06T00:00:00"/>
  </r>
  <r>
    <s v="TXN_4375698"/>
    <x v="6"/>
    <n v="5"/>
    <n v="4"/>
    <n v="20"/>
    <x v="0"/>
    <x v="1"/>
    <d v="2023-12-30T00:00:00"/>
  </r>
  <r>
    <s v="TXN_4768744"/>
    <x v="8"/>
    <n v="5"/>
    <n v="1.5"/>
    <n v="7.5"/>
    <x v="1"/>
    <x v="1"/>
    <d v="2023-05-14T00:00:00"/>
  </r>
  <r>
    <s v="TXN_5260646"/>
    <x v="8"/>
    <n v="4"/>
    <n v="1.5"/>
    <n v="6"/>
    <x v="1"/>
    <x v="0"/>
    <d v="2023-11-18T00:00:00"/>
  </r>
  <r>
    <s v="TXN_2393219"/>
    <x v="7"/>
    <n v="4"/>
    <n v="3"/>
    <n v="12"/>
    <x v="3"/>
    <x v="1"/>
    <d v="2023-12-27T00:00:00"/>
  </r>
  <r>
    <s v="TXN_4544172"/>
    <x v="7"/>
    <n v="1"/>
    <n v="3"/>
    <n v="3"/>
    <x v="3"/>
    <x v="0"/>
    <d v="2023-05-20T00:00:00"/>
  </r>
  <r>
    <s v="TXN_1180623"/>
    <x v="6"/>
    <n v="5"/>
    <n v="4"/>
    <n v="20"/>
    <x v="2"/>
    <x v="1"/>
    <d v="2023-09-23T00:00:00"/>
  </r>
  <r>
    <s v="TXN_8275137"/>
    <x v="3"/>
    <n v="4"/>
    <n v="5"/>
    <n v="20"/>
    <x v="1"/>
    <x v="2"/>
    <d v="2023-11-16T00:00:00"/>
  </r>
  <r>
    <s v="TXN_3758861"/>
    <x v="4"/>
    <n v="3"/>
    <n v="4"/>
    <n v="12"/>
    <x v="0"/>
    <x v="2"/>
    <d v="2023-07-03T00:00:00"/>
  </r>
  <r>
    <s v="TXN_6279736"/>
    <x v="3"/>
    <n v="1"/>
    <n v="5"/>
    <n v="5"/>
    <x v="2"/>
    <x v="2"/>
    <d v="2023-08-25T00:00:00"/>
  </r>
  <r>
    <s v="TXN_8661276"/>
    <x v="2"/>
    <n v="1"/>
    <n v="1"/>
    <n v="1"/>
    <x v="3"/>
    <x v="1"/>
    <d v="2023-01-07T00:00:00"/>
  </r>
  <r>
    <s v="TXN_5974796"/>
    <x v="6"/>
    <n v="4"/>
    <n v="4"/>
    <n v="16"/>
    <x v="1"/>
    <x v="1"/>
    <d v="2023-11-09T00:00:00"/>
  </r>
  <r>
    <s v="TXN_9880967"/>
    <x v="2"/>
    <n v="3"/>
    <n v="1"/>
    <n v="3"/>
    <x v="0"/>
    <x v="1"/>
    <d v="2023-01-15T00:00:00"/>
  </r>
  <r>
    <s v="TXN_5452978"/>
    <x v="3"/>
    <n v="2"/>
    <n v="5"/>
    <n v="10"/>
    <x v="1"/>
    <x v="1"/>
    <d v="2023-04-10T00:00:00"/>
  </r>
  <r>
    <s v="TXN_7231153"/>
    <x v="5"/>
    <n v="1"/>
    <n v="5"/>
    <n v="5"/>
    <x v="1"/>
    <x v="1"/>
    <d v="2023-06-15T00:00:00"/>
  </r>
  <r>
    <s v="TXN_6455517"/>
    <x v="1"/>
    <n v="2"/>
    <n v="3"/>
    <n v="6"/>
    <x v="1"/>
    <x v="2"/>
    <d v="2023-08-04T00:00:00"/>
  </r>
  <r>
    <s v="TXN_4038488"/>
    <x v="5"/>
    <n v="3"/>
    <n v="3"/>
    <n v="9"/>
    <x v="0"/>
    <x v="2"/>
    <d v="2023-12-05T00:00:00"/>
  </r>
  <r>
    <s v="TXN_3933290"/>
    <x v="0"/>
    <n v="1"/>
    <n v="2"/>
    <n v="2"/>
    <x v="2"/>
    <x v="2"/>
    <d v="2023-08-05T00:00:00"/>
  </r>
  <r>
    <s v="TXN_9655661"/>
    <x v="7"/>
    <n v="1"/>
    <n v="3"/>
    <n v="3"/>
    <x v="3"/>
    <x v="2"/>
    <d v="2023-06-07T00:00:00"/>
  </r>
  <r>
    <s v="TXN_7932830"/>
    <x v="5"/>
    <n v="2"/>
    <n v="3"/>
    <n v="6"/>
    <x v="2"/>
    <x v="0"/>
    <d v="2023-01-08T00:00:00"/>
  </r>
  <r>
    <s v="TXN_1931190"/>
    <x v="2"/>
    <n v="3"/>
    <n v="1"/>
    <n v="3"/>
    <x v="2"/>
    <x v="0"/>
    <d v="2023-12-31T00:00:00"/>
  </r>
  <r>
    <s v="TXN_8633758"/>
    <x v="5"/>
    <n v="1"/>
    <n v="5"/>
    <n v="5"/>
    <x v="0"/>
    <x v="0"/>
    <d v="2023-09-24T00:00:00"/>
  </r>
  <r>
    <s v="TXN_4887189"/>
    <x v="4"/>
    <n v="3"/>
    <n v="4"/>
    <n v="12"/>
    <x v="1"/>
    <x v="0"/>
    <d v="2023-07-19T00:00:00"/>
  </r>
  <r>
    <s v="TXN_7687146"/>
    <x v="0"/>
    <n v="1"/>
    <n v="2"/>
    <n v="2"/>
    <x v="3"/>
    <x v="0"/>
    <d v="2023-12-02T00:00:00"/>
  </r>
  <r>
    <s v="TXN_9728414"/>
    <x v="8"/>
    <n v="1"/>
    <n v="1.5"/>
    <n v="1.5"/>
    <x v="0"/>
    <x v="0"/>
    <d v="2023-01-11T00:00:00"/>
  </r>
  <r>
    <s v="TXN_3081950"/>
    <x v="2"/>
    <n v="1"/>
    <n v="1"/>
    <n v="1"/>
    <x v="3"/>
    <x v="2"/>
    <d v="2023-05-01T00:00:00"/>
  </r>
  <r>
    <s v="TXN_7589318"/>
    <x v="1"/>
    <n v="4"/>
    <n v="3"/>
    <n v="12"/>
    <x v="1"/>
    <x v="1"/>
    <d v="2023-09-21T00:00:00"/>
  </r>
  <r>
    <s v="TXN_9452972"/>
    <x v="6"/>
    <n v="3"/>
    <n v="4"/>
    <n v="12"/>
    <x v="3"/>
    <x v="2"/>
    <d v="2023-02-10T00:00:00"/>
  </r>
  <r>
    <s v="TXN_9299563"/>
    <x v="7"/>
    <n v="5"/>
    <n v="3"/>
    <n v="15"/>
    <x v="0"/>
    <x v="2"/>
    <d v="2023-03-27T00:00:00"/>
  </r>
  <r>
    <s v="TXN_2273499"/>
    <x v="5"/>
    <n v="3"/>
    <n v="2"/>
    <n v="6"/>
    <x v="1"/>
    <x v="0"/>
    <d v="2023-01-27T00:00:00"/>
  </r>
  <r>
    <s v="TXN_3374343"/>
    <x v="1"/>
    <n v="2"/>
    <n v="3"/>
    <n v="6"/>
    <x v="2"/>
    <x v="2"/>
    <d v="2023-09-02T00:00:00"/>
  </r>
  <r>
    <s v="TXN_8732269"/>
    <x v="1"/>
    <n v="2"/>
    <n v="3"/>
    <n v="6"/>
    <x v="0"/>
    <x v="0"/>
    <d v="2023-01-11T00:00:00"/>
  </r>
  <r>
    <s v="TXN_6763296"/>
    <x v="0"/>
    <n v="5"/>
    <n v="2"/>
    <n v="10"/>
    <x v="1"/>
    <x v="2"/>
    <d v="2023-10-04T00:00:00"/>
  </r>
  <r>
    <s v="TXN_3758250"/>
    <x v="3"/>
    <n v="3"/>
    <n v="5"/>
    <n v="15"/>
    <x v="1"/>
    <x v="1"/>
    <d v="2023-09-08T00:00:00"/>
  </r>
  <r>
    <s v="TXN_7764304"/>
    <x v="1"/>
    <n v="1"/>
    <n v="3"/>
    <n v="3"/>
    <x v="0"/>
    <x v="0"/>
    <d v="2023-01-09T00:00:00"/>
  </r>
  <r>
    <s v="TXN_8697749"/>
    <x v="2"/>
    <n v="3"/>
    <n v="1"/>
    <n v="3"/>
    <x v="2"/>
    <x v="0"/>
    <d v="2023-07-24T00:00:00"/>
  </r>
  <r>
    <s v="TXN_6904247"/>
    <x v="5"/>
    <n v="3"/>
    <n v="4"/>
    <n v="12"/>
    <x v="0"/>
    <x v="2"/>
    <d v="2023-09-19T00:00:00"/>
  </r>
  <r>
    <s v="TXN_6027798"/>
    <x v="2"/>
    <n v="2"/>
    <n v="1"/>
    <n v="2"/>
    <x v="3"/>
    <x v="2"/>
    <d v="2023-05-26T00:00:00"/>
  </r>
  <r>
    <s v="TXN_4482692"/>
    <x v="3"/>
    <n v="2"/>
    <n v="5"/>
    <n v="10"/>
    <x v="2"/>
    <x v="2"/>
    <d v="2023-04-14T00:00:00"/>
  </r>
  <r>
    <s v="TXN_8196921"/>
    <x v="0"/>
    <n v="4"/>
    <n v="2"/>
    <n v="8"/>
    <x v="0"/>
    <x v="0"/>
    <d v="2023-05-19T00:00:00"/>
  </r>
  <r>
    <s v="TXN_9289408"/>
    <x v="0"/>
    <n v="4"/>
    <n v="2"/>
    <n v="8"/>
    <x v="3"/>
    <x v="2"/>
    <d v="2023-09-23T00:00:00"/>
  </r>
  <r>
    <s v="TXN_3771902"/>
    <x v="7"/>
    <n v="5"/>
    <n v="3"/>
    <n v="15"/>
    <x v="1"/>
    <x v="0"/>
    <d v="2023-03-31T00:00:00"/>
  </r>
  <r>
    <s v="TXN_8506937"/>
    <x v="3"/>
    <n v="1"/>
    <n v="5"/>
    <n v="5"/>
    <x v="2"/>
    <x v="1"/>
    <d v="2023-09-07T00:00:00"/>
  </r>
  <r>
    <s v="TXN_6706566"/>
    <x v="5"/>
    <n v="3"/>
    <n v="1"/>
    <n v="3"/>
    <x v="1"/>
    <x v="2"/>
    <d v="2023-09-01T00:00:00"/>
  </r>
  <r>
    <s v="TXN_6217375"/>
    <x v="4"/>
    <n v="5"/>
    <n v="4"/>
    <n v="20"/>
    <x v="1"/>
    <x v="2"/>
    <d v="2023-12-07T00:00:00"/>
  </r>
  <r>
    <s v="TXN_3779320"/>
    <x v="8"/>
    <n v="4"/>
    <n v="1.5"/>
    <n v="6"/>
    <x v="0"/>
    <x v="1"/>
    <d v="2023-03-27T00:00:00"/>
  </r>
  <r>
    <s v="TXN_2894525"/>
    <x v="7"/>
    <n v="3"/>
    <n v="3"/>
    <n v="9"/>
    <x v="2"/>
    <x v="0"/>
    <d v="2023-04-16T00:00:00"/>
  </r>
  <r>
    <s v="TXN_9789876"/>
    <x v="3"/>
    <n v="4"/>
    <n v="5"/>
    <n v="20"/>
    <x v="1"/>
    <x v="0"/>
    <d v="2023-09-05T00:00:00"/>
  </r>
  <r>
    <s v="TXN_9129403"/>
    <x v="6"/>
    <n v="3"/>
    <n v="4"/>
    <n v="12"/>
    <x v="0"/>
    <x v="2"/>
    <d v="2023-12-05T00:00:00"/>
  </r>
  <r>
    <s v="TXN_2944325"/>
    <x v="6"/>
    <n v="4"/>
    <n v="4"/>
    <n v="16"/>
    <x v="1"/>
    <x v="2"/>
    <d v="2023-12-18T00:00:00"/>
  </r>
  <r>
    <s v="TXN_5591155"/>
    <x v="4"/>
    <n v="4"/>
    <n v="4"/>
    <n v="16"/>
    <x v="2"/>
    <x v="0"/>
    <d v="2023-05-14T00:00:00"/>
  </r>
  <r>
    <s v="TXN_6532832"/>
    <x v="2"/>
    <n v="5"/>
    <n v="1"/>
    <n v="5"/>
    <x v="1"/>
    <x v="1"/>
    <d v="2023-06-23T00:00:00"/>
  </r>
  <r>
    <s v="TXN_5992166"/>
    <x v="7"/>
    <n v="5"/>
    <n v="3"/>
    <n v="15"/>
    <x v="1"/>
    <x v="0"/>
    <d v="2023-10-01T00:00:00"/>
  </r>
  <r>
    <s v="TXN_6895165"/>
    <x v="0"/>
    <n v="3"/>
    <n v="2"/>
    <n v="6"/>
    <x v="0"/>
    <x v="0"/>
    <d v="2023-02-18T00:00:00"/>
  </r>
  <r>
    <s v="TXN_3410147"/>
    <x v="7"/>
    <n v="1"/>
    <n v="3"/>
    <n v="3"/>
    <x v="2"/>
    <x v="2"/>
    <d v="2023-09-30T00:00:00"/>
  </r>
  <r>
    <s v="TXN_6269306"/>
    <x v="4"/>
    <n v="5"/>
    <n v="4"/>
    <n v="20"/>
    <x v="0"/>
    <x v="2"/>
    <d v="2023-08-29T00:00:00"/>
  </r>
  <r>
    <s v="TXN_2132747"/>
    <x v="6"/>
    <n v="2"/>
    <n v="4"/>
    <n v="8"/>
    <x v="2"/>
    <x v="1"/>
    <d v="2023-12-19T00:00:00"/>
  </r>
  <r>
    <s v="TXN_6241505"/>
    <x v="4"/>
    <n v="4"/>
    <n v="4"/>
    <n v="16"/>
    <x v="1"/>
    <x v="0"/>
    <d v="2023-11-20T00:00:00"/>
  </r>
  <r>
    <s v="TXN_7965585"/>
    <x v="4"/>
    <n v="5"/>
    <n v="4"/>
    <n v="20"/>
    <x v="2"/>
    <x v="0"/>
    <d v="2023-01-30T00:00:00"/>
  </r>
  <r>
    <s v="TXN_1950063"/>
    <x v="3"/>
    <n v="2"/>
    <n v="5"/>
    <n v="10"/>
    <x v="1"/>
    <x v="2"/>
    <d v="2023-02-24T00:00:00"/>
  </r>
  <r>
    <s v="TXN_4682737"/>
    <x v="0"/>
    <n v="2"/>
    <n v="2"/>
    <n v="4"/>
    <x v="1"/>
    <x v="0"/>
    <d v="2023-02-03T00:00:00"/>
  </r>
  <r>
    <s v="TXN_4376376"/>
    <x v="5"/>
    <n v="3"/>
    <n v="5"/>
    <n v="15"/>
    <x v="3"/>
    <x v="2"/>
    <d v="2023-09-05T00:00:00"/>
  </r>
  <r>
    <s v="TXN_9061471"/>
    <x v="1"/>
    <n v="1"/>
    <n v="3"/>
    <n v="3"/>
    <x v="3"/>
    <x v="0"/>
    <d v="2023-07-13T00:00:00"/>
  </r>
  <r>
    <s v="TXN_8932070"/>
    <x v="5"/>
    <n v="3"/>
    <n v="4"/>
    <n v="12"/>
    <x v="3"/>
    <x v="1"/>
    <d v="2023-12-03T00:00:00"/>
  </r>
  <r>
    <s v="TXN_8410979"/>
    <x v="4"/>
    <n v="3"/>
    <n v="4"/>
    <n v="12"/>
    <x v="3"/>
    <x v="1"/>
    <d v="2023-05-02T00:00:00"/>
  </r>
  <r>
    <s v="TXN_3710523"/>
    <x v="6"/>
    <n v="3"/>
    <n v="4"/>
    <n v="12"/>
    <x v="3"/>
    <x v="2"/>
    <d v="2023-10-03T00:00:00"/>
  </r>
  <r>
    <s v="TXN_8014289"/>
    <x v="7"/>
    <n v="5"/>
    <n v="3"/>
    <n v="15"/>
    <x v="3"/>
    <x v="1"/>
    <d v="2023-12-04T00:00:00"/>
  </r>
  <r>
    <s v="TXN_1888294"/>
    <x v="7"/>
    <n v="3"/>
    <n v="3"/>
    <n v="9"/>
    <x v="1"/>
    <x v="2"/>
    <d v="2023-07-03T00:00:00"/>
  </r>
  <r>
    <s v="TXN_8628615"/>
    <x v="5"/>
    <n v="1"/>
    <n v="2"/>
    <n v="2"/>
    <x v="0"/>
    <x v="0"/>
    <d v="2023-08-03T00:00:00"/>
  </r>
  <r>
    <s v="TXN_2648236"/>
    <x v="4"/>
    <n v="2"/>
    <n v="4"/>
    <n v="8"/>
    <x v="0"/>
    <x v="1"/>
    <d v="2023-09-10T00:00:00"/>
  </r>
  <r>
    <s v="TXN_1837817"/>
    <x v="8"/>
    <n v="2"/>
    <n v="1.5"/>
    <n v="3"/>
    <x v="1"/>
    <x v="2"/>
    <d v="2023-08-13T00:00:00"/>
  </r>
  <r>
    <s v="TXN_8467229"/>
    <x v="5"/>
    <n v="3"/>
    <n v="1.5"/>
    <n v="4.5"/>
    <x v="2"/>
    <x v="0"/>
    <d v="2023-02-02T00:00:00"/>
  </r>
  <r>
    <s v="TXN_4197575"/>
    <x v="3"/>
    <n v="2"/>
    <n v="5"/>
    <n v="10"/>
    <x v="0"/>
    <x v="2"/>
    <d v="2023-01-21T00:00:00"/>
  </r>
  <r>
    <s v="TXN_5863650"/>
    <x v="8"/>
    <n v="1"/>
    <n v="1.5"/>
    <n v="1.5"/>
    <x v="3"/>
    <x v="1"/>
    <d v="2023-08-09T00:00:00"/>
  </r>
  <r>
    <s v="TXN_7371295"/>
    <x v="5"/>
    <n v="3"/>
    <n v="3"/>
    <n v="9"/>
    <x v="2"/>
    <x v="2"/>
    <d v="2023-03-28T00:00:00"/>
  </r>
  <r>
    <s v="TXN_1292476"/>
    <x v="7"/>
    <n v="4"/>
    <n v="3"/>
    <n v="12"/>
    <x v="3"/>
    <x v="0"/>
    <d v="2023-09-07T00:00:00"/>
  </r>
  <r>
    <s v="TXN_4872708"/>
    <x v="0"/>
    <n v="5"/>
    <n v="2"/>
    <n v="10"/>
    <x v="1"/>
    <x v="2"/>
    <d v="2023-11-16T00:00:00"/>
  </r>
  <r>
    <s v="TXN_1299936"/>
    <x v="0"/>
    <n v="1"/>
    <n v="2"/>
    <n v="2"/>
    <x v="2"/>
    <x v="0"/>
    <d v="2023-03-27T00:00:00"/>
  </r>
  <r>
    <s v="TXN_2199236"/>
    <x v="4"/>
    <n v="5"/>
    <n v="4"/>
    <n v="20"/>
    <x v="2"/>
    <x v="0"/>
    <d v="2023-10-06T00:00:00"/>
  </r>
  <r>
    <s v="TXN_1311237"/>
    <x v="2"/>
    <n v="4"/>
    <n v="1"/>
    <n v="4"/>
    <x v="0"/>
    <x v="2"/>
    <d v="2023-11-11T00:00:00"/>
  </r>
  <r>
    <s v="TXN_9265423"/>
    <x v="7"/>
    <n v="1"/>
    <n v="3"/>
    <n v="3"/>
    <x v="2"/>
    <x v="2"/>
    <d v="2023-10-20T00:00:00"/>
  </r>
  <r>
    <s v="TXN_5808749"/>
    <x v="3"/>
    <n v="1"/>
    <n v="5"/>
    <n v="5"/>
    <x v="1"/>
    <x v="0"/>
    <d v="2023-01-25T00:00:00"/>
  </r>
  <r>
    <s v="TXN_7677646"/>
    <x v="6"/>
    <n v="5"/>
    <n v="4"/>
    <n v="20"/>
    <x v="2"/>
    <x v="2"/>
    <d v="2023-02-15T00:00:00"/>
  </r>
  <r>
    <s v="TXN_3894165"/>
    <x v="4"/>
    <n v="5"/>
    <n v="4"/>
    <n v="20"/>
    <x v="0"/>
    <x v="2"/>
    <d v="2023-03-31T00:00:00"/>
  </r>
  <r>
    <s v="TXN_5270067"/>
    <x v="1"/>
    <n v="3"/>
    <n v="3"/>
    <n v="9"/>
    <x v="3"/>
    <x v="2"/>
    <d v="2023-03-09T00:00:00"/>
  </r>
  <r>
    <s v="TXN_9326761"/>
    <x v="8"/>
    <n v="1"/>
    <n v="1.5"/>
    <n v="1.5"/>
    <x v="2"/>
    <x v="2"/>
    <d v="2023-01-02T00:00:00"/>
  </r>
  <r>
    <s v="TXN_2168513"/>
    <x v="1"/>
    <n v="1"/>
    <n v="3"/>
    <n v="3"/>
    <x v="3"/>
    <x v="1"/>
    <d v="2023-02-09T00:00:00"/>
  </r>
  <r>
    <s v="TXN_3947116"/>
    <x v="6"/>
    <n v="1"/>
    <n v="4"/>
    <n v="4"/>
    <x v="2"/>
    <x v="0"/>
    <d v="2023-01-13T00:00:00"/>
  </r>
  <r>
    <s v="TXN_7248722"/>
    <x v="1"/>
    <n v="3"/>
    <n v="3"/>
    <n v="9"/>
    <x v="1"/>
    <x v="0"/>
    <d v="2023-04-06T00:00:00"/>
  </r>
  <r>
    <s v="TXN_9989458"/>
    <x v="4"/>
    <n v="3"/>
    <n v="4"/>
    <n v="12"/>
    <x v="1"/>
    <x v="2"/>
    <d v="2023-02-16T00:00:00"/>
  </r>
  <r>
    <s v="TXN_1850339"/>
    <x v="2"/>
    <n v="5"/>
    <n v="1"/>
    <n v="5"/>
    <x v="1"/>
    <x v="0"/>
    <d v="2023-01-17T00:00:00"/>
  </r>
  <r>
    <s v="TXN_9934619"/>
    <x v="2"/>
    <n v="1"/>
    <n v="1"/>
    <n v="1"/>
    <x v="2"/>
    <x v="1"/>
    <d v="2023-02-11T00:00:00"/>
  </r>
  <r>
    <s v="TXN_4551353"/>
    <x v="8"/>
    <n v="5"/>
    <n v="1.5"/>
    <n v="7.5"/>
    <x v="3"/>
    <x v="1"/>
    <d v="2023-08-17T00:00:00"/>
  </r>
  <r>
    <s v="TXN_6657245"/>
    <x v="6"/>
    <n v="1"/>
    <n v="4"/>
    <n v="4"/>
    <x v="2"/>
    <x v="1"/>
    <d v="2023-10-25T00:00:00"/>
  </r>
  <r>
    <s v="TXN_1786141"/>
    <x v="4"/>
    <n v="4"/>
    <n v="4"/>
    <n v="16"/>
    <x v="2"/>
    <x v="2"/>
    <d v="2023-03-12T00:00:00"/>
  </r>
  <r>
    <s v="TXN_6405088"/>
    <x v="7"/>
    <n v="1"/>
    <n v="3"/>
    <n v="3"/>
    <x v="2"/>
    <x v="1"/>
    <d v="2023-07-24T00:00:00"/>
  </r>
  <r>
    <s v="TXN_1185003"/>
    <x v="5"/>
    <n v="5"/>
    <n v="3"/>
    <n v="15"/>
    <x v="1"/>
    <x v="0"/>
    <d v="2023-01-06T00:00:00"/>
  </r>
  <r>
    <s v="TXN_4550558"/>
    <x v="2"/>
    <m/>
    <n v="1"/>
    <m/>
    <x v="0"/>
    <x v="1"/>
    <d v="2023-08-04T00:00:00"/>
  </r>
  <r>
    <s v="TXN_9555291"/>
    <x v="5"/>
    <n v="3"/>
    <n v="4"/>
    <n v="12"/>
    <x v="0"/>
    <x v="2"/>
    <d v="2023-09-21T00:00:00"/>
  </r>
  <r>
    <s v="TXN_8571432"/>
    <x v="7"/>
    <n v="2"/>
    <n v="3"/>
    <n v="6"/>
    <x v="1"/>
    <x v="2"/>
    <d v="2023-12-07T00:00:00"/>
  </r>
  <r>
    <s v="TXN_6744096"/>
    <x v="0"/>
    <n v="1"/>
    <n v="2"/>
    <n v="2"/>
    <x v="3"/>
    <x v="1"/>
    <d v="2023-11-15T00:00:00"/>
  </r>
  <r>
    <s v="TXN_8512204"/>
    <x v="5"/>
    <n v="4"/>
    <n v="4"/>
    <n v="16"/>
    <x v="1"/>
    <x v="0"/>
    <d v="2023-06-01T00:00:00"/>
  </r>
  <r>
    <s v="TXN_3485502"/>
    <x v="7"/>
    <n v="2"/>
    <n v="3"/>
    <n v="6"/>
    <x v="2"/>
    <x v="2"/>
    <d v="2023-12-25T00:00:00"/>
  </r>
  <r>
    <s v="TXN_5188843"/>
    <x v="4"/>
    <n v="2"/>
    <n v="4"/>
    <n v="8"/>
    <x v="1"/>
    <x v="1"/>
    <d v="2023-02-06T00:00:00"/>
  </r>
  <r>
    <s v="TXN_4821343"/>
    <x v="2"/>
    <n v="1"/>
    <n v="1"/>
    <n v="1"/>
    <x v="0"/>
    <x v="1"/>
    <d v="2023-09-16T00:00:00"/>
  </r>
  <r>
    <s v="TXN_4988100"/>
    <x v="0"/>
    <n v="1"/>
    <n v="2"/>
    <n v="2"/>
    <x v="3"/>
    <x v="1"/>
    <m/>
  </r>
  <r>
    <s v="TXN_7791428"/>
    <x v="4"/>
    <n v="5"/>
    <n v="4"/>
    <n v="20"/>
    <x v="3"/>
    <x v="0"/>
    <d v="2023-10-10T00:00:00"/>
  </r>
  <r>
    <s v="TXN_8725610"/>
    <x v="6"/>
    <n v="2"/>
    <n v="4"/>
    <n v="8"/>
    <x v="2"/>
    <x v="0"/>
    <d v="2023-02-11T00:00:00"/>
  </r>
  <r>
    <s v="TXN_8404563"/>
    <x v="8"/>
    <n v="1"/>
    <n v="1.5"/>
    <n v="1.5"/>
    <x v="1"/>
    <x v="1"/>
    <d v="2023-01-22T00:00:00"/>
  </r>
  <r>
    <s v="TXN_8942133"/>
    <x v="3"/>
    <n v="3"/>
    <n v="5"/>
    <n v="15"/>
    <x v="1"/>
    <x v="0"/>
    <d v="2023-10-04T00:00:00"/>
  </r>
  <r>
    <s v="TXN_1122699"/>
    <x v="5"/>
    <n v="5"/>
    <n v="5"/>
    <n v="25"/>
    <x v="3"/>
    <x v="1"/>
    <d v="2023-10-14T00:00:00"/>
  </r>
  <r>
    <s v="TXN_9230208"/>
    <x v="7"/>
    <n v="3"/>
    <n v="3"/>
    <n v="9"/>
    <x v="0"/>
    <x v="2"/>
    <d v="2023-05-13T00:00:00"/>
  </r>
  <r>
    <s v="TXN_4932916"/>
    <x v="5"/>
    <n v="1"/>
    <n v="2"/>
    <n v="2"/>
    <x v="2"/>
    <x v="0"/>
    <d v="2023-12-13T00:00:00"/>
  </r>
  <r>
    <s v="TXN_8980468"/>
    <x v="4"/>
    <n v="5"/>
    <n v="4"/>
    <n v="20"/>
    <x v="1"/>
    <x v="2"/>
    <d v="2023-08-24T00:00:00"/>
  </r>
  <r>
    <s v="TXN_4175635"/>
    <x v="3"/>
    <n v="3"/>
    <n v="5"/>
    <n v="15"/>
    <x v="2"/>
    <x v="0"/>
    <d v="2023-05-26T00:00:00"/>
  </r>
  <r>
    <s v="TXN_2851446"/>
    <x v="3"/>
    <n v="2"/>
    <n v="5"/>
    <n v="10"/>
    <x v="0"/>
    <x v="0"/>
    <d v="2023-10-08T00:00:00"/>
  </r>
  <r>
    <s v="TXN_8359693"/>
    <x v="6"/>
    <n v="2"/>
    <n v="4"/>
    <n v="8"/>
    <x v="3"/>
    <x v="1"/>
    <d v="2023-10-23T00:00:00"/>
  </r>
  <r>
    <s v="TXN_9432268"/>
    <x v="3"/>
    <n v="4"/>
    <n v="5"/>
    <n v="20"/>
    <x v="2"/>
    <x v="0"/>
    <d v="2023-01-25T00:00:00"/>
  </r>
  <r>
    <s v="TXN_2244902"/>
    <x v="0"/>
    <n v="5"/>
    <n v="2"/>
    <n v="10"/>
    <x v="0"/>
    <x v="2"/>
    <d v="2023-02-13T00:00:00"/>
  </r>
  <r>
    <s v="TXN_5561958"/>
    <x v="4"/>
    <n v="4"/>
    <n v="4"/>
    <n v="16"/>
    <x v="3"/>
    <x v="2"/>
    <d v="2023-07-24T00:00:00"/>
  </r>
  <r>
    <s v="TXN_6963106"/>
    <x v="6"/>
    <n v="1"/>
    <n v="4"/>
    <n v="4"/>
    <x v="1"/>
    <x v="1"/>
    <d v="2023-06-01T00:00:00"/>
  </r>
  <r>
    <s v="TXN_6008133"/>
    <x v="0"/>
    <n v="3"/>
    <n v="2"/>
    <n v="6"/>
    <x v="3"/>
    <x v="2"/>
    <d v="2023-11-08T00:00:00"/>
  </r>
  <r>
    <s v="TXN_9119194"/>
    <x v="1"/>
    <n v="3"/>
    <n v="3"/>
    <n v="9"/>
    <x v="1"/>
    <x v="0"/>
    <d v="2023-01-29T00:00:00"/>
  </r>
  <r>
    <s v="TXN_2551074"/>
    <x v="2"/>
    <n v="1"/>
    <n v="1"/>
    <n v="1"/>
    <x v="1"/>
    <x v="2"/>
    <d v="2023-09-17T00:00:00"/>
  </r>
  <r>
    <s v="TXN_1899827"/>
    <x v="0"/>
    <n v="5"/>
    <n v="2"/>
    <n v="10"/>
    <x v="0"/>
    <x v="0"/>
    <d v="2023-06-24T00:00:00"/>
  </r>
  <r>
    <s v="TXN_3046572"/>
    <x v="3"/>
    <n v="4"/>
    <n v="5"/>
    <n v="20"/>
    <x v="1"/>
    <x v="2"/>
    <d v="2023-05-16T00:00:00"/>
  </r>
  <r>
    <s v="TXN_6397921"/>
    <x v="5"/>
    <n v="1"/>
    <n v="4"/>
    <n v="4"/>
    <x v="2"/>
    <x v="1"/>
    <d v="2023-12-01T00:00:00"/>
  </r>
  <r>
    <s v="TXN_8701063"/>
    <x v="6"/>
    <n v="2"/>
    <n v="4"/>
    <n v="8"/>
    <x v="2"/>
    <x v="2"/>
    <d v="2023-08-23T00:00:00"/>
  </r>
  <r>
    <s v="TXN_9157625"/>
    <x v="8"/>
    <n v="5"/>
    <n v="1.5"/>
    <n v="7.5"/>
    <x v="0"/>
    <x v="0"/>
    <d v="2023-02-10T00:00:00"/>
  </r>
  <r>
    <s v="TXN_7865037"/>
    <x v="0"/>
    <n v="1"/>
    <n v="2"/>
    <n v="2"/>
    <x v="3"/>
    <x v="2"/>
    <d v="2023-06-05T00:00:00"/>
  </r>
  <r>
    <s v="TXN_8410376"/>
    <x v="0"/>
    <n v="4"/>
    <n v="2"/>
    <n v="8"/>
    <x v="3"/>
    <x v="2"/>
    <d v="2023-07-02T00:00:00"/>
  </r>
  <r>
    <s v="TXN_4192665"/>
    <x v="0"/>
    <n v="1"/>
    <n v="2"/>
    <n v="2"/>
    <x v="1"/>
    <x v="2"/>
    <d v="2023-07-15T00:00:00"/>
  </r>
  <r>
    <s v="TXN_5433077"/>
    <x v="1"/>
    <n v="4"/>
    <n v="3"/>
    <n v="12"/>
    <x v="1"/>
    <x v="1"/>
    <d v="2023-11-29T00:00:00"/>
  </r>
  <r>
    <s v="TXN_1844925"/>
    <x v="8"/>
    <n v="5"/>
    <n v="1.5"/>
    <n v="7.5"/>
    <x v="1"/>
    <x v="2"/>
    <d v="2023-10-21T00:00:00"/>
  </r>
  <r>
    <s v="TXN_7215311"/>
    <x v="8"/>
    <n v="1"/>
    <n v="1.5"/>
    <n v="1.5"/>
    <x v="2"/>
    <x v="2"/>
    <d v="2023-07-31T00:00:00"/>
  </r>
  <r>
    <s v="TXN_8003664"/>
    <x v="6"/>
    <n v="1"/>
    <n v="4"/>
    <n v="4"/>
    <x v="0"/>
    <x v="2"/>
    <d v="2023-11-26T00:00:00"/>
  </r>
  <r>
    <s v="TXN_3872616"/>
    <x v="1"/>
    <n v="2"/>
    <n v="3"/>
    <n v="6"/>
    <x v="2"/>
    <x v="0"/>
    <d v="2023-10-23T00:00:00"/>
  </r>
  <r>
    <s v="TXN_3659483"/>
    <x v="4"/>
    <n v="3"/>
    <n v="4"/>
    <n v="12"/>
    <x v="1"/>
    <x v="2"/>
    <d v="2023-05-14T00:00:00"/>
  </r>
  <r>
    <s v="TXN_1688499"/>
    <x v="4"/>
    <n v="2"/>
    <n v="4"/>
    <n v="8"/>
    <x v="0"/>
    <x v="2"/>
    <d v="2023-03-23T00:00:00"/>
  </r>
  <r>
    <s v="TXN_5632556"/>
    <x v="7"/>
    <n v="4"/>
    <n v="3"/>
    <n v="12"/>
    <x v="3"/>
    <x v="1"/>
    <d v="2023-05-16T00:00:00"/>
  </r>
  <r>
    <s v="TXN_7954416"/>
    <x v="0"/>
    <n v="1"/>
    <n v="2"/>
    <n v="2"/>
    <x v="3"/>
    <x v="1"/>
    <d v="2023-06-04T00:00:00"/>
  </r>
  <r>
    <s v="TXN_7845656"/>
    <x v="7"/>
    <n v="3"/>
    <n v="3"/>
    <n v="9"/>
    <x v="0"/>
    <x v="0"/>
    <m/>
  </r>
  <r>
    <s v="TXN_7421687"/>
    <x v="0"/>
    <n v="5"/>
    <n v="2"/>
    <n v="10"/>
    <x v="0"/>
    <x v="1"/>
    <d v="2023-11-18T00:00:00"/>
  </r>
  <r>
    <s v="TXN_2444134"/>
    <x v="5"/>
    <n v="2"/>
    <n v="4"/>
    <n v="8"/>
    <x v="0"/>
    <x v="1"/>
    <d v="2023-01-16T00:00:00"/>
  </r>
  <r>
    <s v="TXN_3793672"/>
    <x v="2"/>
    <n v="5"/>
    <n v="1"/>
    <n v="5"/>
    <x v="0"/>
    <x v="2"/>
    <d v="2023-01-14T00:00:00"/>
  </r>
  <r>
    <s v="TXN_1903825"/>
    <x v="3"/>
    <n v="4"/>
    <n v="5"/>
    <n v="20"/>
    <x v="3"/>
    <x v="0"/>
    <d v="2023-04-01T00:00:00"/>
  </r>
  <r>
    <s v="TXN_4267136"/>
    <x v="8"/>
    <n v="1"/>
    <n v="1.5"/>
    <n v="1.5"/>
    <x v="0"/>
    <x v="1"/>
    <d v="2023-08-02T00:00:00"/>
  </r>
  <r>
    <s v="TXN_6281616"/>
    <x v="0"/>
    <n v="4"/>
    <n v="2"/>
    <n v="8"/>
    <x v="2"/>
    <x v="2"/>
    <d v="2023-08-19T00:00:00"/>
  </r>
  <r>
    <s v="TXN_6567287"/>
    <x v="2"/>
    <n v="4"/>
    <n v="1"/>
    <n v="4"/>
    <x v="3"/>
    <x v="0"/>
    <m/>
  </r>
  <r>
    <s v="TXN_3743107"/>
    <x v="0"/>
    <n v="4"/>
    <n v="2"/>
    <n v="8"/>
    <x v="1"/>
    <x v="2"/>
    <d v="2023-01-14T00:00:00"/>
  </r>
  <r>
    <s v="TXN_6739664"/>
    <x v="3"/>
    <n v="3"/>
    <n v="5"/>
    <n v="15"/>
    <x v="1"/>
    <x v="2"/>
    <d v="2023-09-12T00:00:00"/>
  </r>
  <r>
    <s v="TXN_8343149"/>
    <x v="7"/>
    <n v="5"/>
    <n v="3"/>
    <n v="15"/>
    <x v="3"/>
    <x v="1"/>
    <d v="2023-10-28T00:00:00"/>
  </r>
  <r>
    <s v="TXN_2376870"/>
    <x v="5"/>
    <n v="5"/>
    <n v="4"/>
    <n v="20"/>
    <x v="3"/>
    <x v="2"/>
    <m/>
  </r>
  <r>
    <s v="TXN_2025634"/>
    <x v="5"/>
    <n v="1"/>
    <n v="4"/>
    <n v="4"/>
    <x v="2"/>
    <x v="2"/>
    <m/>
  </r>
  <r>
    <s v="TXN_7187140"/>
    <x v="7"/>
    <n v="2"/>
    <n v="3"/>
    <n v="6"/>
    <x v="0"/>
    <x v="1"/>
    <d v="2023-05-25T00:00:00"/>
  </r>
  <r>
    <s v="TXN_6988675"/>
    <x v="0"/>
    <n v="1"/>
    <n v="2"/>
    <n v="2"/>
    <x v="2"/>
    <x v="1"/>
    <d v="2023-02-24T00:00:00"/>
  </r>
  <r>
    <s v="TXN_1108326"/>
    <x v="1"/>
    <n v="2"/>
    <n v="3"/>
    <n v="6"/>
    <x v="2"/>
    <x v="0"/>
    <m/>
  </r>
  <r>
    <s v="TXN_6544160"/>
    <x v="3"/>
    <n v="1"/>
    <n v="5"/>
    <n v="5"/>
    <x v="2"/>
    <x v="2"/>
    <d v="2023-02-05T00:00:00"/>
  </r>
  <r>
    <s v="TXN_3053494"/>
    <x v="5"/>
    <n v="5"/>
    <n v="3"/>
    <n v="15"/>
    <x v="3"/>
    <x v="1"/>
    <d v="2023-06-11T00:00:00"/>
  </r>
  <r>
    <s v="TXN_9653700"/>
    <x v="5"/>
    <n v="1"/>
    <n v="3"/>
    <n v="3"/>
    <x v="0"/>
    <x v="2"/>
    <d v="2023-03-12T00:00:00"/>
  </r>
  <r>
    <s v="TXN_4623303"/>
    <x v="4"/>
    <n v="3"/>
    <n v="4"/>
    <n v="12"/>
    <x v="2"/>
    <x v="1"/>
    <d v="2023-01-29T00:00:00"/>
  </r>
  <r>
    <s v="TXN_7568175"/>
    <x v="3"/>
    <n v="1"/>
    <n v="5"/>
    <n v="5"/>
    <x v="1"/>
    <x v="1"/>
    <d v="2023-11-06T00:00:00"/>
  </r>
  <r>
    <s v="TXN_4968258"/>
    <x v="4"/>
    <n v="2"/>
    <n v="4"/>
    <n v="8"/>
    <x v="2"/>
    <x v="0"/>
    <d v="2023-05-14T00:00:00"/>
  </r>
  <r>
    <s v="TXN_8843061"/>
    <x v="4"/>
    <n v="1"/>
    <n v="4"/>
    <n v="4"/>
    <x v="1"/>
    <x v="0"/>
    <d v="2023-11-10T00:00:00"/>
  </r>
  <r>
    <s v="TXN_5666241"/>
    <x v="2"/>
    <n v="4"/>
    <n v="1"/>
    <n v="4"/>
    <x v="2"/>
    <x v="0"/>
    <d v="2023-07-18T00:00:00"/>
  </r>
  <r>
    <s v="TXN_7079566"/>
    <x v="7"/>
    <n v="4"/>
    <n v="3"/>
    <n v="12"/>
    <x v="3"/>
    <x v="1"/>
    <d v="2023-10-20T00:00:00"/>
  </r>
  <r>
    <s v="TXN_3937788"/>
    <x v="4"/>
    <n v="1"/>
    <n v="4"/>
    <n v="4"/>
    <x v="1"/>
    <x v="1"/>
    <d v="2023-06-27T00:00:00"/>
  </r>
  <r>
    <s v="TXN_3397034"/>
    <x v="1"/>
    <n v="4"/>
    <n v="3"/>
    <n v="12"/>
    <x v="2"/>
    <x v="2"/>
    <d v="2023-04-11T00:00:00"/>
  </r>
  <r>
    <s v="TXN_8343414"/>
    <x v="3"/>
    <n v="2"/>
    <n v="5"/>
    <n v="10"/>
    <x v="0"/>
    <x v="0"/>
    <d v="2023-02-28T00:00:00"/>
  </r>
  <r>
    <s v="TXN_4204491"/>
    <x v="4"/>
    <n v="2"/>
    <n v="4"/>
    <n v="8"/>
    <x v="3"/>
    <x v="2"/>
    <d v="2023-04-25T00:00:00"/>
  </r>
  <r>
    <s v="TXN_4801327"/>
    <x v="1"/>
    <n v="5"/>
    <n v="3"/>
    <n v="15"/>
    <x v="1"/>
    <x v="1"/>
    <d v="2023-02-03T00:00:00"/>
  </r>
  <r>
    <s v="TXN_4276482"/>
    <x v="6"/>
    <n v="4"/>
    <n v="4"/>
    <n v="16"/>
    <x v="2"/>
    <x v="0"/>
    <d v="2023-08-26T00:00:00"/>
  </r>
  <r>
    <s v="TXN_6025054"/>
    <x v="0"/>
    <n v="1"/>
    <n v="2"/>
    <n v="2"/>
    <x v="0"/>
    <x v="0"/>
    <d v="2023-03-10T00:00:00"/>
  </r>
  <r>
    <s v="TXN_1485725"/>
    <x v="3"/>
    <n v="5"/>
    <n v="5"/>
    <n v="25"/>
    <x v="2"/>
    <x v="1"/>
    <d v="2023-12-10T00:00:00"/>
  </r>
  <r>
    <s v="TXN_9929033"/>
    <x v="0"/>
    <n v="2"/>
    <n v="2"/>
    <n v="4"/>
    <x v="1"/>
    <x v="0"/>
    <d v="2023-02-17T00:00:00"/>
  </r>
  <r>
    <s v="TXN_1888706"/>
    <x v="2"/>
    <n v="1"/>
    <n v="1"/>
    <n v="1"/>
    <x v="2"/>
    <x v="0"/>
    <d v="2023-11-26T00:00:00"/>
  </r>
  <r>
    <s v="TXN_7495804"/>
    <x v="7"/>
    <n v="3"/>
    <n v="3"/>
    <n v="9"/>
    <x v="0"/>
    <x v="0"/>
    <d v="2023-11-24T00:00:00"/>
  </r>
  <r>
    <s v="TXN_5133476"/>
    <x v="7"/>
    <n v="4"/>
    <n v="3"/>
    <n v="12"/>
    <x v="2"/>
    <x v="2"/>
    <d v="2023-03-17T00:00:00"/>
  </r>
  <r>
    <s v="TXN_5542500"/>
    <x v="6"/>
    <n v="3"/>
    <n v="4"/>
    <n v="12"/>
    <x v="0"/>
    <x v="2"/>
    <d v="2023-07-19T00:00:00"/>
  </r>
  <r>
    <s v="TXN_5895330"/>
    <x v="3"/>
    <n v="5"/>
    <n v="5"/>
    <n v="25"/>
    <x v="2"/>
    <x v="1"/>
    <d v="2023-05-12T00:00:00"/>
  </r>
  <r>
    <s v="TXN_5351447"/>
    <x v="3"/>
    <n v="4"/>
    <n v="5"/>
    <n v="20"/>
    <x v="2"/>
    <x v="2"/>
    <d v="2023-07-20T00:00:00"/>
  </r>
  <r>
    <s v="TXN_8505782"/>
    <x v="2"/>
    <n v="2"/>
    <n v="1"/>
    <n v="2"/>
    <x v="2"/>
    <x v="1"/>
    <d v="2023-11-24T00:00:00"/>
  </r>
  <r>
    <s v="TXN_8365530"/>
    <x v="5"/>
    <n v="4"/>
    <n v="4"/>
    <n v="16"/>
    <x v="2"/>
    <x v="0"/>
    <d v="2023-03-10T00:00:00"/>
  </r>
  <r>
    <s v="TXN_2357107"/>
    <x v="6"/>
    <n v="1"/>
    <n v="4"/>
    <n v="4"/>
    <x v="2"/>
    <x v="1"/>
    <d v="2023-07-05T00:00:00"/>
  </r>
  <r>
    <s v="TXN_1371708"/>
    <x v="2"/>
    <n v="2"/>
    <n v="1"/>
    <n v="2"/>
    <x v="2"/>
    <x v="0"/>
    <d v="2023-03-14T00:00:00"/>
  </r>
  <r>
    <s v="TXN_6265785"/>
    <x v="5"/>
    <n v="5"/>
    <n v="5"/>
    <n v="25"/>
    <x v="0"/>
    <x v="0"/>
    <d v="2023-08-26T00:00:00"/>
  </r>
  <r>
    <s v="TXN_6806563"/>
    <x v="0"/>
    <n v="1"/>
    <n v="2"/>
    <n v="2"/>
    <x v="2"/>
    <x v="2"/>
    <d v="2023-04-16T00:00:00"/>
  </r>
  <r>
    <s v="TXN_8183734"/>
    <x v="2"/>
    <n v="2"/>
    <n v="1"/>
    <n v="2"/>
    <x v="3"/>
    <x v="1"/>
    <d v="2023-08-25T00:00:00"/>
  </r>
  <r>
    <s v="TXN_6882503"/>
    <x v="8"/>
    <n v="1"/>
    <n v="1.5"/>
    <n v="1.5"/>
    <x v="2"/>
    <x v="1"/>
    <d v="2023-01-02T00:00:00"/>
  </r>
  <r>
    <s v="TXN_2785654"/>
    <x v="8"/>
    <n v="1"/>
    <n v="1.5"/>
    <n v="1.5"/>
    <x v="0"/>
    <x v="0"/>
    <d v="2023-02-21T00:00:00"/>
  </r>
  <r>
    <s v="TXN_1453579"/>
    <x v="6"/>
    <n v="5"/>
    <n v="4"/>
    <n v="20"/>
    <x v="2"/>
    <x v="2"/>
    <d v="2023-01-21T00:00:00"/>
  </r>
  <r>
    <s v="TXN_1121833"/>
    <x v="0"/>
    <n v="4"/>
    <n v="2"/>
    <n v="8"/>
    <x v="0"/>
    <x v="1"/>
    <d v="2023-03-16T00:00:00"/>
  </r>
  <r>
    <s v="TXN_1277989"/>
    <x v="5"/>
    <n v="5"/>
    <n v="1.5"/>
    <n v="7.5"/>
    <x v="2"/>
    <x v="1"/>
    <d v="2023-08-09T00:00:00"/>
  </r>
  <r>
    <s v="TXN_8249996"/>
    <x v="5"/>
    <n v="4"/>
    <n v="1"/>
    <n v="4"/>
    <x v="3"/>
    <x v="2"/>
    <d v="2023-09-19T00:00:00"/>
  </r>
  <r>
    <s v="TXN_7471281"/>
    <x v="6"/>
    <n v="5"/>
    <n v="4"/>
    <n v="20"/>
    <x v="2"/>
    <x v="2"/>
    <d v="2023-06-16T00:00:00"/>
  </r>
  <r>
    <s v="TXN_1512159"/>
    <x v="1"/>
    <n v="2"/>
    <n v="3"/>
    <n v="6"/>
    <x v="0"/>
    <x v="1"/>
    <d v="2023-11-25T00:00:00"/>
  </r>
  <r>
    <s v="TXN_4008899"/>
    <x v="3"/>
    <n v="4"/>
    <n v="5"/>
    <n v="20"/>
    <x v="2"/>
    <x v="2"/>
    <d v="2023-05-07T00:00:00"/>
  </r>
  <r>
    <s v="TXN_4566950"/>
    <x v="0"/>
    <n v="2"/>
    <n v="2"/>
    <n v="4"/>
    <x v="1"/>
    <x v="0"/>
    <d v="2023-09-29T00:00:00"/>
  </r>
  <r>
    <s v="TXN_6648081"/>
    <x v="3"/>
    <n v="4"/>
    <n v="5"/>
    <n v="20"/>
    <x v="2"/>
    <x v="0"/>
    <d v="2023-04-24T00:00:00"/>
  </r>
  <r>
    <s v="TXN_5094936"/>
    <x v="0"/>
    <n v="4"/>
    <n v="2"/>
    <n v="8"/>
    <x v="2"/>
    <x v="1"/>
    <d v="2023-07-12T00:00:00"/>
  </r>
  <r>
    <s v="TXN_8154928"/>
    <x v="8"/>
    <n v="3"/>
    <n v="1.5"/>
    <n v="4.5"/>
    <x v="0"/>
    <x v="2"/>
    <d v="2023-07-26T00:00:00"/>
  </r>
  <r>
    <s v="TXN_6550707"/>
    <x v="0"/>
    <n v="1"/>
    <n v="2"/>
    <n v="2"/>
    <x v="3"/>
    <x v="2"/>
    <d v="2023-03-01T00:00:00"/>
  </r>
  <r>
    <s v="TXN_3676019"/>
    <x v="7"/>
    <n v="4"/>
    <n v="3"/>
    <n v="12"/>
    <x v="3"/>
    <x v="2"/>
    <d v="2023-11-07T00:00:00"/>
  </r>
  <r>
    <s v="TXN_2486026"/>
    <x v="8"/>
    <n v="5"/>
    <n v="1.5"/>
    <n v="7.5"/>
    <x v="3"/>
    <x v="1"/>
    <d v="2023-03-26T00:00:00"/>
  </r>
  <r>
    <s v="TXN_9644830"/>
    <x v="2"/>
    <n v="1"/>
    <n v="1"/>
    <n v="1"/>
    <x v="2"/>
    <x v="2"/>
    <d v="2023-11-24T00:00:00"/>
  </r>
  <r>
    <s v="TXN_3219378"/>
    <x v="3"/>
    <n v="3"/>
    <n v="5"/>
    <n v="15"/>
    <x v="3"/>
    <x v="1"/>
    <d v="2023-12-04T00:00:00"/>
  </r>
  <r>
    <s v="TXN_6372515"/>
    <x v="2"/>
    <n v="1"/>
    <n v="1"/>
    <n v="1"/>
    <x v="3"/>
    <x v="1"/>
    <d v="2023-11-22T00:00:00"/>
  </r>
  <r>
    <s v="TXN_4692681"/>
    <x v="8"/>
    <n v="2"/>
    <n v="1.5"/>
    <n v="3"/>
    <x v="2"/>
    <x v="2"/>
    <d v="2023-06-02T00:00:00"/>
  </r>
  <r>
    <s v="TXN_9364172"/>
    <x v="8"/>
    <n v="4"/>
    <n v="1.5"/>
    <n v="6"/>
    <x v="2"/>
    <x v="0"/>
    <d v="2023-03-18T00:00:00"/>
  </r>
  <r>
    <s v="TXN_4745933"/>
    <x v="3"/>
    <n v="1"/>
    <n v="5"/>
    <n v="5"/>
    <x v="3"/>
    <x v="1"/>
    <d v="2023-11-05T00:00:00"/>
  </r>
  <r>
    <s v="TXN_6540267"/>
    <x v="3"/>
    <n v="2"/>
    <n v="5"/>
    <n v="10"/>
    <x v="2"/>
    <x v="0"/>
    <d v="2023-09-26T00:00:00"/>
  </r>
  <r>
    <s v="TXN_6994245"/>
    <x v="0"/>
    <n v="4"/>
    <n v="2"/>
    <n v="8"/>
    <x v="3"/>
    <x v="1"/>
    <d v="2023-12-30T00:00:00"/>
  </r>
  <r>
    <s v="TXN_8973007"/>
    <x v="0"/>
    <n v="5"/>
    <n v="2"/>
    <n v="10"/>
    <x v="2"/>
    <x v="0"/>
    <d v="2023-02-07T00:00:00"/>
  </r>
  <r>
    <s v="TXN_5108183"/>
    <x v="4"/>
    <n v="4"/>
    <n v="4"/>
    <n v="16"/>
    <x v="0"/>
    <x v="2"/>
    <d v="2023-08-31T00:00:00"/>
  </r>
  <r>
    <s v="TXN_8103630"/>
    <x v="2"/>
    <n v="1"/>
    <n v="1"/>
    <n v="1"/>
    <x v="3"/>
    <x v="0"/>
    <d v="2023-03-08T00:00:00"/>
  </r>
  <r>
    <s v="TXN_2575160"/>
    <x v="8"/>
    <n v="5"/>
    <n v="1.5"/>
    <n v="7.5"/>
    <x v="2"/>
    <x v="2"/>
    <d v="2023-01-02T00:00:00"/>
  </r>
  <r>
    <s v="TXN_8002309"/>
    <x v="6"/>
    <n v="1"/>
    <n v="4"/>
    <n v="4"/>
    <x v="2"/>
    <x v="2"/>
    <d v="2023-04-04T00:00:00"/>
  </r>
  <r>
    <s v="TXN_3252542"/>
    <x v="6"/>
    <n v="5"/>
    <n v="4"/>
    <n v="20"/>
    <x v="3"/>
    <x v="1"/>
    <d v="2023-09-22T00:00:00"/>
  </r>
  <r>
    <s v="TXN_4775220"/>
    <x v="7"/>
    <n v="3"/>
    <n v="3"/>
    <n v="9"/>
    <x v="2"/>
    <x v="0"/>
    <d v="2023-07-21T00:00:00"/>
  </r>
  <r>
    <s v="TXN_4413197"/>
    <x v="8"/>
    <n v="4"/>
    <n v="1.5"/>
    <n v="6"/>
    <x v="3"/>
    <x v="2"/>
    <d v="2023-09-06T00:00:00"/>
  </r>
  <r>
    <s v="TXN_1283149"/>
    <x v="3"/>
    <n v="2"/>
    <n v="5"/>
    <n v="10"/>
    <x v="0"/>
    <x v="1"/>
    <d v="2023-01-23T00:00:00"/>
  </r>
  <r>
    <s v="TXN_6822426"/>
    <x v="1"/>
    <n v="5"/>
    <n v="3"/>
    <n v="15"/>
    <x v="3"/>
    <x v="1"/>
    <d v="2023-05-27T00:00:00"/>
  </r>
  <r>
    <s v="TXN_8210816"/>
    <x v="3"/>
    <n v="4"/>
    <n v="5"/>
    <n v="20"/>
    <x v="3"/>
    <x v="0"/>
    <d v="2023-08-12T00:00:00"/>
  </r>
  <r>
    <s v="TXN_5896728"/>
    <x v="7"/>
    <n v="4"/>
    <n v="3"/>
    <n v="12"/>
    <x v="3"/>
    <x v="0"/>
    <d v="2023-10-06T00:00:00"/>
  </r>
  <r>
    <s v="TXN_4407308"/>
    <x v="8"/>
    <n v="4"/>
    <n v="1.5"/>
    <n v="6"/>
    <x v="3"/>
    <x v="1"/>
    <d v="2023-09-19T00:00:00"/>
  </r>
  <r>
    <s v="TXN_7710078"/>
    <x v="7"/>
    <n v="2"/>
    <n v="3"/>
    <n v="6"/>
    <x v="0"/>
    <x v="0"/>
    <d v="2023-12-05T00:00:00"/>
  </r>
  <r>
    <s v="TXN_5206046"/>
    <x v="6"/>
    <n v="3"/>
    <n v="4"/>
    <n v="12"/>
    <x v="2"/>
    <x v="1"/>
    <m/>
  </r>
  <r>
    <s v="TXN_6016707"/>
    <x v="7"/>
    <n v="1"/>
    <n v="3"/>
    <n v="3"/>
    <x v="1"/>
    <x v="1"/>
    <d v="2023-06-27T00:00:00"/>
  </r>
  <r>
    <s v="TXN_7895436"/>
    <x v="1"/>
    <n v="3"/>
    <n v="3"/>
    <n v="9"/>
    <x v="2"/>
    <x v="2"/>
    <d v="2023-09-09T00:00:00"/>
  </r>
  <r>
    <s v="TXN_3600632"/>
    <x v="5"/>
    <n v="4"/>
    <n v="2"/>
    <n v="8"/>
    <x v="1"/>
    <x v="0"/>
    <d v="2023-12-09T00:00:00"/>
  </r>
  <r>
    <s v="TXN_4565969"/>
    <x v="0"/>
    <n v="3"/>
    <n v="2"/>
    <n v="6"/>
    <x v="2"/>
    <x v="0"/>
    <d v="2023-03-16T00:00:00"/>
  </r>
  <r>
    <s v="TXN_7821478"/>
    <x v="1"/>
    <n v="4"/>
    <n v="3"/>
    <n v="12"/>
    <x v="1"/>
    <x v="1"/>
    <d v="2023-05-24T00:00:00"/>
  </r>
  <r>
    <s v="TXN_2971555"/>
    <x v="1"/>
    <n v="1"/>
    <n v="3"/>
    <n v="3"/>
    <x v="1"/>
    <x v="2"/>
    <d v="2023-02-24T00:00:00"/>
  </r>
  <r>
    <s v="TXN_1465364"/>
    <x v="8"/>
    <n v="4"/>
    <n v="1.5"/>
    <n v="6"/>
    <x v="3"/>
    <x v="1"/>
    <m/>
  </r>
  <r>
    <s v="TXN_9664173"/>
    <x v="6"/>
    <n v="1"/>
    <n v="4"/>
    <n v="4"/>
    <x v="2"/>
    <x v="1"/>
    <d v="2023-03-20T00:00:00"/>
  </r>
  <r>
    <s v="TXN_4049270"/>
    <x v="5"/>
    <n v="5"/>
    <n v="2"/>
    <n v="10"/>
    <x v="3"/>
    <x v="1"/>
    <d v="2023-07-28T00:00:00"/>
  </r>
  <r>
    <s v="TXN_4731715"/>
    <x v="0"/>
    <n v="5"/>
    <n v="2"/>
    <n v="10"/>
    <x v="2"/>
    <x v="2"/>
    <d v="2023-03-14T00:00:00"/>
  </r>
  <r>
    <s v="TXN_3377626"/>
    <x v="2"/>
    <n v="5"/>
    <n v="1"/>
    <n v="5"/>
    <x v="1"/>
    <x v="1"/>
    <d v="2023-07-23T00:00:00"/>
  </r>
  <r>
    <s v="TXN_5753111"/>
    <x v="3"/>
    <n v="1"/>
    <n v="5"/>
    <n v="5"/>
    <x v="0"/>
    <x v="2"/>
    <d v="2023-04-25T00:00:00"/>
  </r>
  <r>
    <s v="TXN_2054549"/>
    <x v="4"/>
    <n v="1"/>
    <n v="4"/>
    <n v="4"/>
    <x v="2"/>
    <x v="1"/>
    <d v="2023-04-07T00:00:00"/>
  </r>
  <r>
    <s v="TXN_6996548"/>
    <x v="0"/>
    <n v="1"/>
    <n v="2"/>
    <n v="2"/>
    <x v="0"/>
    <x v="2"/>
    <d v="2023-06-24T00:00:00"/>
  </r>
  <r>
    <s v="TXN_6761402"/>
    <x v="5"/>
    <n v="1"/>
    <n v="2"/>
    <n v="2"/>
    <x v="2"/>
    <x v="0"/>
    <d v="2023-08-31T00:00:00"/>
  </r>
  <r>
    <s v="TXN_1983842"/>
    <x v="1"/>
    <n v="5"/>
    <n v="3"/>
    <n v="15"/>
    <x v="3"/>
    <x v="2"/>
    <d v="2023-03-16T00:00:00"/>
  </r>
  <r>
    <s v="TXN_4982165"/>
    <x v="8"/>
    <n v="1"/>
    <n v="1.5"/>
    <n v="1.5"/>
    <x v="0"/>
    <x v="0"/>
    <d v="2023-04-12T00:00:00"/>
  </r>
  <r>
    <s v="TXN_5679295"/>
    <x v="8"/>
    <n v="5"/>
    <n v="1.5"/>
    <n v="7.5"/>
    <x v="2"/>
    <x v="0"/>
    <d v="2023-04-30T00:00:00"/>
  </r>
  <r>
    <s v="TXN_9194266"/>
    <x v="3"/>
    <n v="5"/>
    <n v="5"/>
    <n v="25"/>
    <x v="1"/>
    <x v="2"/>
    <d v="2023-10-30T00:00:00"/>
  </r>
  <r>
    <s v="TXN_1141920"/>
    <x v="0"/>
    <n v="4"/>
    <n v="2"/>
    <n v="8"/>
    <x v="3"/>
    <x v="2"/>
    <d v="2023-10-26T00:00:00"/>
  </r>
  <r>
    <s v="TXN_8878500"/>
    <x v="3"/>
    <n v="4"/>
    <n v="5"/>
    <n v="20"/>
    <x v="2"/>
    <x v="2"/>
    <d v="2023-02-24T00:00:00"/>
  </r>
  <r>
    <s v="TXN_1012349"/>
    <x v="5"/>
    <n v="4"/>
    <n v="3"/>
    <n v="12"/>
    <x v="1"/>
    <x v="1"/>
    <d v="2023-07-08T00:00:00"/>
  </r>
  <r>
    <s v="TXN_3811655"/>
    <x v="4"/>
    <n v="2"/>
    <n v="4"/>
    <n v="8"/>
    <x v="2"/>
    <x v="2"/>
    <m/>
  </r>
  <r>
    <s v="TXN_1581562"/>
    <x v="0"/>
    <n v="2"/>
    <n v="2"/>
    <n v="4"/>
    <x v="1"/>
    <x v="1"/>
    <d v="2023-01-01T00:00:00"/>
  </r>
  <r>
    <s v="TXN_6762236"/>
    <x v="7"/>
    <n v="4"/>
    <n v="3"/>
    <n v="12"/>
    <x v="2"/>
    <x v="1"/>
    <d v="2023-01-17T00:00:00"/>
  </r>
  <r>
    <s v="TXN_1041891"/>
    <x v="2"/>
    <n v="5"/>
    <n v="1"/>
    <n v="5"/>
    <x v="2"/>
    <x v="2"/>
    <d v="2023-08-09T00:00:00"/>
  </r>
  <r>
    <s v="TXN_6467796"/>
    <x v="5"/>
    <n v="5"/>
    <n v="2"/>
    <n v="10"/>
    <x v="0"/>
    <x v="0"/>
    <d v="2023-10-25T00:00:00"/>
  </r>
  <r>
    <s v="TXN_8701045"/>
    <x v="5"/>
    <n v="2"/>
    <n v="3"/>
    <n v="6"/>
    <x v="1"/>
    <x v="1"/>
    <d v="2023-06-07T00:00:00"/>
  </r>
  <r>
    <s v="TXN_9656325"/>
    <x v="5"/>
    <n v="2"/>
    <n v="2"/>
    <n v="4"/>
    <x v="0"/>
    <x v="0"/>
    <d v="2023-03-31T00:00:00"/>
  </r>
  <r>
    <s v="TXN_2716560"/>
    <x v="6"/>
    <n v="4"/>
    <n v="4"/>
    <n v="16"/>
    <x v="0"/>
    <x v="0"/>
    <d v="2023-08-29T00:00:00"/>
  </r>
  <r>
    <s v="TXN_4141941"/>
    <x v="0"/>
    <n v="2"/>
    <n v="2"/>
    <n v="4"/>
    <x v="3"/>
    <x v="1"/>
    <d v="2023-05-18T00:00:00"/>
  </r>
  <r>
    <s v="TXN_4633505"/>
    <x v="5"/>
    <n v="3"/>
    <n v="1.5"/>
    <n v="4.5"/>
    <x v="3"/>
    <x v="0"/>
    <d v="2023-08-25T00:00:00"/>
  </r>
  <r>
    <s v="TXN_5283053"/>
    <x v="7"/>
    <n v="4"/>
    <n v="3"/>
    <n v="12"/>
    <x v="3"/>
    <x v="2"/>
    <d v="2023-04-30T00:00:00"/>
  </r>
  <r>
    <s v="TXN_1054912"/>
    <x v="6"/>
    <n v="3"/>
    <n v="4"/>
    <n v="12"/>
    <x v="1"/>
    <x v="2"/>
    <d v="2023-08-02T00:00:00"/>
  </r>
  <r>
    <s v="TXN_9100081"/>
    <x v="7"/>
    <n v="1"/>
    <n v="3"/>
    <n v="3"/>
    <x v="1"/>
    <x v="2"/>
    <d v="2023-08-18T00:00:00"/>
  </r>
  <r>
    <s v="TXN_5129701"/>
    <x v="4"/>
    <n v="2"/>
    <n v="4"/>
    <n v="8"/>
    <x v="0"/>
    <x v="0"/>
    <d v="2023-11-09T00:00:00"/>
  </r>
  <r>
    <s v="TXN_7021592"/>
    <x v="3"/>
    <n v="4"/>
    <n v="5"/>
    <n v="20"/>
    <x v="0"/>
    <x v="1"/>
    <d v="2023-07-01T00:00:00"/>
  </r>
  <r>
    <s v="TXN_8644119"/>
    <x v="6"/>
    <n v="5"/>
    <n v="4"/>
    <n v="20"/>
    <x v="2"/>
    <x v="2"/>
    <d v="2023-10-01T00:00:00"/>
  </r>
  <r>
    <s v="TXN_3041142"/>
    <x v="4"/>
    <n v="3"/>
    <n v="4"/>
    <n v="12"/>
    <x v="3"/>
    <x v="2"/>
    <d v="2023-12-22T00:00:00"/>
  </r>
  <r>
    <s v="TXN_5618631"/>
    <x v="0"/>
    <n v="5"/>
    <n v="2"/>
    <n v="10"/>
    <x v="0"/>
    <x v="1"/>
    <d v="2023-12-21T00:00:00"/>
  </r>
  <r>
    <s v="TXN_6496379"/>
    <x v="6"/>
    <n v="1"/>
    <n v="4"/>
    <n v="4"/>
    <x v="1"/>
    <x v="0"/>
    <d v="2023-12-24T00:00:00"/>
  </r>
  <r>
    <s v="TXN_1486119"/>
    <x v="2"/>
    <n v="4"/>
    <n v="1"/>
    <n v="4"/>
    <x v="2"/>
    <x v="2"/>
    <d v="2023-08-24T00:00:00"/>
  </r>
  <r>
    <s v="TXN_2386202"/>
    <x v="3"/>
    <n v="4"/>
    <n v="5"/>
    <n v="20"/>
    <x v="1"/>
    <x v="1"/>
    <d v="2023-01-22T00:00:00"/>
  </r>
  <r>
    <s v="TXN_6836109"/>
    <x v="0"/>
    <n v="4"/>
    <n v="2"/>
    <n v="8"/>
    <x v="2"/>
    <x v="0"/>
    <d v="2023-04-09T00:00:00"/>
  </r>
  <r>
    <s v="TXN_9190061"/>
    <x v="3"/>
    <n v="5"/>
    <n v="5"/>
    <n v="25"/>
    <x v="1"/>
    <x v="0"/>
    <d v="2023-06-14T00:00:00"/>
  </r>
  <r>
    <s v="TXN_1691512"/>
    <x v="4"/>
    <n v="1"/>
    <n v="4"/>
    <n v="4"/>
    <x v="2"/>
    <x v="2"/>
    <d v="2023-03-25T00:00:00"/>
  </r>
  <r>
    <s v="TXN_1059293"/>
    <x v="5"/>
    <n v="5"/>
    <n v="4"/>
    <n v="20"/>
    <x v="2"/>
    <x v="2"/>
    <d v="2023-12-04T00:00:00"/>
  </r>
  <r>
    <s v="TXN_8813052"/>
    <x v="8"/>
    <n v="4"/>
    <n v="1.5"/>
    <n v="6"/>
    <x v="2"/>
    <x v="1"/>
    <m/>
  </r>
  <r>
    <s v="TXN_2495471"/>
    <x v="3"/>
    <n v="3"/>
    <n v="5"/>
    <n v="15"/>
    <x v="0"/>
    <x v="0"/>
    <d v="2023-10-22T00:00:00"/>
  </r>
  <r>
    <s v="TXN_7708201"/>
    <x v="3"/>
    <n v="3"/>
    <n v="5"/>
    <n v="15"/>
    <x v="1"/>
    <x v="2"/>
    <d v="2023-01-04T00:00:00"/>
  </r>
  <r>
    <s v="TXN_2038871"/>
    <x v="8"/>
    <n v="2"/>
    <n v="1.5"/>
    <n v="3"/>
    <x v="2"/>
    <x v="0"/>
    <d v="2023-07-15T00:00:00"/>
  </r>
  <r>
    <s v="TXN_7195393"/>
    <x v="3"/>
    <n v="2"/>
    <n v="5"/>
    <n v="10"/>
    <x v="0"/>
    <x v="1"/>
    <d v="2023-01-24T00:00:00"/>
  </r>
  <r>
    <s v="TXN_8022892"/>
    <x v="6"/>
    <n v="4"/>
    <n v="4"/>
    <n v="16"/>
    <x v="3"/>
    <x v="1"/>
    <d v="2023-08-07T00:00:00"/>
  </r>
  <r>
    <s v="TXN_4298189"/>
    <x v="0"/>
    <n v="1"/>
    <n v="2"/>
    <n v="2"/>
    <x v="3"/>
    <x v="1"/>
    <d v="2023-10-13T00:00:00"/>
  </r>
  <r>
    <s v="TXN_4967446"/>
    <x v="6"/>
    <n v="1"/>
    <n v="4"/>
    <n v="4"/>
    <x v="2"/>
    <x v="1"/>
    <d v="2023-07-11T00:00:00"/>
  </r>
  <r>
    <s v="TXN_3368231"/>
    <x v="8"/>
    <n v="3"/>
    <n v="1.5"/>
    <n v="4.5"/>
    <x v="2"/>
    <x v="2"/>
    <d v="2023-08-11T00:00:00"/>
  </r>
  <r>
    <s v="TXN_7353699"/>
    <x v="8"/>
    <n v="5"/>
    <n v="1.5"/>
    <n v="7.5"/>
    <x v="3"/>
    <x v="2"/>
    <d v="2023-07-20T00:00:00"/>
  </r>
  <r>
    <s v="TXN_6888998"/>
    <x v="0"/>
    <n v="5"/>
    <n v="2"/>
    <n v="10"/>
    <x v="2"/>
    <x v="2"/>
    <d v="2023-02-27T00:00:00"/>
  </r>
  <r>
    <s v="TXN_3541304"/>
    <x v="6"/>
    <n v="3"/>
    <n v="4"/>
    <n v="12"/>
    <x v="1"/>
    <x v="1"/>
    <d v="2023-04-22T00:00:00"/>
  </r>
  <r>
    <s v="TXN_8188818"/>
    <x v="8"/>
    <n v="2"/>
    <n v="1.5"/>
    <n v="3"/>
    <x v="2"/>
    <x v="2"/>
    <d v="2023-10-07T00:00:00"/>
  </r>
  <r>
    <s v="TXN_9431971"/>
    <x v="4"/>
    <n v="1"/>
    <n v="4"/>
    <n v="4"/>
    <x v="0"/>
    <x v="2"/>
    <d v="2023-07-17T00:00:00"/>
  </r>
  <r>
    <s v="TXN_4543742"/>
    <x v="0"/>
    <n v="3"/>
    <n v="2"/>
    <n v="6"/>
    <x v="3"/>
    <x v="2"/>
    <d v="2023-03-28T00:00:00"/>
  </r>
  <r>
    <s v="TXN_5961027"/>
    <x v="1"/>
    <n v="2"/>
    <n v="3"/>
    <n v="6"/>
    <x v="1"/>
    <x v="1"/>
    <m/>
  </r>
  <r>
    <s v="TXN_1807140"/>
    <x v="3"/>
    <n v="1"/>
    <n v="5"/>
    <n v="5"/>
    <x v="1"/>
    <x v="2"/>
    <d v="2023-03-22T00:00:00"/>
  </r>
  <r>
    <s v="TXN_3007866"/>
    <x v="7"/>
    <n v="4"/>
    <n v="3"/>
    <n v="12"/>
    <x v="0"/>
    <x v="1"/>
    <d v="2023-04-14T00:00:00"/>
  </r>
  <r>
    <s v="TXN_6779377"/>
    <x v="4"/>
    <n v="5"/>
    <n v="4"/>
    <n v="20"/>
    <x v="2"/>
    <x v="1"/>
    <d v="2023-10-06T00:00:00"/>
  </r>
  <r>
    <s v="TXN_7053830"/>
    <x v="0"/>
    <n v="3"/>
    <n v="2"/>
    <n v="6"/>
    <x v="3"/>
    <x v="2"/>
    <d v="2023-02-14T00:00:00"/>
  </r>
  <r>
    <s v="TXN_3660048"/>
    <x v="1"/>
    <n v="1"/>
    <n v="3"/>
    <n v="3"/>
    <x v="0"/>
    <x v="2"/>
    <m/>
  </r>
  <r>
    <s v="TXN_6522299"/>
    <x v="8"/>
    <n v="2"/>
    <n v="1.5"/>
    <n v="3"/>
    <x v="1"/>
    <x v="2"/>
    <d v="2023-08-29T00:00:00"/>
  </r>
  <r>
    <s v="TXN_5811766"/>
    <x v="1"/>
    <n v="5"/>
    <n v="3"/>
    <n v="15"/>
    <x v="3"/>
    <x v="1"/>
    <m/>
  </r>
  <r>
    <s v="TXN_2848421"/>
    <x v="2"/>
    <n v="1"/>
    <n v="1"/>
    <n v="1"/>
    <x v="3"/>
    <x v="1"/>
    <d v="2023-08-07T00:00:00"/>
  </r>
  <r>
    <s v="TXN_4935533"/>
    <x v="5"/>
    <n v="1"/>
    <n v="4"/>
    <n v="4"/>
    <x v="2"/>
    <x v="1"/>
    <d v="2023-06-12T00:00:00"/>
  </r>
  <r>
    <s v="TXN_2389320"/>
    <x v="0"/>
    <n v="2"/>
    <n v="2"/>
    <n v="4"/>
    <x v="2"/>
    <x v="0"/>
    <d v="2023-07-26T00:00:00"/>
  </r>
  <r>
    <s v="TXN_8423155"/>
    <x v="0"/>
    <n v="1"/>
    <n v="2"/>
    <n v="2"/>
    <x v="2"/>
    <x v="0"/>
    <d v="2023-07-03T00:00:00"/>
  </r>
  <r>
    <s v="TXN_6053617"/>
    <x v="6"/>
    <n v="2"/>
    <n v="4"/>
    <n v="8"/>
    <x v="0"/>
    <x v="2"/>
    <d v="2023-11-25T00:00:00"/>
  </r>
  <r>
    <s v="TXN_8384372"/>
    <x v="8"/>
    <n v="4"/>
    <n v="1.5"/>
    <n v="6"/>
    <x v="3"/>
    <x v="2"/>
    <d v="2023-08-07T00:00:00"/>
  </r>
  <r>
    <s v="TXN_3426338"/>
    <x v="3"/>
    <n v="1"/>
    <n v="5"/>
    <n v="5"/>
    <x v="1"/>
    <x v="1"/>
    <d v="2023-07-31T00:00:00"/>
  </r>
  <r>
    <s v="TXN_4581359"/>
    <x v="7"/>
    <n v="2"/>
    <n v="3"/>
    <n v="6"/>
    <x v="0"/>
    <x v="2"/>
    <d v="2023-03-22T00:00:00"/>
  </r>
  <r>
    <s v="TXN_3561451"/>
    <x v="3"/>
    <n v="4"/>
    <n v="5"/>
    <n v="20"/>
    <x v="0"/>
    <x v="2"/>
    <d v="2023-05-31T00:00:00"/>
  </r>
  <r>
    <s v="TXN_7768989"/>
    <x v="6"/>
    <n v="2"/>
    <n v="4"/>
    <n v="8"/>
    <x v="1"/>
    <x v="1"/>
    <d v="2023-10-02T00:00:00"/>
  </r>
  <r>
    <s v="TXN_5963316"/>
    <x v="8"/>
    <n v="2"/>
    <n v="1.5"/>
    <n v="3"/>
    <x v="0"/>
    <x v="0"/>
    <d v="2023-06-25T00:00:00"/>
  </r>
  <r>
    <s v="TXN_4265942"/>
    <x v="0"/>
    <n v="5"/>
    <n v="2"/>
    <n v="10"/>
    <x v="2"/>
    <x v="2"/>
    <d v="2023-04-24T00:00:00"/>
  </r>
  <r>
    <s v="TXN_6014389"/>
    <x v="2"/>
    <n v="5"/>
    <n v="1"/>
    <n v="5"/>
    <x v="0"/>
    <x v="1"/>
    <d v="2023-07-21T00:00:00"/>
  </r>
  <r>
    <s v="TXN_7358729"/>
    <x v="2"/>
    <n v="2"/>
    <n v="1"/>
    <n v="2"/>
    <x v="1"/>
    <x v="0"/>
    <d v="2023-02-25T00:00:00"/>
  </r>
  <r>
    <s v="TXN_9815521"/>
    <x v="6"/>
    <n v="3"/>
    <n v="4"/>
    <n v="12"/>
    <x v="0"/>
    <x v="1"/>
    <d v="2023-05-26T00:00:00"/>
  </r>
  <r>
    <s v="TXN_8325221"/>
    <x v="5"/>
    <n v="2"/>
    <n v="2"/>
    <n v="4"/>
    <x v="0"/>
    <x v="2"/>
    <d v="2023-11-17T00:00:00"/>
  </r>
  <r>
    <s v="TXN_8267031"/>
    <x v="1"/>
    <n v="2"/>
    <n v="3"/>
    <n v="6"/>
    <x v="2"/>
    <x v="0"/>
    <d v="2023-03-28T00:00:00"/>
  </r>
  <r>
    <s v="TXN_1950187"/>
    <x v="8"/>
    <n v="2"/>
    <n v="1.5"/>
    <n v="3"/>
    <x v="0"/>
    <x v="0"/>
    <d v="2023-04-13T00:00:00"/>
  </r>
  <r>
    <s v="TXN_9518691"/>
    <x v="3"/>
    <n v="2"/>
    <n v="5"/>
    <n v="10"/>
    <x v="0"/>
    <x v="2"/>
    <d v="2023-03-30T00:00:00"/>
  </r>
  <r>
    <s v="TXN_3612790"/>
    <x v="4"/>
    <n v="1"/>
    <n v="4"/>
    <n v="4"/>
    <x v="2"/>
    <x v="2"/>
    <d v="2023-09-01T00:00:00"/>
  </r>
  <r>
    <s v="TXN_5436816"/>
    <x v="3"/>
    <n v="3"/>
    <n v="5"/>
    <n v="15"/>
    <x v="0"/>
    <x v="2"/>
    <d v="2023-08-04T00:00:00"/>
  </r>
  <r>
    <s v="TXN_7896586"/>
    <x v="6"/>
    <n v="2"/>
    <n v="4"/>
    <n v="8"/>
    <x v="0"/>
    <x v="2"/>
    <d v="2023-09-04T00:00:00"/>
  </r>
  <r>
    <s v="TXN_5835004"/>
    <x v="4"/>
    <n v="5"/>
    <n v="4"/>
    <n v="20"/>
    <x v="0"/>
    <x v="1"/>
    <d v="2023-04-14T00:00:00"/>
  </r>
  <r>
    <s v="TXN_3774886"/>
    <x v="6"/>
    <n v="3"/>
    <n v="4"/>
    <n v="12"/>
    <x v="2"/>
    <x v="2"/>
    <d v="2023-06-01T00:00:00"/>
  </r>
  <r>
    <s v="TXN_5950951"/>
    <x v="3"/>
    <n v="1"/>
    <n v="5"/>
    <n v="5"/>
    <x v="0"/>
    <x v="1"/>
    <d v="2023-04-10T00:00:00"/>
  </r>
  <r>
    <s v="TXN_3918096"/>
    <x v="7"/>
    <n v="4"/>
    <n v="3"/>
    <n v="12"/>
    <x v="2"/>
    <x v="2"/>
    <d v="2023-08-17T00:00:00"/>
  </r>
  <r>
    <s v="TXN_2786231"/>
    <x v="7"/>
    <n v="1"/>
    <n v="3"/>
    <n v="3"/>
    <x v="1"/>
    <x v="0"/>
    <d v="2023-08-17T00:00:00"/>
  </r>
  <r>
    <s v="TXN_3803063"/>
    <x v="5"/>
    <n v="4"/>
    <n v="3"/>
    <n v="12"/>
    <x v="0"/>
    <x v="0"/>
    <d v="2023-11-23T00:00:00"/>
  </r>
  <r>
    <s v="TXN_4262451"/>
    <x v="0"/>
    <n v="1"/>
    <n v="2"/>
    <n v="2"/>
    <x v="3"/>
    <x v="0"/>
    <d v="2023-10-16T00:00:00"/>
  </r>
  <r>
    <s v="TXN_4773210"/>
    <x v="0"/>
    <n v="1"/>
    <n v="2"/>
    <n v="2"/>
    <x v="0"/>
    <x v="2"/>
    <d v="2023-11-29T00:00:00"/>
  </r>
  <r>
    <s v="TXN_1231366"/>
    <x v="6"/>
    <n v="3"/>
    <n v="4"/>
    <n v="12"/>
    <x v="3"/>
    <x v="0"/>
    <d v="2023-11-28T00:00:00"/>
  </r>
  <r>
    <s v="TXN_6596377"/>
    <x v="2"/>
    <n v="5"/>
    <n v="1"/>
    <n v="5"/>
    <x v="2"/>
    <x v="2"/>
    <d v="2023-08-02T00:00:00"/>
  </r>
  <r>
    <s v="TXN_2713279"/>
    <x v="2"/>
    <n v="4"/>
    <n v="1"/>
    <n v="4"/>
    <x v="3"/>
    <x v="1"/>
    <d v="2023-02-12T00:00:00"/>
  </r>
  <r>
    <s v="TXN_4247602"/>
    <x v="3"/>
    <n v="5"/>
    <n v="5"/>
    <n v="25"/>
    <x v="0"/>
    <x v="0"/>
    <d v="2023-07-13T00:00:00"/>
  </r>
  <r>
    <s v="TXN_2446298"/>
    <x v="7"/>
    <n v="5"/>
    <n v="3"/>
    <n v="15"/>
    <x v="2"/>
    <x v="1"/>
    <d v="2023-05-21T00:00:00"/>
  </r>
  <r>
    <s v="TXN_7258784"/>
    <x v="5"/>
    <n v="4"/>
    <n v="2"/>
    <n v="8"/>
    <x v="1"/>
    <x v="1"/>
    <d v="2023-09-21T00:00:00"/>
  </r>
  <r>
    <s v="TXN_5164540"/>
    <x v="8"/>
    <n v="2"/>
    <n v="1.5"/>
    <n v="3"/>
    <x v="2"/>
    <x v="0"/>
    <d v="2023-01-05T00:00:00"/>
  </r>
  <r>
    <s v="TXN_6488040"/>
    <x v="3"/>
    <n v="1"/>
    <n v="5"/>
    <n v="5"/>
    <x v="3"/>
    <x v="0"/>
    <d v="2023-05-20T00:00:00"/>
  </r>
  <r>
    <s v="TXN_9850842"/>
    <x v="8"/>
    <n v="3"/>
    <n v="1.5"/>
    <n v="4.5"/>
    <x v="2"/>
    <x v="2"/>
    <d v="2023-01-23T00:00:00"/>
  </r>
  <r>
    <s v="TXN_7269738"/>
    <x v="2"/>
    <n v="3"/>
    <n v="1"/>
    <n v="3"/>
    <x v="1"/>
    <x v="2"/>
    <d v="2023-05-26T00:00:00"/>
  </r>
  <r>
    <s v="TXN_2638760"/>
    <x v="1"/>
    <n v="5"/>
    <n v="3"/>
    <n v="15"/>
    <x v="1"/>
    <x v="2"/>
    <d v="2023-02-09T00:00:00"/>
  </r>
  <r>
    <s v="TXN_3459152"/>
    <x v="1"/>
    <n v="3"/>
    <n v="3"/>
    <n v="9"/>
    <x v="3"/>
    <x v="2"/>
    <d v="2023-06-28T00:00:00"/>
  </r>
  <r>
    <s v="TXN_8013818"/>
    <x v="8"/>
    <n v="2"/>
    <n v="1.5"/>
    <n v="3"/>
    <x v="2"/>
    <x v="2"/>
    <d v="2023-07-24T00:00:00"/>
  </r>
  <r>
    <s v="TXN_8077367"/>
    <x v="8"/>
    <n v="5"/>
    <n v="1.5"/>
    <n v="7.5"/>
    <x v="0"/>
    <x v="2"/>
    <d v="2023-02-27T00:00:00"/>
  </r>
  <r>
    <s v="TXN_6643922"/>
    <x v="0"/>
    <n v="5"/>
    <n v="2"/>
    <n v="10"/>
    <x v="3"/>
    <x v="1"/>
    <d v="2023-06-24T00:00:00"/>
  </r>
  <r>
    <s v="TXN_8388056"/>
    <x v="3"/>
    <n v="1"/>
    <n v="5"/>
    <n v="5"/>
    <x v="0"/>
    <x v="2"/>
    <d v="2023-06-23T00:00:00"/>
  </r>
  <r>
    <s v="TXN_4728936"/>
    <x v="7"/>
    <n v="4"/>
    <n v="3"/>
    <n v="12"/>
    <x v="3"/>
    <x v="0"/>
    <d v="2023-02-27T00:00:00"/>
  </r>
  <r>
    <s v="TXN_6386388"/>
    <x v="8"/>
    <n v="3"/>
    <n v="1.5"/>
    <n v="4.5"/>
    <x v="0"/>
    <x v="0"/>
    <d v="2023-05-21T00:00:00"/>
  </r>
  <r>
    <s v="TXN_9443285"/>
    <x v="1"/>
    <n v="2"/>
    <n v="3"/>
    <n v="6"/>
    <x v="0"/>
    <x v="2"/>
    <d v="2023-05-27T00:00:00"/>
  </r>
  <r>
    <s v="TXN_6377838"/>
    <x v="1"/>
    <n v="2"/>
    <n v="3"/>
    <n v="6"/>
    <x v="3"/>
    <x v="0"/>
    <d v="2023-02-19T00:00:00"/>
  </r>
  <r>
    <s v="TXN_7483986"/>
    <x v="3"/>
    <n v="2"/>
    <n v="5"/>
    <n v="10"/>
    <x v="2"/>
    <x v="0"/>
    <d v="2023-03-24T00:00:00"/>
  </r>
  <r>
    <s v="TXN_7719510"/>
    <x v="7"/>
    <n v="3"/>
    <n v="3"/>
    <n v="9"/>
    <x v="0"/>
    <x v="0"/>
    <d v="2023-08-14T00:00:00"/>
  </r>
  <r>
    <s v="TXN_7908153"/>
    <x v="2"/>
    <n v="3"/>
    <n v="1"/>
    <n v="3"/>
    <x v="1"/>
    <x v="1"/>
    <d v="2023-01-19T00:00:00"/>
  </r>
  <r>
    <s v="TXN_3083412"/>
    <x v="0"/>
    <n v="5"/>
    <n v="2"/>
    <n v="10"/>
    <x v="0"/>
    <x v="1"/>
    <m/>
  </r>
  <r>
    <s v="TXN_8159649"/>
    <x v="5"/>
    <n v="4"/>
    <n v="2"/>
    <n v="8"/>
    <x v="2"/>
    <x v="1"/>
    <d v="2023-06-15T00:00:00"/>
  </r>
  <r>
    <s v="TXN_5391160"/>
    <x v="7"/>
    <n v="2"/>
    <n v="3"/>
    <n v="6"/>
    <x v="1"/>
    <x v="1"/>
    <d v="2023-03-09T00:00:00"/>
  </r>
  <r>
    <s v="TXN_8324715"/>
    <x v="6"/>
    <n v="5"/>
    <n v="4"/>
    <n v="20"/>
    <x v="0"/>
    <x v="2"/>
    <d v="2023-03-21T00:00:00"/>
  </r>
  <r>
    <s v="TXN_7353685"/>
    <x v="6"/>
    <n v="2"/>
    <n v="4"/>
    <n v="8"/>
    <x v="2"/>
    <x v="1"/>
    <m/>
  </r>
  <r>
    <s v="TXN_1985223"/>
    <x v="4"/>
    <n v="3"/>
    <n v="4"/>
    <n v="12"/>
    <x v="3"/>
    <x v="0"/>
    <d v="2023-09-21T00:00:00"/>
  </r>
  <r>
    <s v="TXN_2944460"/>
    <x v="3"/>
    <n v="1"/>
    <n v="5"/>
    <n v="5"/>
    <x v="3"/>
    <x v="1"/>
    <d v="2023-04-16T00:00:00"/>
  </r>
  <r>
    <s v="TXN_6957157"/>
    <x v="1"/>
    <n v="1"/>
    <n v="3"/>
    <n v="3"/>
    <x v="2"/>
    <x v="2"/>
    <d v="2023-02-01T00:00:00"/>
  </r>
  <r>
    <s v="TXN_5693294"/>
    <x v="5"/>
    <n v="3"/>
    <n v="3"/>
    <n v="9"/>
    <x v="0"/>
    <x v="2"/>
    <d v="2023-12-30T00:00:00"/>
  </r>
  <r>
    <s v="TXN_2887257"/>
    <x v="2"/>
    <n v="3"/>
    <n v="1"/>
    <n v="3"/>
    <x v="0"/>
    <x v="1"/>
    <d v="2023-08-27T00:00:00"/>
  </r>
  <r>
    <s v="TXN_3986876"/>
    <x v="1"/>
    <n v="3"/>
    <n v="3"/>
    <n v="9"/>
    <x v="1"/>
    <x v="0"/>
    <d v="2023-11-06T00:00:00"/>
  </r>
  <r>
    <s v="TXN_1066604"/>
    <x v="6"/>
    <n v="5"/>
    <n v="4"/>
    <n v="20"/>
    <x v="0"/>
    <x v="2"/>
    <d v="2023-05-18T00:00:00"/>
  </r>
  <r>
    <s v="TXN_2494494"/>
    <x v="0"/>
    <n v="1"/>
    <n v="2"/>
    <n v="2"/>
    <x v="1"/>
    <x v="2"/>
    <d v="2023-06-13T00:00:00"/>
  </r>
  <r>
    <s v="TXN_4464373"/>
    <x v="2"/>
    <n v="2"/>
    <n v="1"/>
    <n v="2"/>
    <x v="3"/>
    <x v="1"/>
    <d v="2023-04-22T00:00:00"/>
  </r>
  <r>
    <s v="TXN_7844770"/>
    <x v="1"/>
    <n v="2"/>
    <n v="3"/>
    <n v="6"/>
    <x v="3"/>
    <x v="2"/>
    <d v="2023-01-31T00:00:00"/>
  </r>
  <r>
    <s v="TXN_9968943"/>
    <x v="4"/>
    <n v="1"/>
    <n v="4"/>
    <n v="4"/>
    <x v="3"/>
    <x v="2"/>
    <d v="2023-07-25T00:00:00"/>
  </r>
  <r>
    <s v="TXN_4051488"/>
    <x v="2"/>
    <n v="4"/>
    <n v="1"/>
    <n v="4"/>
    <x v="2"/>
    <x v="0"/>
    <d v="2023-06-09T00:00:00"/>
  </r>
  <r>
    <s v="TXN_2668838"/>
    <x v="1"/>
    <n v="4"/>
    <n v="3"/>
    <n v="12"/>
    <x v="2"/>
    <x v="0"/>
    <d v="2023-05-11T00:00:00"/>
  </r>
  <r>
    <s v="TXN_8039752"/>
    <x v="5"/>
    <n v="2"/>
    <n v="2"/>
    <n v="4"/>
    <x v="2"/>
    <x v="0"/>
    <d v="2023-11-28T00:00:00"/>
  </r>
  <r>
    <s v="TXN_3388908"/>
    <x v="2"/>
    <n v="4"/>
    <n v="1"/>
    <n v="4"/>
    <x v="2"/>
    <x v="0"/>
    <d v="2023-11-22T00:00:00"/>
  </r>
  <r>
    <s v="TXN_2096487"/>
    <x v="5"/>
    <n v="5"/>
    <n v="4"/>
    <n v="20"/>
    <x v="3"/>
    <x v="0"/>
    <d v="2023-08-09T00:00:00"/>
  </r>
  <r>
    <s v="TXN_8795794"/>
    <x v="6"/>
    <n v="3"/>
    <n v="4"/>
    <n v="12"/>
    <x v="1"/>
    <x v="1"/>
    <d v="2023-02-13T00:00:00"/>
  </r>
  <r>
    <s v="TXN_4627457"/>
    <x v="1"/>
    <n v="3"/>
    <n v="3"/>
    <n v="9"/>
    <x v="2"/>
    <x v="1"/>
    <d v="2023-12-13T00:00:00"/>
  </r>
  <r>
    <s v="TXN_2352308"/>
    <x v="2"/>
    <n v="2"/>
    <n v="1"/>
    <n v="2"/>
    <x v="1"/>
    <x v="2"/>
    <d v="2023-11-10T00:00:00"/>
  </r>
  <r>
    <s v="TXN_3980743"/>
    <x v="3"/>
    <n v="1"/>
    <n v="5"/>
    <n v="5"/>
    <x v="2"/>
    <x v="0"/>
    <d v="2023-09-21T00:00:00"/>
  </r>
  <r>
    <s v="TXN_6538210"/>
    <x v="4"/>
    <n v="1"/>
    <n v="4"/>
    <n v="4"/>
    <x v="2"/>
    <x v="1"/>
    <d v="2023-12-29T00:00:00"/>
  </r>
  <r>
    <s v="TXN_3749051"/>
    <x v="5"/>
    <n v="3"/>
    <n v="4"/>
    <n v="12"/>
    <x v="2"/>
    <x v="0"/>
    <d v="2023-04-19T00:00:00"/>
  </r>
  <r>
    <s v="TXN_6683798"/>
    <x v="2"/>
    <n v="1"/>
    <n v="1"/>
    <n v="1"/>
    <x v="3"/>
    <x v="0"/>
    <d v="2023-07-26T00:00:00"/>
  </r>
  <r>
    <s v="TXN_7246683"/>
    <x v="4"/>
    <n v="1"/>
    <n v="4"/>
    <n v="4"/>
    <x v="3"/>
    <x v="0"/>
    <d v="2023-05-17T00:00:00"/>
  </r>
  <r>
    <s v="TXN_6755348"/>
    <x v="5"/>
    <n v="5"/>
    <n v="4"/>
    <n v="20"/>
    <x v="2"/>
    <x v="2"/>
    <d v="2023-06-23T00:00:00"/>
  </r>
  <r>
    <s v="TXN_3691228"/>
    <x v="1"/>
    <n v="3"/>
    <n v="3"/>
    <n v="9"/>
    <x v="1"/>
    <x v="0"/>
    <d v="2023-10-26T00:00:00"/>
  </r>
  <r>
    <s v="TXN_7407946"/>
    <x v="3"/>
    <n v="3"/>
    <n v="5"/>
    <n v="15"/>
    <x v="0"/>
    <x v="2"/>
    <d v="2023-03-26T00:00:00"/>
  </r>
  <r>
    <s v="TXN_8635803"/>
    <x v="8"/>
    <n v="2"/>
    <n v="1.5"/>
    <n v="3"/>
    <x v="1"/>
    <x v="2"/>
    <d v="2023-03-17T00:00:00"/>
  </r>
  <r>
    <s v="TXN_9550508"/>
    <x v="4"/>
    <n v="5"/>
    <n v="4"/>
    <n v="20"/>
    <x v="2"/>
    <x v="2"/>
    <d v="2023-11-18T00:00:00"/>
  </r>
  <r>
    <s v="TXN_8010562"/>
    <x v="6"/>
    <n v="1"/>
    <n v="4"/>
    <n v="4"/>
    <x v="1"/>
    <x v="2"/>
    <d v="2023-07-23T00:00:00"/>
  </r>
  <r>
    <s v="TXN_2501648"/>
    <x v="1"/>
    <n v="2"/>
    <n v="3"/>
    <n v="6"/>
    <x v="0"/>
    <x v="2"/>
    <d v="2023-12-05T00:00:00"/>
  </r>
  <r>
    <s v="TXN_9455679"/>
    <x v="3"/>
    <n v="5"/>
    <n v="5"/>
    <n v="25"/>
    <x v="2"/>
    <x v="0"/>
    <d v="2023-05-18T00:00:00"/>
  </r>
  <r>
    <s v="TXN_8105705"/>
    <x v="7"/>
    <n v="1"/>
    <n v="3"/>
    <n v="3"/>
    <x v="3"/>
    <x v="0"/>
    <d v="2023-10-17T00:00:00"/>
  </r>
  <r>
    <s v="TXN_9676096"/>
    <x v="1"/>
    <n v="3"/>
    <n v="3"/>
    <n v="9"/>
    <x v="3"/>
    <x v="2"/>
    <d v="2023-04-05T00:00:00"/>
  </r>
  <r>
    <s v="TXN_8476828"/>
    <x v="5"/>
    <n v="3"/>
    <n v="1.5"/>
    <n v="4.5"/>
    <x v="2"/>
    <x v="0"/>
    <d v="2023-10-25T00:00:00"/>
  </r>
  <r>
    <s v="TXN_2126034"/>
    <x v="0"/>
    <n v="4"/>
    <n v="2"/>
    <n v="8"/>
    <x v="1"/>
    <x v="1"/>
    <d v="2023-10-30T00:00:00"/>
  </r>
  <r>
    <s v="TXN_2151258"/>
    <x v="1"/>
    <n v="3"/>
    <n v="3"/>
    <n v="9"/>
    <x v="0"/>
    <x v="2"/>
    <d v="2023-08-09T00:00:00"/>
  </r>
  <r>
    <s v="TXN_3672345"/>
    <x v="8"/>
    <n v="3"/>
    <n v="1.5"/>
    <n v="4.5"/>
    <x v="0"/>
    <x v="2"/>
    <d v="2023-10-17T00:00:00"/>
  </r>
  <r>
    <s v="TXN_6793298"/>
    <x v="8"/>
    <n v="2"/>
    <n v="1.5"/>
    <n v="3"/>
    <x v="0"/>
    <x v="2"/>
    <d v="2023-04-14T00:00:00"/>
  </r>
  <r>
    <s v="TXN_3951329"/>
    <x v="6"/>
    <n v="1"/>
    <n v="4"/>
    <n v="4"/>
    <x v="0"/>
    <x v="0"/>
    <d v="2023-12-28T00:00:00"/>
  </r>
  <r>
    <s v="TXN_7480853"/>
    <x v="4"/>
    <n v="2"/>
    <n v="4"/>
    <n v="8"/>
    <x v="3"/>
    <x v="1"/>
    <d v="2023-10-07T00:00:00"/>
  </r>
  <r>
    <s v="TXN_4944024"/>
    <x v="4"/>
    <n v="2"/>
    <n v="4"/>
    <n v="8"/>
    <x v="2"/>
    <x v="0"/>
    <d v="2023-09-26T00:00:00"/>
  </r>
  <r>
    <s v="TXN_6687528"/>
    <x v="7"/>
    <n v="2"/>
    <n v="3"/>
    <n v="6"/>
    <x v="2"/>
    <x v="2"/>
    <d v="2023-05-06T00:00:00"/>
  </r>
  <r>
    <s v="TXN_5531648"/>
    <x v="0"/>
    <n v="5"/>
    <n v="2"/>
    <n v="10"/>
    <x v="1"/>
    <x v="0"/>
    <d v="2023-01-23T00:00:00"/>
  </r>
  <r>
    <s v="TXN_8789736"/>
    <x v="0"/>
    <n v="2"/>
    <n v="2"/>
    <n v="4"/>
    <x v="0"/>
    <x v="2"/>
    <d v="2023-05-06T00:00:00"/>
  </r>
  <r>
    <s v="TXN_9938977"/>
    <x v="1"/>
    <n v="5"/>
    <n v="3"/>
    <n v="15"/>
    <x v="1"/>
    <x v="1"/>
    <d v="2023-12-18T00:00:00"/>
  </r>
  <r>
    <s v="TXN_2730798"/>
    <x v="8"/>
    <n v="4"/>
    <n v="1.5"/>
    <n v="6"/>
    <x v="0"/>
    <x v="2"/>
    <d v="2023-12-01T00:00:00"/>
  </r>
  <r>
    <s v="TXN_3749801"/>
    <x v="1"/>
    <n v="5"/>
    <n v="3"/>
    <n v="15"/>
    <x v="0"/>
    <x v="0"/>
    <d v="2023-01-03T00:00:00"/>
  </r>
  <r>
    <s v="TXN_3326626"/>
    <x v="1"/>
    <n v="2"/>
    <n v="3"/>
    <n v="6"/>
    <x v="1"/>
    <x v="0"/>
    <d v="2023-09-26T00:00:00"/>
  </r>
  <r>
    <s v="TXN_4843989"/>
    <x v="8"/>
    <n v="4"/>
    <n v="1.5"/>
    <n v="6"/>
    <x v="3"/>
    <x v="0"/>
    <d v="2023-09-30T00:00:00"/>
  </r>
  <r>
    <s v="TXN_6606514"/>
    <x v="7"/>
    <n v="1"/>
    <n v="3"/>
    <n v="3"/>
    <x v="0"/>
    <x v="1"/>
    <d v="2023-06-25T00:00:00"/>
  </r>
  <r>
    <s v="TXN_6187752"/>
    <x v="4"/>
    <n v="5"/>
    <n v="4"/>
    <n v="20"/>
    <x v="2"/>
    <x v="0"/>
    <d v="2023-12-24T00:00:00"/>
  </r>
  <r>
    <s v="TXN_1666190"/>
    <x v="4"/>
    <n v="4"/>
    <n v="4"/>
    <n v="16"/>
    <x v="2"/>
    <x v="0"/>
    <d v="2023-07-28T00:00:00"/>
  </r>
  <r>
    <s v="TXN_9438576"/>
    <x v="2"/>
    <n v="1"/>
    <n v="1"/>
    <n v="1"/>
    <x v="0"/>
    <x v="1"/>
    <d v="2023-05-05T00:00:00"/>
  </r>
  <r>
    <s v="TXN_1344947"/>
    <x v="1"/>
    <n v="3"/>
    <n v="3"/>
    <n v="9"/>
    <x v="2"/>
    <x v="0"/>
    <d v="2023-02-16T00:00:00"/>
  </r>
  <r>
    <s v="TXN_4978922"/>
    <x v="2"/>
    <n v="4"/>
    <n v="1"/>
    <n v="4"/>
    <x v="1"/>
    <x v="2"/>
    <m/>
  </r>
  <r>
    <s v="TXN_3951552"/>
    <x v="3"/>
    <n v="2"/>
    <n v="5"/>
    <n v="10"/>
    <x v="1"/>
    <x v="1"/>
    <d v="2023-03-25T00:00:00"/>
  </r>
  <r>
    <s v="TXN_3916668"/>
    <x v="7"/>
    <n v="2"/>
    <n v="3"/>
    <n v="6"/>
    <x v="3"/>
    <x v="2"/>
    <d v="2023-05-14T00:00:00"/>
  </r>
  <r>
    <s v="TXN_4789941"/>
    <x v="6"/>
    <n v="3"/>
    <n v="4"/>
    <n v="12"/>
    <x v="0"/>
    <x v="2"/>
    <d v="2023-04-17T00:00:00"/>
  </r>
  <r>
    <s v="TXN_6957001"/>
    <x v="8"/>
    <n v="4"/>
    <n v="1.5"/>
    <n v="6"/>
    <x v="2"/>
    <x v="1"/>
    <d v="2023-08-08T00:00:00"/>
  </r>
  <r>
    <s v="TXN_3536893"/>
    <x v="3"/>
    <n v="2"/>
    <n v="5"/>
    <n v="10"/>
    <x v="2"/>
    <x v="2"/>
    <d v="2023-05-16T00:00:00"/>
  </r>
  <r>
    <s v="TXN_4519915"/>
    <x v="4"/>
    <n v="1"/>
    <n v="4"/>
    <n v="4"/>
    <x v="3"/>
    <x v="1"/>
    <d v="2023-05-15T00:00:00"/>
  </r>
  <r>
    <s v="TXN_3269434"/>
    <x v="7"/>
    <n v="1"/>
    <n v="3"/>
    <n v="3"/>
    <x v="1"/>
    <x v="2"/>
    <d v="2023-02-01T00:00:00"/>
  </r>
  <r>
    <s v="TXN_3291988"/>
    <x v="7"/>
    <n v="2"/>
    <n v="3"/>
    <n v="6"/>
    <x v="0"/>
    <x v="2"/>
    <d v="2023-07-03T00:00:00"/>
  </r>
  <r>
    <s v="TXN_7083611"/>
    <x v="1"/>
    <n v="2"/>
    <n v="3"/>
    <n v="6"/>
    <x v="2"/>
    <x v="2"/>
    <d v="2023-05-15T00:00:00"/>
  </r>
  <r>
    <s v="TXN_1875220"/>
    <x v="8"/>
    <n v="3"/>
    <n v="1.5"/>
    <n v="4.5"/>
    <x v="1"/>
    <x v="1"/>
    <d v="2023-03-07T00:00:00"/>
  </r>
  <r>
    <s v="TXN_1926712"/>
    <x v="0"/>
    <n v="5"/>
    <n v="2"/>
    <n v="10"/>
    <x v="0"/>
    <x v="2"/>
    <d v="2023-01-31T00:00:00"/>
  </r>
  <r>
    <s v="TXN_5552114"/>
    <x v="6"/>
    <n v="2"/>
    <n v="4"/>
    <n v="8"/>
    <x v="2"/>
    <x v="1"/>
    <d v="2023-06-13T00:00:00"/>
  </r>
  <r>
    <s v="TXN_5672583"/>
    <x v="7"/>
    <n v="2"/>
    <n v="3"/>
    <n v="6"/>
    <x v="1"/>
    <x v="0"/>
    <d v="2023-04-09T00:00:00"/>
  </r>
  <r>
    <s v="TXN_3717444"/>
    <x v="4"/>
    <n v="3"/>
    <n v="4"/>
    <n v="12"/>
    <x v="2"/>
    <x v="2"/>
    <d v="2023-09-07T00:00:00"/>
  </r>
  <r>
    <s v="TXN_1899114"/>
    <x v="8"/>
    <n v="3"/>
    <n v="1.5"/>
    <n v="4.5"/>
    <x v="3"/>
    <x v="0"/>
    <d v="2023-04-05T00:00:00"/>
  </r>
  <r>
    <s v="TXN_2625388"/>
    <x v="0"/>
    <n v="5"/>
    <n v="2"/>
    <n v="10"/>
    <x v="3"/>
    <x v="1"/>
    <d v="2023-02-09T00:00:00"/>
  </r>
  <r>
    <s v="TXN_7153665"/>
    <x v="3"/>
    <n v="5"/>
    <n v="5"/>
    <n v="25"/>
    <x v="1"/>
    <x v="1"/>
    <d v="2023-07-31T00:00:00"/>
  </r>
  <r>
    <s v="TXN_9161256"/>
    <x v="4"/>
    <n v="2"/>
    <n v="4"/>
    <n v="8"/>
    <x v="3"/>
    <x v="1"/>
    <d v="2023-01-01T00:00:00"/>
  </r>
  <r>
    <s v="TXN_2010060"/>
    <x v="5"/>
    <n v="1"/>
    <n v="3"/>
    <n v="3"/>
    <x v="1"/>
    <x v="2"/>
    <d v="2023-11-09T00:00:00"/>
  </r>
  <r>
    <s v="TXN_9077843"/>
    <x v="8"/>
    <n v="3"/>
    <n v="1.5"/>
    <n v="4.5"/>
    <x v="2"/>
    <x v="2"/>
    <d v="2023-03-28T00:00:00"/>
  </r>
  <r>
    <s v="TXN_5611262"/>
    <x v="5"/>
    <n v="2"/>
    <n v="5"/>
    <n v="10"/>
    <x v="3"/>
    <x v="1"/>
    <d v="2023-05-22T00:00:00"/>
  </r>
  <r>
    <s v="TXN_3255254"/>
    <x v="7"/>
    <n v="4"/>
    <n v="3"/>
    <n v="12"/>
    <x v="1"/>
    <x v="2"/>
    <d v="2023-03-23T00:00:00"/>
  </r>
  <r>
    <s v="TXN_9275800"/>
    <x v="4"/>
    <n v="3"/>
    <n v="4"/>
    <n v="12"/>
    <x v="1"/>
    <x v="2"/>
    <d v="2023-05-01T00:00:00"/>
  </r>
  <r>
    <s v="TXN_2430215"/>
    <x v="5"/>
    <n v="2"/>
    <n v="1"/>
    <n v="2"/>
    <x v="3"/>
    <x v="2"/>
    <d v="2023-04-10T00:00:00"/>
  </r>
  <r>
    <s v="TXN_1372003"/>
    <x v="8"/>
    <n v="4"/>
    <n v="1.5"/>
    <n v="6"/>
    <x v="3"/>
    <x v="0"/>
    <d v="2023-10-13T00:00:00"/>
  </r>
  <r>
    <s v="TXN_7364110"/>
    <x v="0"/>
    <n v="5"/>
    <n v="2"/>
    <n v="10"/>
    <x v="1"/>
    <x v="2"/>
    <m/>
  </r>
  <r>
    <s v="TXN_7202644"/>
    <x v="4"/>
    <n v="5"/>
    <n v="4"/>
    <n v="20"/>
    <x v="2"/>
    <x v="0"/>
    <d v="2023-08-01T00:00:00"/>
  </r>
  <r>
    <s v="TXN_5330387"/>
    <x v="0"/>
    <n v="3"/>
    <n v="2"/>
    <n v="6"/>
    <x v="2"/>
    <x v="2"/>
    <d v="2023-10-21T00:00:00"/>
  </r>
  <r>
    <s v="TXN_2119809"/>
    <x v="3"/>
    <n v="5"/>
    <n v="5"/>
    <n v="25"/>
    <x v="3"/>
    <x v="1"/>
    <d v="2023-04-21T00:00:00"/>
  </r>
  <r>
    <s v="TXN_5587224"/>
    <x v="3"/>
    <n v="2"/>
    <n v="5"/>
    <n v="10"/>
    <x v="2"/>
    <x v="1"/>
    <d v="2023-01-05T00:00:00"/>
  </r>
  <r>
    <s v="TXN_6332132"/>
    <x v="7"/>
    <n v="3"/>
    <n v="3"/>
    <n v="9"/>
    <x v="2"/>
    <x v="0"/>
    <m/>
  </r>
  <r>
    <s v="TXN_2185661"/>
    <x v="6"/>
    <n v="4"/>
    <n v="4"/>
    <n v="16"/>
    <x v="1"/>
    <x v="2"/>
    <d v="2023-03-16T00:00:00"/>
  </r>
  <r>
    <s v="TXN_2491186"/>
    <x v="3"/>
    <n v="5"/>
    <n v="5"/>
    <n v="25"/>
    <x v="2"/>
    <x v="2"/>
    <d v="2023-11-28T00:00:00"/>
  </r>
  <r>
    <s v="TXN_1891217"/>
    <x v="8"/>
    <n v="5"/>
    <n v="1.5"/>
    <n v="7.5"/>
    <x v="2"/>
    <x v="2"/>
    <d v="2023-04-02T00:00:00"/>
  </r>
  <r>
    <s v="TXN_8977555"/>
    <x v="1"/>
    <n v="2"/>
    <n v="3"/>
    <n v="6"/>
    <x v="1"/>
    <x v="2"/>
    <d v="2023-07-21T00:00:00"/>
  </r>
  <r>
    <s v="TXN_7179922"/>
    <x v="1"/>
    <n v="2"/>
    <n v="3"/>
    <n v="6"/>
    <x v="2"/>
    <x v="1"/>
    <d v="2023-09-05T00:00:00"/>
  </r>
  <r>
    <s v="TXN_5114283"/>
    <x v="8"/>
    <n v="1"/>
    <n v="1.5"/>
    <n v="1.5"/>
    <x v="3"/>
    <x v="1"/>
    <d v="2023-05-28T00:00:00"/>
  </r>
  <r>
    <s v="TXN_1528454"/>
    <x v="0"/>
    <n v="2"/>
    <n v="2"/>
    <n v="4"/>
    <x v="2"/>
    <x v="1"/>
    <d v="2023-03-22T00:00:00"/>
  </r>
  <r>
    <s v="TXN_5615114"/>
    <x v="8"/>
    <n v="4"/>
    <n v="1.5"/>
    <n v="6"/>
    <x v="3"/>
    <x v="2"/>
    <d v="2023-10-31T00:00:00"/>
  </r>
  <r>
    <s v="TXN_4968659"/>
    <x v="8"/>
    <n v="5"/>
    <n v="1.5"/>
    <n v="7.5"/>
    <x v="0"/>
    <x v="2"/>
    <d v="2023-03-18T00:00:00"/>
  </r>
  <r>
    <s v="TXN_4858666"/>
    <x v="1"/>
    <n v="3"/>
    <n v="3"/>
    <n v="9"/>
    <x v="0"/>
    <x v="2"/>
    <d v="2023-03-18T00:00:00"/>
  </r>
  <r>
    <s v="TXN_3502394"/>
    <x v="5"/>
    <n v="3"/>
    <n v="2"/>
    <n v="6"/>
    <x v="0"/>
    <x v="1"/>
    <d v="2023-09-02T00:00:00"/>
  </r>
  <r>
    <s v="TXN_4754723"/>
    <x v="0"/>
    <n v="2"/>
    <n v="2"/>
    <n v="4"/>
    <x v="0"/>
    <x v="2"/>
    <m/>
  </r>
  <r>
    <s v="TXN_1902009"/>
    <x v="5"/>
    <n v="2"/>
    <n v="3"/>
    <n v="6"/>
    <x v="0"/>
    <x v="2"/>
    <d v="2023-04-12T00:00:00"/>
  </r>
  <r>
    <s v="TXN_8492074"/>
    <x v="8"/>
    <n v="3"/>
    <n v="1.5"/>
    <n v="4.5"/>
    <x v="3"/>
    <x v="1"/>
    <d v="2023-11-12T00:00:00"/>
  </r>
  <r>
    <s v="TXN_6355908"/>
    <x v="6"/>
    <n v="3"/>
    <n v="4"/>
    <n v="12"/>
    <x v="0"/>
    <x v="2"/>
    <d v="2023-03-28T00:00:00"/>
  </r>
  <r>
    <s v="TXN_6856530"/>
    <x v="4"/>
    <n v="5"/>
    <n v="4"/>
    <n v="20"/>
    <x v="3"/>
    <x v="2"/>
    <d v="2023-11-11T00:00:00"/>
  </r>
  <r>
    <s v="TXN_1180397"/>
    <x v="4"/>
    <n v="3"/>
    <n v="4"/>
    <n v="12"/>
    <x v="0"/>
    <x v="0"/>
    <d v="2023-04-05T00:00:00"/>
  </r>
  <r>
    <s v="TXN_4747863"/>
    <x v="2"/>
    <n v="2"/>
    <n v="1"/>
    <n v="2"/>
    <x v="3"/>
    <x v="1"/>
    <d v="2023-10-04T00:00:00"/>
  </r>
  <r>
    <s v="TXN_3979966"/>
    <x v="4"/>
    <n v="5"/>
    <n v="4"/>
    <n v="20"/>
    <x v="2"/>
    <x v="0"/>
    <d v="2023-08-23T00:00:00"/>
  </r>
  <r>
    <s v="TXN_5127984"/>
    <x v="6"/>
    <n v="3"/>
    <n v="4"/>
    <n v="12"/>
    <x v="1"/>
    <x v="1"/>
    <d v="2023-11-12T00:00:00"/>
  </r>
  <r>
    <s v="TXN_9904214"/>
    <x v="6"/>
    <n v="5"/>
    <n v="4"/>
    <n v="20"/>
    <x v="2"/>
    <x v="0"/>
    <d v="2023-03-13T00:00:00"/>
  </r>
  <r>
    <s v="TXN_9948753"/>
    <x v="8"/>
    <n v="2"/>
    <n v="1.5"/>
    <n v="3"/>
    <x v="2"/>
    <x v="0"/>
    <d v="2023-05-09T00:00:00"/>
  </r>
  <r>
    <s v="TXN_8263172"/>
    <x v="5"/>
    <n v="2"/>
    <n v="3"/>
    <n v="6"/>
    <x v="2"/>
    <x v="0"/>
    <d v="2023-12-30T00:00:00"/>
  </r>
  <r>
    <s v="TXN_1196223"/>
    <x v="7"/>
    <n v="3"/>
    <n v="3"/>
    <n v="9"/>
    <x v="3"/>
    <x v="1"/>
    <d v="2023-10-14T00:00:00"/>
  </r>
  <r>
    <s v="TXN_2401073"/>
    <x v="0"/>
    <n v="4"/>
    <n v="2"/>
    <n v="8"/>
    <x v="0"/>
    <x v="2"/>
    <d v="2023-02-10T00:00:00"/>
  </r>
  <r>
    <s v="TXN_9639089"/>
    <x v="7"/>
    <n v="4"/>
    <n v="3"/>
    <n v="12"/>
    <x v="0"/>
    <x v="1"/>
    <d v="2023-05-14T00:00:00"/>
  </r>
  <r>
    <s v="TXN_8654093"/>
    <x v="0"/>
    <n v="3"/>
    <n v="2"/>
    <n v="6"/>
    <x v="3"/>
    <x v="2"/>
    <d v="2023-11-29T00:00:00"/>
  </r>
  <r>
    <s v="TXN_1038397"/>
    <x v="2"/>
    <n v="3"/>
    <n v="1"/>
    <n v="3"/>
    <x v="2"/>
    <x v="1"/>
    <d v="2023-05-20T00:00:00"/>
  </r>
  <r>
    <s v="TXN_8872715"/>
    <x v="2"/>
    <n v="2"/>
    <n v="1"/>
    <n v="2"/>
    <x v="3"/>
    <x v="0"/>
    <m/>
  </r>
  <r>
    <s v="TXN_4638979"/>
    <x v="3"/>
    <n v="1"/>
    <n v="5"/>
    <n v="5"/>
    <x v="2"/>
    <x v="2"/>
    <d v="2023-06-28T00:00:00"/>
  </r>
  <r>
    <s v="TXN_5506097"/>
    <x v="5"/>
    <n v="5"/>
    <n v="4"/>
    <n v="20"/>
    <x v="1"/>
    <x v="0"/>
    <d v="2023-05-04T00:00:00"/>
  </r>
  <r>
    <s v="TXN_9579984"/>
    <x v="3"/>
    <n v="5"/>
    <n v="5"/>
    <n v="25"/>
    <x v="0"/>
    <x v="2"/>
    <d v="2023-12-25T00:00:00"/>
  </r>
  <r>
    <s v="TXN_6087578"/>
    <x v="8"/>
    <n v="1"/>
    <n v="1.5"/>
    <n v="1.5"/>
    <x v="0"/>
    <x v="2"/>
    <d v="2023-12-17T00:00:00"/>
  </r>
  <r>
    <s v="TXN_5297299"/>
    <x v="0"/>
    <n v="5"/>
    <n v="2"/>
    <n v="10"/>
    <x v="2"/>
    <x v="2"/>
    <d v="2023-10-04T00:00:00"/>
  </r>
  <r>
    <s v="TXN_7526174"/>
    <x v="7"/>
    <n v="3"/>
    <n v="3"/>
    <n v="9"/>
    <x v="0"/>
    <x v="2"/>
    <d v="2023-08-06T00:00:00"/>
  </r>
  <r>
    <s v="TXN_5401244"/>
    <x v="3"/>
    <n v="1"/>
    <n v="5"/>
    <n v="5"/>
    <x v="0"/>
    <x v="1"/>
    <d v="2023-07-08T00:00:00"/>
  </r>
  <r>
    <s v="TXN_7470034"/>
    <x v="4"/>
    <n v="5"/>
    <n v="4"/>
    <n v="20"/>
    <x v="3"/>
    <x v="0"/>
    <m/>
  </r>
  <r>
    <s v="TXN_7775760"/>
    <x v="1"/>
    <n v="4"/>
    <n v="3"/>
    <n v="12"/>
    <x v="2"/>
    <x v="2"/>
    <d v="2023-02-21T00:00:00"/>
  </r>
  <r>
    <s v="TXN_5820892"/>
    <x v="7"/>
    <n v="1"/>
    <n v="3"/>
    <n v="3"/>
    <x v="3"/>
    <x v="2"/>
    <d v="2023-11-14T00:00:00"/>
  </r>
  <r>
    <s v="TXN_3801338"/>
    <x v="6"/>
    <n v="3"/>
    <n v="4"/>
    <n v="12"/>
    <x v="0"/>
    <x v="2"/>
    <d v="2023-11-03T00:00:00"/>
  </r>
  <r>
    <s v="TXN_1521861"/>
    <x v="5"/>
    <n v="5"/>
    <n v="3"/>
    <n v="15"/>
    <x v="1"/>
    <x v="1"/>
    <d v="2023-04-02T00:00:00"/>
  </r>
  <r>
    <s v="TXN_8365857"/>
    <x v="4"/>
    <n v="5"/>
    <n v="4"/>
    <n v="20"/>
    <x v="3"/>
    <x v="0"/>
    <d v="2023-10-06T00:00:00"/>
  </r>
  <r>
    <s v="TXN_9349657"/>
    <x v="2"/>
    <n v="2"/>
    <n v="1"/>
    <n v="2"/>
    <x v="0"/>
    <x v="1"/>
    <d v="2023-03-14T00:00:00"/>
  </r>
  <r>
    <s v="TXN_4503716"/>
    <x v="1"/>
    <n v="1"/>
    <n v="3"/>
    <n v="3"/>
    <x v="2"/>
    <x v="2"/>
    <d v="2023-11-12T00:00:00"/>
  </r>
  <r>
    <s v="TXN_5679014"/>
    <x v="0"/>
    <n v="1"/>
    <n v="2"/>
    <n v="2"/>
    <x v="2"/>
    <x v="1"/>
    <d v="2023-06-12T00:00:00"/>
  </r>
  <r>
    <s v="TXN_1161606"/>
    <x v="6"/>
    <n v="5"/>
    <n v="4"/>
    <n v="20"/>
    <x v="0"/>
    <x v="0"/>
    <d v="2023-09-20T00:00:00"/>
  </r>
  <r>
    <s v="TXN_5938359"/>
    <x v="2"/>
    <n v="2"/>
    <n v="1"/>
    <n v="2"/>
    <x v="0"/>
    <x v="2"/>
    <d v="2023-06-02T00:00:00"/>
  </r>
  <r>
    <s v="TXN_7565894"/>
    <x v="3"/>
    <n v="1"/>
    <n v="5"/>
    <n v="5"/>
    <x v="1"/>
    <x v="0"/>
    <d v="2023-07-15T00:00:00"/>
  </r>
  <r>
    <s v="TXN_1987311"/>
    <x v="4"/>
    <n v="1"/>
    <n v="4"/>
    <n v="4"/>
    <x v="2"/>
    <x v="1"/>
    <d v="2023-08-03T00:00:00"/>
  </r>
  <r>
    <s v="TXN_4656387"/>
    <x v="2"/>
    <n v="2"/>
    <n v="1"/>
    <n v="2"/>
    <x v="3"/>
    <x v="2"/>
    <d v="2023-07-25T00:00:00"/>
  </r>
  <r>
    <s v="TXN_9277276"/>
    <x v="1"/>
    <n v="4"/>
    <n v="3"/>
    <n v="12"/>
    <x v="0"/>
    <x v="0"/>
    <d v="2023-09-15T00:00:00"/>
  </r>
  <r>
    <s v="TXN_1576076"/>
    <x v="0"/>
    <n v="3"/>
    <n v="2"/>
    <n v="6"/>
    <x v="1"/>
    <x v="0"/>
    <d v="2023-10-07T00:00:00"/>
  </r>
  <r>
    <s v="TXN_3676632"/>
    <x v="4"/>
    <n v="4"/>
    <n v="4"/>
    <n v="16"/>
    <x v="0"/>
    <x v="2"/>
    <d v="2023-12-11T00:00:00"/>
  </r>
  <r>
    <s v="TXN_9945457"/>
    <x v="2"/>
    <n v="4"/>
    <n v="1"/>
    <n v="4"/>
    <x v="1"/>
    <x v="2"/>
    <d v="2023-06-28T00:00:00"/>
  </r>
  <r>
    <s v="TXN_6508674"/>
    <x v="5"/>
    <n v="2"/>
    <n v="3"/>
    <n v="6"/>
    <x v="2"/>
    <x v="0"/>
    <d v="2023-02-09T00:00:00"/>
  </r>
  <r>
    <s v="TXN_4579086"/>
    <x v="1"/>
    <n v="2"/>
    <n v="3"/>
    <n v="6"/>
    <x v="0"/>
    <x v="1"/>
    <d v="2023-07-20T00:00:00"/>
  </r>
  <r>
    <s v="TXN_2421873"/>
    <x v="0"/>
    <n v="2"/>
    <n v="2"/>
    <n v="4"/>
    <x v="0"/>
    <x v="2"/>
    <d v="2023-02-18T00:00:00"/>
  </r>
  <r>
    <s v="TXN_3601382"/>
    <x v="3"/>
    <n v="3"/>
    <n v="5"/>
    <n v="15"/>
    <x v="2"/>
    <x v="2"/>
    <d v="2023-02-12T00:00:00"/>
  </r>
  <r>
    <s v="TXN_2323650"/>
    <x v="8"/>
    <n v="4"/>
    <n v="1.5"/>
    <n v="6"/>
    <x v="3"/>
    <x v="2"/>
    <d v="2023-10-09T00:00:00"/>
  </r>
  <r>
    <s v="TXN_3587916"/>
    <x v="3"/>
    <n v="3"/>
    <n v="5"/>
    <n v="15"/>
    <x v="1"/>
    <x v="1"/>
    <d v="2023-07-09T00:00:00"/>
  </r>
  <r>
    <s v="TXN_8914956"/>
    <x v="2"/>
    <n v="2"/>
    <n v="1"/>
    <n v="2"/>
    <x v="0"/>
    <x v="2"/>
    <d v="2023-05-13T00:00:00"/>
  </r>
  <r>
    <s v="TXN_9080521"/>
    <x v="0"/>
    <n v="2"/>
    <n v="2"/>
    <n v="4"/>
    <x v="0"/>
    <x v="1"/>
    <d v="2023-01-24T00:00:00"/>
  </r>
  <r>
    <s v="TXN_1450705"/>
    <x v="2"/>
    <n v="5"/>
    <n v="1"/>
    <n v="5"/>
    <x v="2"/>
    <x v="2"/>
    <d v="2023-10-07T00:00:00"/>
  </r>
  <r>
    <s v="TXN_9648941"/>
    <x v="0"/>
    <n v="2"/>
    <n v="2"/>
    <n v="4"/>
    <x v="1"/>
    <x v="0"/>
    <d v="2023-06-30T00:00:00"/>
  </r>
  <r>
    <s v="TXN_9989719"/>
    <x v="4"/>
    <n v="2"/>
    <n v="4"/>
    <n v="8"/>
    <x v="0"/>
    <x v="0"/>
    <d v="2023-11-26T00:00:00"/>
  </r>
  <r>
    <s v="TXN_8409154"/>
    <x v="1"/>
    <n v="4"/>
    <n v="3"/>
    <n v="12"/>
    <x v="3"/>
    <x v="2"/>
    <d v="2023-06-20T00:00:00"/>
  </r>
  <r>
    <s v="TXN_4630633"/>
    <x v="6"/>
    <n v="1"/>
    <n v="4"/>
    <n v="4"/>
    <x v="2"/>
    <x v="0"/>
    <d v="2023-10-22T00:00:00"/>
  </r>
  <r>
    <s v="TXN_8332592"/>
    <x v="7"/>
    <n v="5"/>
    <n v="3"/>
    <n v="15"/>
    <x v="2"/>
    <x v="2"/>
    <d v="2023-03-25T00:00:00"/>
  </r>
  <r>
    <s v="TXN_5736595"/>
    <x v="0"/>
    <n v="3"/>
    <n v="2"/>
    <n v="6"/>
    <x v="0"/>
    <x v="2"/>
    <d v="2023-08-14T00:00:00"/>
  </r>
  <r>
    <s v="TXN_2264883"/>
    <x v="7"/>
    <n v="2"/>
    <n v="3"/>
    <n v="6"/>
    <x v="0"/>
    <x v="0"/>
    <d v="2023-12-24T00:00:00"/>
  </r>
  <r>
    <s v="TXN_6137394"/>
    <x v="6"/>
    <n v="1"/>
    <n v="4"/>
    <n v="4"/>
    <x v="2"/>
    <x v="1"/>
    <d v="2023-11-22T00:00:00"/>
  </r>
  <r>
    <s v="TXN_4127927"/>
    <x v="3"/>
    <n v="5"/>
    <n v="5"/>
    <n v="25"/>
    <x v="2"/>
    <x v="0"/>
    <d v="2023-08-04T00:00:00"/>
  </r>
  <r>
    <s v="TXN_7256205"/>
    <x v="7"/>
    <n v="4"/>
    <n v="3"/>
    <n v="12"/>
    <x v="1"/>
    <x v="2"/>
    <d v="2023-04-08T00:00:00"/>
  </r>
  <r>
    <s v="TXN_1766527"/>
    <x v="5"/>
    <n v="4"/>
    <n v="5"/>
    <n v="20"/>
    <x v="3"/>
    <x v="2"/>
    <d v="2023-02-07T00:00:00"/>
  </r>
  <r>
    <s v="TXN_7591982"/>
    <x v="3"/>
    <n v="1"/>
    <n v="5"/>
    <n v="5"/>
    <x v="1"/>
    <x v="2"/>
    <d v="2023-02-28T00:00:00"/>
  </r>
  <r>
    <s v="TXN_5530273"/>
    <x v="1"/>
    <n v="3"/>
    <n v="3"/>
    <n v="9"/>
    <x v="3"/>
    <x v="2"/>
    <d v="2023-01-13T00:00:00"/>
  </r>
  <r>
    <s v="TXN_2958213"/>
    <x v="5"/>
    <n v="5"/>
    <n v="1"/>
    <n v="5"/>
    <x v="2"/>
    <x v="2"/>
    <d v="2023-08-15T00:00:00"/>
  </r>
  <r>
    <s v="TXN_2057961"/>
    <x v="7"/>
    <n v="2"/>
    <n v="3"/>
    <n v="6"/>
    <x v="2"/>
    <x v="1"/>
    <d v="2023-10-04T00:00:00"/>
  </r>
  <r>
    <s v="TXN_9705027"/>
    <x v="2"/>
    <n v="2"/>
    <n v="1"/>
    <n v="2"/>
    <x v="1"/>
    <x v="2"/>
    <m/>
  </r>
  <r>
    <s v="TXN_6367976"/>
    <x v="7"/>
    <n v="1"/>
    <n v="3"/>
    <n v="3"/>
    <x v="3"/>
    <x v="2"/>
    <d v="2023-10-16T00:00:00"/>
  </r>
  <r>
    <s v="TXN_9921277"/>
    <x v="1"/>
    <n v="1"/>
    <n v="3"/>
    <n v="3"/>
    <x v="2"/>
    <x v="0"/>
    <d v="2023-01-29T00:00:00"/>
  </r>
  <r>
    <s v="TXN_4867316"/>
    <x v="6"/>
    <n v="1"/>
    <n v="4"/>
    <n v="4"/>
    <x v="3"/>
    <x v="2"/>
    <d v="2023-11-28T00:00:00"/>
  </r>
  <r>
    <s v="TXN_6704173"/>
    <x v="4"/>
    <n v="2"/>
    <n v="4"/>
    <n v="8"/>
    <x v="0"/>
    <x v="2"/>
    <d v="2023-07-24T00:00:00"/>
  </r>
  <r>
    <s v="TXN_9510130"/>
    <x v="3"/>
    <n v="4"/>
    <n v="5"/>
    <n v="20"/>
    <x v="1"/>
    <x v="2"/>
    <d v="2023-03-06T00:00:00"/>
  </r>
  <r>
    <s v="TXN_1192009"/>
    <x v="0"/>
    <n v="1"/>
    <n v="2"/>
    <n v="2"/>
    <x v="2"/>
    <x v="2"/>
    <d v="2023-05-18T00:00:00"/>
  </r>
  <r>
    <s v="TXN_2899889"/>
    <x v="3"/>
    <n v="2"/>
    <n v="5"/>
    <n v="10"/>
    <x v="2"/>
    <x v="1"/>
    <d v="2023-12-09T00:00:00"/>
  </r>
  <r>
    <s v="TXN_7172693"/>
    <x v="5"/>
    <n v="5"/>
    <n v="5"/>
    <n v="25"/>
    <x v="0"/>
    <x v="1"/>
    <d v="2023-03-23T00:00:00"/>
  </r>
  <r>
    <s v="TXN_6862603"/>
    <x v="3"/>
    <n v="4"/>
    <n v="5"/>
    <n v="20"/>
    <x v="0"/>
    <x v="0"/>
    <d v="2023-04-17T00:00:00"/>
  </r>
  <r>
    <s v="TXN_5761207"/>
    <x v="4"/>
    <n v="3"/>
    <n v="4"/>
    <n v="12"/>
    <x v="0"/>
    <x v="2"/>
    <d v="2023-04-19T00:00:00"/>
  </r>
  <r>
    <s v="TXN_9852820"/>
    <x v="3"/>
    <n v="2"/>
    <n v="5"/>
    <n v="10"/>
    <x v="0"/>
    <x v="1"/>
    <d v="2023-08-27T00:00:00"/>
  </r>
  <r>
    <s v="TXN_5939783"/>
    <x v="2"/>
    <n v="2"/>
    <n v="1"/>
    <n v="2"/>
    <x v="2"/>
    <x v="0"/>
    <m/>
  </r>
  <r>
    <s v="TXN_2062604"/>
    <x v="0"/>
    <n v="2"/>
    <n v="2"/>
    <n v="4"/>
    <x v="1"/>
    <x v="1"/>
    <m/>
  </r>
  <r>
    <s v="TXN_9531812"/>
    <x v="6"/>
    <n v="2"/>
    <n v="4"/>
    <n v="8"/>
    <x v="3"/>
    <x v="1"/>
    <d v="2023-02-04T00:00:00"/>
  </r>
  <r>
    <s v="TXN_1423173"/>
    <x v="4"/>
    <n v="5"/>
    <n v="4"/>
    <n v="20"/>
    <x v="0"/>
    <x v="2"/>
    <d v="2023-10-02T00:00:00"/>
  </r>
  <r>
    <s v="TXN_9811007"/>
    <x v="2"/>
    <n v="5"/>
    <n v="1"/>
    <n v="5"/>
    <x v="0"/>
    <x v="2"/>
    <d v="2023-03-07T00:00:00"/>
  </r>
  <r>
    <s v="TXN_4346813"/>
    <x v="3"/>
    <n v="5"/>
    <n v="5"/>
    <n v="25"/>
    <x v="2"/>
    <x v="2"/>
    <d v="2023-07-07T00:00:00"/>
  </r>
  <r>
    <s v="TXN_4383311"/>
    <x v="1"/>
    <n v="2"/>
    <n v="3"/>
    <n v="6"/>
    <x v="2"/>
    <x v="1"/>
    <d v="2023-09-23T00:00:00"/>
  </r>
  <r>
    <s v="TXN_5935353"/>
    <x v="5"/>
    <n v="2"/>
    <n v="4"/>
    <n v="8"/>
    <x v="0"/>
    <x v="2"/>
    <d v="2023-05-01T00:00:00"/>
  </r>
  <r>
    <s v="TXN_6778796"/>
    <x v="1"/>
    <n v="5"/>
    <n v="3"/>
    <n v="15"/>
    <x v="1"/>
    <x v="2"/>
    <d v="2023-11-29T00:00:00"/>
  </r>
  <r>
    <s v="TXN_2119373"/>
    <x v="3"/>
    <n v="4"/>
    <n v="5"/>
    <n v="20"/>
    <x v="0"/>
    <x v="1"/>
    <d v="2023-06-30T00:00:00"/>
  </r>
  <r>
    <s v="TXN_6803555"/>
    <x v="8"/>
    <n v="2"/>
    <n v="1.5"/>
    <n v="3"/>
    <x v="3"/>
    <x v="0"/>
    <d v="2023-05-31T00:00:00"/>
  </r>
  <r>
    <s v="TXN_7010218"/>
    <x v="2"/>
    <n v="4"/>
    <n v="1"/>
    <n v="4"/>
    <x v="2"/>
    <x v="0"/>
    <d v="2023-04-29T00:00:00"/>
  </r>
  <r>
    <s v="TXN_1707537"/>
    <x v="1"/>
    <n v="3"/>
    <n v="3"/>
    <n v="9"/>
    <x v="3"/>
    <x v="0"/>
    <d v="2023-10-17T00:00:00"/>
  </r>
  <r>
    <s v="TXN_8470187"/>
    <x v="7"/>
    <n v="3"/>
    <n v="3"/>
    <n v="9"/>
    <x v="2"/>
    <x v="0"/>
    <d v="2023-06-28T00:00:00"/>
  </r>
  <r>
    <s v="TXN_6087604"/>
    <x v="6"/>
    <n v="4"/>
    <n v="4"/>
    <n v="16"/>
    <x v="3"/>
    <x v="2"/>
    <d v="2023-01-27T00:00:00"/>
  </r>
  <r>
    <s v="TXN_9825905"/>
    <x v="0"/>
    <n v="1"/>
    <n v="2"/>
    <n v="2"/>
    <x v="3"/>
    <x v="2"/>
    <d v="2023-01-04T00:00:00"/>
  </r>
  <r>
    <s v="TXN_2086557"/>
    <x v="4"/>
    <n v="2"/>
    <n v="4"/>
    <n v="8"/>
    <x v="1"/>
    <x v="1"/>
    <d v="2023-01-13T00:00:00"/>
  </r>
  <r>
    <s v="TXN_9077087"/>
    <x v="7"/>
    <n v="1"/>
    <n v="3"/>
    <n v="3"/>
    <x v="2"/>
    <x v="1"/>
    <d v="2023-05-08T00:00:00"/>
  </r>
  <r>
    <s v="TXN_7714902"/>
    <x v="0"/>
    <n v="4"/>
    <n v="2"/>
    <n v="8"/>
    <x v="1"/>
    <x v="2"/>
    <d v="2023-09-10T00:00:00"/>
  </r>
  <r>
    <s v="TXN_2154477"/>
    <x v="1"/>
    <n v="4"/>
    <n v="3"/>
    <n v="12"/>
    <x v="2"/>
    <x v="2"/>
    <d v="2023-02-11T00:00:00"/>
  </r>
  <r>
    <s v="TXN_5949199"/>
    <x v="8"/>
    <n v="5"/>
    <n v="1.5"/>
    <n v="7.5"/>
    <x v="2"/>
    <x v="1"/>
    <d v="2023-02-28T00:00:00"/>
  </r>
  <r>
    <s v="TXN_8209124"/>
    <x v="0"/>
    <n v="2"/>
    <n v="2"/>
    <n v="4"/>
    <x v="1"/>
    <x v="2"/>
    <d v="2023-10-05T00:00:00"/>
  </r>
  <r>
    <s v="TXN_7519611"/>
    <x v="5"/>
    <n v="4"/>
    <n v="1.5"/>
    <n v="6"/>
    <x v="0"/>
    <x v="1"/>
    <d v="2023-10-08T00:00:00"/>
  </r>
  <r>
    <s v="TXN_1318943"/>
    <x v="5"/>
    <n v="2"/>
    <n v="2"/>
    <n v="4"/>
    <x v="1"/>
    <x v="1"/>
    <d v="2023-06-13T00:00:00"/>
  </r>
  <r>
    <s v="TXN_4502922"/>
    <x v="5"/>
    <n v="1"/>
    <n v="4"/>
    <n v="4"/>
    <x v="0"/>
    <x v="0"/>
    <d v="2023-06-23T00:00:00"/>
  </r>
  <r>
    <s v="TXN_4554194"/>
    <x v="4"/>
    <n v="3"/>
    <n v="4"/>
    <n v="12"/>
    <x v="0"/>
    <x v="0"/>
    <d v="2023-10-04T00:00:00"/>
  </r>
  <r>
    <s v="TXN_3418612"/>
    <x v="8"/>
    <n v="3"/>
    <n v="1.5"/>
    <n v="4.5"/>
    <x v="3"/>
    <x v="2"/>
    <d v="2023-01-31T00:00:00"/>
  </r>
  <r>
    <s v="TXN_2539469"/>
    <x v="1"/>
    <n v="2"/>
    <n v="3"/>
    <n v="6"/>
    <x v="0"/>
    <x v="0"/>
    <d v="2023-09-24T00:00:00"/>
  </r>
  <r>
    <s v="TXN_2764544"/>
    <x v="7"/>
    <n v="4"/>
    <n v="3"/>
    <n v="12"/>
    <x v="1"/>
    <x v="1"/>
    <d v="2023-04-02T00:00:00"/>
  </r>
  <r>
    <s v="TXN_8672939"/>
    <x v="4"/>
    <n v="1"/>
    <n v="4"/>
    <n v="4"/>
    <x v="2"/>
    <x v="2"/>
    <d v="2023-11-02T00:00:00"/>
  </r>
  <r>
    <s v="TXN_1499346"/>
    <x v="1"/>
    <n v="5"/>
    <n v="3"/>
    <n v="15"/>
    <x v="2"/>
    <x v="2"/>
    <d v="2023-12-09T00:00:00"/>
  </r>
  <r>
    <s v="TXN_9930357"/>
    <x v="7"/>
    <n v="1"/>
    <n v="3"/>
    <n v="3"/>
    <x v="0"/>
    <x v="2"/>
    <m/>
  </r>
  <r>
    <s v="TXN_7631216"/>
    <x v="7"/>
    <n v="5"/>
    <n v="3"/>
    <n v="15"/>
    <x v="0"/>
    <x v="2"/>
    <d v="2023-02-16T00:00:00"/>
  </r>
  <r>
    <s v="TXN_3116803"/>
    <x v="0"/>
    <n v="1"/>
    <n v="2"/>
    <n v="2"/>
    <x v="0"/>
    <x v="1"/>
    <d v="2023-09-10T00:00:00"/>
  </r>
  <r>
    <s v="TXN_6050844"/>
    <x v="8"/>
    <n v="2"/>
    <n v="1.5"/>
    <n v="3"/>
    <x v="2"/>
    <x v="2"/>
    <d v="2023-03-12T00:00:00"/>
  </r>
  <r>
    <s v="TXN_7403963"/>
    <x v="6"/>
    <n v="4"/>
    <n v="4"/>
    <n v="16"/>
    <x v="1"/>
    <x v="1"/>
    <d v="2023-07-27T00:00:00"/>
  </r>
  <r>
    <s v="TXN_2708387"/>
    <x v="8"/>
    <n v="4"/>
    <n v="1.5"/>
    <n v="6"/>
    <x v="0"/>
    <x v="2"/>
    <d v="2023-11-12T00:00:00"/>
  </r>
  <r>
    <s v="TXN_7916758"/>
    <x v="4"/>
    <n v="1"/>
    <n v="4"/>
    <n v="4"/>
    <x v="2"/>
    <x v="0"/>
    <d v="2023-10-14T00:00:00"/>
  </r>
  <r>
    <s v="TXN_2944717"/>
    <x v="2"/>
    <n v="2"/>
    <n v="1"/>
    <n v="2"/>
    <x v="1"/>
    <x v="2"/>
    <d v="2023-12-11T00:00:00"/>
  </r>
  <r>
    <s v="TXN_7571571"/>
    <x v="6"/>
    <n v="2"/>
    <n v="4"/>
    <n v="8"/>
    <x v="0"/>
    <x v="2"/>
    <d v="2023-04-09T00:00:00"/>
  </r>
  <r>
    <s v="TXN_7250085"/>
    <x v="0"/>
    <n v="4"/>
    <n v="2"/>
    <n v="8"/>
    <x v="2"/>
    <x v="0"/>
    <d v="2023-09-19T00:00:00"/>
  </r>
  <r>
    <s v="TXN_1892102"/>
    <x v="5"/>
    <n v="3"/>
    <n v="4"/>
    <n v="12"/>
    <x v="1"/>
    <x v="2"/>
    <d v="2023-03-23T00:00:00"/>
  </r>
  <r>
    <s v="TXN_7039529"/>
    <x v="2"/>
    <n v="3"/>
    <n v="1"/>
    <n v="3"/>
    <x v="3"/>
    <x v="1"/>
    <d v="2023-01-19T00:00:00"/>
  </r>
  <r>
    <s v="TXN_1452931"/>
    <x v="8"/>
    <n v="1"/>
    <n v="1.5"/>
    <n v="1.5"/>
    <x v="3"/>
    <x v="2"/>
    <d v="2023-07-08T00:00:00"/>
  </r>
  <r>
    <s v="TXN_5148201"/>
    <x v="4"/>
    <n v="5"/>
    <n v="4"/>
    <n v="20"/>
    <x v="2"/>
    <x v="2"/>
    <d v="2023-11-18T00:00:00"/>
  </r>
  <r>
    <s v="TXN_7322317"/>
    <x v="8"/>
    <n v="1"/>
    <n v="1.5"/>
    <n v="1.5"/>
    <x v="2"/>
    <x v="2"/>
    <d v="2023-03-16T00:00:00"/>
  </r>
  <r>
    <s v="TXN_4648214"/>
    <x v="3"/>
    <n v="1"/>
    <n v="5"/>
    <n v="5"/>
    <x v="2"/>
    <x v="2"/>
    <d v="2023-02-15T00:00:00"/>
  </r>
  <r>
    <s v="TXN_7902691"/>
    <x v="7"/>
    <n v="3"/>
    <n v="3"/>
    <n v="9"/>
    <x v="3"/>
    <x v="0"/>
    <d v="2023-10-13T00:00:00"/>
  </r>
  <r>
    <s v="TXN_4966750"/>
    <x v="2"/>
    <n v="3"/>
    <n v="1"/>
    <n v="3"/>
    <x v="3"/>
    <x v="1"/>
    <d v="2023-12-24T00:00:00"/>
  </r>
  <r>
    <s v="TXN_7740239"/>
    <x v="8"/>
    <n v="2"/>
    <n v="1.5"/>
    <n v="3"/>
    <x v="2"/>
    <x v="2"/>
    <d v="2023-01-26T00:00:00"/>
  </r>
  <r>
    <s v="TXN_6901162"/>
    <x v="5"/>
    <n v="3"/>
    <n v="4"/>
    <n v="12"/>
    <x v="3"/>
    <x v="1"/>
    <m/>
  </r>
  <r>
    <s v="TXN_3689579"/>
    <x v="5"/>
    <n v="2"/>
    <n v="4"/>
    <n v="8"/>
    <x v="3"/>
    <x v="0"/>
    <d v="2023-12-02T00:00:00"/>
  </r>
  <r>
    <s v="TXN_7770188"/>
    <x v="7"/>
    <n v="5"/>
    <n v="3"/>
    <n v="15"/>
    <x v="3"/>
    <x v="1"/>
    <d v="2023-10-28T00:00:00"/>
  </r>
  <r>
    <s v="TXN_5088167"/>
    <x v="0"/>
    <n v="5"/>
    <n v="2"/>
    <n v="10"/>
    <x v="0"/>
    <x v="2"/>
    <d v="2023-09-02T00:00:00"/>
  </r>
  <r>
    <s v="TXN_1865302"/>
    <x v="2"/>
    <n v="5"/>
    <n v="1"/>
    <n v="5"/>
    <x v="0"/>
    <x v="1"/>
    <d v="2023-08-16T00:00:00"/>
  </r>
  <r>
    <s v="TXN_4224423"/>
    <x v="7"/>
    <n v="3"/>
    <n v="3"/>
    <n v="9"/>
    <x v="1"/>
    <x v="0"/>
    <d v="2023-08-27T00:00:00"/>
  </r>
  <r>
    <s v="TXN_8269956"/>
    <x v="4"/>
    <n v="5"/>
    <n v="4"/>
    <n v="20"/>
    <x v="2"/>
    <x v="0"/>
    <d v="2023-08-02T00:00:00"/>
  </r>
  <r>
    <s v="TXN_9263959"/>
    <x v="2"/>
    <n v="5"/>
    <n v="1"/>
    <n v="5"/>
    <x v="1"/>
    <x v="2"/>
    <m/>
  </r>
  <r>
    <s v="TXN_3879052"/>
    <x v="0"/>
    <n v="3"/>
    <n v="2"/>
    <n v="6"/>
    <x v="0"/>
    <x v="2"/>
    <d v="2023-12-14T00:00:00"/>
  </r>
  <r>
    <s v="TXN_7340284"/>
    <x v="5"/>
    <n v="5"/>
    <n v="1"/>
    <n v="5"/>
    <x v="2"/>
    <x v="0"/>
    <d v="2023-09-05T00:00:00"/>
  </r>
  <r>
    <s v="TXN_9809696"/>
    <x v="4"/>
    <n v="1"/>
    <n v="4"/>
    <n v="4"/>
    <x v="2"/>
    <x v="0"/>
    <d v="2023-01-05T00:00:00"/>
  </r>
  <r>
    <s v="TXN_5719592"/>
    <x v="0"/>
    <n v="1"/>
    <n v="2"/>
    <n v="2"/>
    <x v="0"/>
    <x v="1"/>
    <d v="2023-08-07T00:00:00"/>
  </r>
  <r>
    <s v="TXN_6121301"/>
    <x v="4"/>
    <n v="5"/>
    <n v="4"/>
    <n v="20"/>
    <x v="3"/>
    <x v="0"/>
    <d v="2023-01-07T00:00:00"/>
  </r>
  <r>
    <s v="TXN_2097987"/>
    <x v="6"/>
    <n v="2"/>
    <n v="4"/>
    <n v="8"/>
    <x v="3"/>
    <x v="1"/>
    <m/>
  </r>
  <r>
    <s v="TXN_7514279"/>
    <x v="3"/>
    <n v="1"/>
    <n v="5"/>
    <n v="5"/>
    <x v="0"/>
    <x v="1"/>
    <d v="2023-02-04T00:00:00"/>
  </r>
  <r>
    <s v="TXN_5153408"/>
    <x v="4"/>
    <n v="1"/>
    <n v="4"/>
    <n v="4"/>
    <x v="0"/>
    <x v="0"/>
    <d v="2023-08-22T00:00:00"/>
  </r>
  <r>
    <s v="TXN_4678948"/>
    <x v="7"/>
    <n v="3"/>
    <n v="3"/>
    <n v="9"/>
    <x v="2"/>
    <x v="0"/>
    <d v="2023-07-02T00:00:00"/>
  </r>
  <r>
    <s v="TXN_8918253"/>
    <x v="5"/>
    <n v="3"/>
    <n v="4"/>
    <n v="12"/>
    <x v="3"/>
    <x v="2"/>
    <d v="2023-09-07T00:00:00"/>
  </r>
  <r>
    <s v="TXN_7292662"/>
    <x v="6"/>
    <n v="1"/>
    <n v="4"/>
    <n v="4"/>
    <x v="2"/>
    <x v="1"/>
    <m/>
  </r>
  <r>
    <s v="TXN_1209852"/>
    <x v="2"/>
    <n v="2"/>
    <n v="1"/>
    <n v="2"/>
    <x v="0"/>
    <x v="1"/>
    <d v="2023-11-18T00:00:00"/>
  </r>
  <r>
    <s v="TXN_4367311"/>
    <x v="0"/>
    <n v="5"/>
    <n v="2"/>
    <n v="10"/>
    <x v="2"/>
    <x v="1"/>
    <d v="2023-02-26T00:00:00"/>
  </r>
  <r>
    <s v="TXN_5985513"/>
    <x v="5"/>
    <n v="2"/>
    <n v="4"/>
    <n v="8"/>
    <x v="0"/>
    <x v="2"/>
    <d v="2023-08-02T00:00:00"/>
  </r>
  <r>
    <s v="TXN_2086325"/>
    <x v="0"/>
    <n v="2"/>
    <n v="2"/>
    <n v="4"/>
    <x v="0"/>
    <x v="2"/>
    <d v="2023-08-14T00:00:00"/>
  </r>
  <r>
    <s v="TXN_4062032"/>
    <x v="8"/>
    <n v="5"/>
    <n v="1.5"/>
    <n v="7.5"/>
    <x v="3"/>
    <x v="2"/>
    <d v="2023-10-28T00:00:00"/>
  </r>
  <r>
    <s v="TXN_4329558"/>
    <x v="5"/>
    <n v="4"/>
    <n v="2"/>
    <n v="8"/>
    <x v="2"/>
    <x v="2"/>
    <d v="2023-04-22T00:00:00"/>
  </r>
  <r>
    <s v="TXN_2029301"/>
    <x v="8"/>
    <n v="5"/>
    <n v="1.5"/>
    <n v="7.5"/>
    <x v="3"/>
    <x v="2"/>
    <d v="2023-08-06T00:00:00"/>
  </r>
  <r>
    <s v="TXN_4508067"/>
    <x v="4"/>
    <n v="5"/>
    <n v="4"/>
    <n v="20"/>
    <x v="0"/>
    <x v="0"/>
    <d v="2023-03-19T00:00:00"/>
  </r>
  <r>
    <s v="TXN_6637315"/>
    <x v="1"/>
    <n v="3"/>
    <n v="3"/>
    <n v="9"/>
    <x v="1"/>
    <x v="2"/>
    <d v="2023-12-02T00:00:00"/>
  </r>
  <r>
    <s v="TXN_3660347"/>
    <x v="4"/>
    <n v="5"/>
    <n v="4"/>
    <n v="20"/>
    <x v="2"/>
    <x v="1"/>
    <m/>
  </r>
  <r>
    <s v="TXN_4251500"/>
    <x v="2"/>
    <n v="4"/>
    <n v="1"/>
    <n v="4"/>
    <x v="3"/>
    <x v="0"/>
    <d v="2023-11-11T00:00:00"/>
  </r>
  <r>
    <s v="TXN_1516961"/>
    <x v="6"/>
    <n v="3"/>
    <n v="4"/>
    <n v="12"/>
    <x v="0"/>
    <x v="0"/>
    <d v="2023-11-01T00:00:00"/>
  </r>
  <r>
    <s v="TXN_5033660"/>
    <x v="0"/>
    <n v="2"/>
    <n v="2"/>
    <n v="4"/>
    <x v="2"/>
    <x v="2"/>
    <d v="2023-09-12T00:00:00"/>
  </r>
  <r>
    <s v="TXN_9506595"/>
    <x v="5"/>
    <n v="3"/>
    <n v="1.5"/>
    <n v="4.5"/>
    <x v="1"/>
    <x v="1"/>
    <d v="2023-07-10T00:00:00"/>
  </r>
  <r>
    <s v="TXN_6646684"/>
    <x v="2"/>
    <n v="3"/>
    <n v="1"/>
    <n v="3"/>
    <x v="1"/>
    <x v="2"/>
    <d v="2023-06-01T00:00:00"/>
  </r>
  <r>
    <s v="TXN_6866644"/>
    <x v="6"/>
    <n v="1"/>
    <n v="4"/>
    <n v="4"/>
    <x v="2"/>
    <x v="2"/>
    <d v="2023-07-22T00:00:00"/>
  </r>
  <r>
    <s v="TXN_7228322"/>
    <x v="2"/>
    <n v="1"/>
    <n v="1"/>
    <n v="1"/>
    <x v="0"/>
    <x v="2"/>
    <d v="2023-02-18T00:00:00"/>
  </r>
  <r>
    <s v="TXN_3595118"/>
    <x v="7"/>
    <n v="2"/>
    <n v="3"/>
    <n v="6"/>
    <x v="1"/>
    <x v="1"/>
    <d v="2023-02-03T00:00:00"/>
  </r>
  <r>
    <s v="TXN_4040941"/>
    <x v="2"/>
    <n v="1"/>
    <n v="1"/>
    <n v="1"/>
    <x v="1"/>
    <x v="1"/>
    <d v="2023-02-20T00:00:00"/>
  </r>
  <r>
    <s v="TXN_7753584"/>
    <x v="0"/>
    <n v="4"/>
    <n v="2"/>
    <n v="8"/>
    <x v="2"/>
    <x v="0"/>
    <m/>
  </r>
  <r>
    <s v="TXN_4738349"/>
    <x v="4"/>
    <n v="2"/>
    <n v="4"/>
    <n v="8"/>
    <x v="3"/>
    <x v="2"/>
    <d v="2023-02-06T00:00:00"/>
  </r>
  <r>
    <s v="TXN_9436284"/>
    <x v="0"/>
    <n v="3"/>
    <n v="2"/>
    <n v="6"/>
    <x v="0"/>
    <x v="2"/>
    <d v="2023-03-28T00:00:00"/>
  </r>
  <r>
    <s v="TXN_1221801"/>
    <x v="4"/>
    <n v="2"/>
    <n v="4"/>
    <n v="8"/>
    <x v="2"/>
    <x v="2"/>
    <d v="2023-06-17T00:00:00"/>
  </r>
  <r>
    <s v="TXN_3185929"/>
    <x v="3"/>
    <n v="3"/>
    <n v="5"/>
    <n v="15"/>
    <x v="2"/>
    <x v="0"/>
    <d v="2023-07-27T00:00:00"/>
  </r>
  <r>
    <s v="TXN_2332609"/>
    <x v="5"/>
    <n v="5"/>
    <n v="4"/>
    <n v="20"/>
    <x v="0"/>
    <x v="1"/>
    <d v="2023-05-17T00:00:00"/>
  </r>
  <r>
    <s v="TXN_4183705"/>
    <x v="8"/>
    <n v="2"/>
    <n v="1.5"/>
    <n v="3"/>
    <x v="0"/>
    <x v="1"/>
    <d v="2023-11-23T00:00:00"/>
  </r>
  <r>
    <s v="TXN_5459138"/>
    <x v="4"/>
    <n v="2"/>
    <n v="4"/>
    <n v="8"/>
    <x v="3"/>
    <x v="1"/>
    <m/>
  </r>
  <r>
    <s v="TXN_7435096"/>
    <x v="5"/>
    <n v="4"/>
    <n v="1.5"/>
    <n v="6"/>
    <x v="2"/>
    <x v="1"/>
    <d v="2023-10-21T00:00:00"/>
  </r>
  <r>
    <s v="TXN_2561471"/>
    <x v="6"/>
    <n v="1"/>
    <n v="4"/>
    <n v="4"/>
    <x v="2"/>
    <x v="1"/>
    <d v="2023-07-12T00:00:00"/>
  </r>
  <r>
    <s v="TXN_3098503"/>
    <x v="3"/>
    <n v="1"/>
    <n v="5"/>
    <n v="5"/>
    <x v="0"/>
    <x v="0"/>
    <d v="2023-05-31T00:00:00"/>
  </r>
  <r>
    <s v="TXN_1148060"/>
    <x v="2"/>
    <n v="5"/>
    <n v="1"/>
    <n v="5"/>
    <x v="1"/>
    <x v="2"/>
    <d v="2023-10-12T00:00:00"/>
  </r>
  <r>
    <s v="TXN_5151780"/>
    <x v="3"/>
    <n v="4"/>
    <n v="5"/>
    <n v="20"/>
    <x v="1"/>
    <x v="0"/>
    <d v="2023-06-24T00:00:00"/>
  </r>
  <r>
    <s v="TXN_3398955"/>
    <x v="2"/>
    <n v="3"/>
    <n v="1"/>
    <n v="3"/>
    <x v="1"/>
    <x v="2"/>
    <d v="2023-10-19T00:00:00"/>
  </r>
  <r>
    <s v="TXN_8140360"/>
    <x v="0"/>
    <n v="4"/>
    <n v="2"/>
    <n v="8"/>
    <x v="3"/>
    <x v="0"/>
    <d v="2023-05-05T00:00:00"/>
  </r>
  <r>
    <s v="TXN_4448318"/>
    <x v="0"/>
    <n v="4"/>
    <n v="2"/>
    <n v="8"/>
    <x v="3"/>
    <x v="2"/>
    <d v="2023-08-07T00:00:00"/>
  </r>
  <r>
    <s v="TXN_8341520"/>
    <x v="6"/>
    <n v="3"/>
    <n v="4"/>
    <n v="12"/>
    <x v="2"/>
    <x v="0"/>
    <d v="2023-06-24T00:00:00"/>
  </r>
  <r>
    <s v="TXN_9883214"/>
    <x v="7"/>
    <n v="3"/>
    <n v="3"/>
    <n v="9"/>
    <x v="2"/>
    <x v="2"/>
    <d v="2023-04-04T00:00:00"/>
  </r>
  <r>
    <s v="TXN_2912934"/>
    <x v="2"/>
    <n v="5"/>
    <n v="1"/>
    <n v="5"/>
    <x v="0"/>
    <x v="2"/>
    <d v="2023-04-01T00:00:00"/>
  </r>
  <r>
    <s v="TXN_7694996"/>
    <x v="3"/>
    <n v="4"/>
    <n v="5"/>
    <n v="20"/>
    <x v="2"/>
    <x v="1"/>
    <d v="2023-03-11T00:00:00"/>
  </r>
  <r>
    <s v="TXN_5660244"/>
    <x v="1"/>
    <n v="5"/>
    <n v="3"/>
    <n v="15"/>
    <x v="3"/>
    <x v="2"/>
    <d v="2023-10-04T00:00:00"/>
  </r>
  <r>
    <s v="TXN_7873479"/>
    <x v="2"/>
    <n v="1"/>
    <n v="1"/>
    <n v="1"/>
    <x v="0"/>
    <x v="0"/>
    <d v="2023-03-18T00:00:00"/>
  </r>
  <r>
    <s v="TXN_7771516"/>
    <x v="6"/>
    <n v="3"/>
    <n v="4"/>
    <n v="12"/>
    <x v="2"/>
    <x v="2"/>
    <d v="2023-05-26T00:00:00"/>
  </r>
  <r>
    <s v="TXN_1166001"/>
    <x v="5"/>
    <n v="5"/>
    <n v="3"/>
    <n v="15"/>
    <x v="1"/>
    <x v="2"/>
    <m/>
  </r>
  <r>
    <s v="TXN_6775304"/>
    <x v="8"/>
    <n v="4"/>
    <n v="1.5"/>
    <n v="6"/>
    <x v="1"/>
    <x v="1"/>
    <d v="2023-03-08T00:00:00"/>
  </r>
  <r>
    <s v="TXN_3801966"/>
    <x v="6"/>
    <n v="4"/>
    <n v="4"/>
    <n v="16"/>
    <x v="3"/>
    <x v="1"/>
    <d v="2023-01-14T00:00:00"/>
  </r>
  <r>
    <s v="TXN_2849095"/>
    <x v="5"/>
    <n v="3"/>
    <n v="2"/>
    <n v="6"/>
    <x v="3"/>
    <x v="1"/>
    <d v="2023-07-13T00:00:00"/>
  </r>
  <r>
    <s v="TXN_1749930"/>
    <x v="3"/>
    <n v="5"/>
    <n v="5"/>
    <n v="25"/>
    <x v="2"/>
    <x v="1"/>
    <d v="2023-07-01T00:00:00"/>
  </r>
  <r>
    <s v="TXN_2210925"/>
    <x v="7"/>
    <n v="4"/>
    <n v="3"/>
    <n v="12"/>
    <x v="1"/>
    <x v="1"/>
    <d v="2023-07-06T00:00:00"/>
  </r>
  <r>
    <s v="TXN_6810969"/>
    <x v="5"/>
    <n v="1"/>
    <n v="4"/>
    <n v="4"/>
    <x v="2"/>
    <x v="1"/>
    <d v="2023-03-08T00:00:00"/>
  </r>
  <r>
    <s v="TXN_2651789"/>
    <x v="2"/>
    <n v="1"/>
    <n v="1"/>
    <n v="1"/>
    <x v="2"/>
    <x v="0"/>
    <d v="2023-02-10T00:00:00"/>
  </r>
  <r>
    <s v="TXN_7750963"/>
    <x v="8"/>
    <n v="4"/>
    <n v="1.5"/>
    <n v="6"/>
    <x v="0"/>
    <x v="1"/>
    <d v="2023-06-09T00:00:00"/>
  </r>
  <r>
    <s v="TXN_8134280"/>
    <x v="2"/>
    <n v="1"/>
    <n v="1"/>
    <n v="1"/>
    <x v="3"/>
    <x v="0"/>
    <d v="2023-01-29T00:00:00"/>
  </r>
  <r>
    <s v="TXN_2231082"/>
    <x v="1"/>
    <n v="5"/>
    <n v="3"/>
    <n v="15"/>
    <x v="1"/>
    <x v="1"/>
    <d v="2023-05-03T00:00:00"/>
  </r>
  <r>
    <s v="TXN_2014042"/>
    <x v="2"/>
    <n v="4"/>
    <n v="1"/>
    <n v="4"/>
    <x v="3"/>
    <x v="0"/>
    <d v="2023-10-27T00:00:00"/>
  </r>
  <r>
    <s v="TXN_1132293"/>
    <x v="8"/>
    <n v="4"/>
    <n v="1.5"/>
    <n v="6"/>
    <x v="2"/>
    <x v="2"/>
    <d v="2023-07-05T00:00:00"/>
  </r>
  <r>
    <s v="TXN_3550177"/>
    <x v="3"/>
    <n v="5"/>
    <n v="5"/>
    <n v="25"/>
    <x v="1"/>
    <x v="2"/>
    <d v="2023-09-13T00:00:00"/>
  </r>
  <r>
    <s v="TXN_5326795"/>
    <x v="2"/>
    <n v="2"/>
    <n v="1"/>
    <n v="2"/>
    <x v="2"/>
    <x v="2"/>
    <d v="2023-04-05T00:00:00"/>
  </r>
  <r>
    <s v="TXN_1993503"/>
    <x v="2"/>
    <n v="4"/>
    <n v="1"/>
    <n v="4"/>
    <x v="0"/>
    <x v="2"/>
    <d v="2023-08-16T00:00:00"/>
  </r>
  <r>
    <s v="TXN_4097922"/>
    <x v="3"/>
    <n v="3"/>
    <n v="5"/>
    <n v="15"/>
    <x v="1"/>
    <x v="2"/>
    <d v="2023-01-16T00:00:00"/>
  </r>
  <r>
    <s v="TXN_2317041"/>
    <x v="8"/>
    <n v="3"/>
    <n v="1.5"/>
    <n v="4.5"/>
    <x v="1"/>
    <x v="1"/>
    <d v="2023-01-15T00:00:00"/>
  </r>
  <r>
    <s v="TXN_4648031"/>
    <x v="8"/>
    <n v="4"/>
    <n v="1.5"/>
    <n v="6"/>
    <x v="3"/>
    <x v="2"/>
    <d v="2023-09-04T00:00:00"/>
  </r>
  <r>
    <s v="TXN_4942960"/>
    <x v="7"/>
    <n v="1"/>
    <n v="3"/>
    <n v="3"/>
    <x v="2"/>
    <x v="0"/>
    <d v="2023-04-12T00:00:00"/>
  </r>
  <r>
    <s v="TXN_8740501"/>
    <x v="3"/>
    <n v="5"/>
    <n v="5"/>
    <n v="25"/>
    <x v="2"/>
    <x v="2"/>
    <d v="2023-02-05T00:00:00"/>
  </r>
  <r>
    <s v="TXN_4523273"/>
    <x v="1"/>
    <n v="4"/>
    <n v="3"/>
    <n v="12"/>
    <x v="3"/>
    <x v="2"/>
    <d v="2023-10-17T00:00:00"/>
  </r>
  <r>
    <s v="TXN_7276478"/>
    <x v="6"/>
    <n v="5"/>
    <n v="4"/>
    <n v="20"/>
    <x v="1"/>
    <x v="0"/>
    <d v="2023-09-07T00:00:00"/>
  </r>
  <r>
    <s v="TXN_6036240"/>
    <x v="1"/>
    <n v="4"/>
    <n v="3"/>
    <n v="12"/>
    <x v="0"/>
    <x v="1"/>
    <d v="2023-10-30T00:00:00"/>
  </r>
  <r>
    <s v="TXN_1449866"/>
    <x v="3"/>
    <n v="4"/>
    <n v="5"/>
    <n v="20"/>
    <x v="1"/>
    <x v="2"/>
    <d v="2023-09-21T00:00:00"/>
  </r>
  <r>
    <s v="TXN_2882871"/>
    <x v="3"/>
    <n v="3"/>
    <n v="5"/>
    <n v="15"/>
    <x v="0"/>
    <x v="0"/>
    <d v="2023-08-30T00:00:00"/>
  </r>
  <r>
    <s v="TXN_1047450"/>
    <x v="0"/>
    <n v="2"/>
    <n v="2"/>
    <n v="4"/>
    <x v="1"/>
    <x v="1"/>
    <d v="2023-11-19T00:00:00"/>
  </r>
  <r>
    <s v="TXN_9673685"/>
    <x v="3"/>
    <n v="1"/>
    <n v="5"/>
    <n v="5"/>
    <x v="1"/>
    <x v="1"/>
    <d v="2023-12-11T00:00:00"/>
  </r>
  <r>
    <s v="TXN_3547569"/>
    <x v="4"/>
    <n v="4"/>
    <n v="4"/>
    <n v="16"/>
    <x v="3"/>
    <x v="1"/>
    <d v="2023-08-04T00:00:00"/>
  </r>
  <r>
    <s v="TXN_2866587"/>
    <x v="6"/>
    <n v="3"/>
    <n v="4"/>
    <n v="12"/>
    <x v="0"/>
    <x v="2"/>
    <d v="2023-09-16T00:00:00"/>
  </r>
  <r>
    <s v="TXN_1629218"/>
    <x v="0"/>
    <n v="3"/>
    <n v="2"/>
    <n v="6"/>
    <x v="3"/>
    <x v="2"/>
    <d v="2023-06-27T00:00:00"/>
  </r>
  <r>
    <s v="TXN_2964982"/>
    <x v="6"/>
    <n v="1"/>
    <n v="4"/>
    <n v="4"/>
    <x v="3"/>
    <x v="1"/>
    <d v="2023-04-15T00:00:00"/>
  </r>
  <r>
    <s v="TXN_5974791"/>
    <x v="2"/>
    <n v="2"/>
    <n v="1"/>
    <n v="2"/>
    <x v="1"/>
    <x v="2"/>
    <d v="2023-10-22T00:00:00"/>
  </r>
  <r>
    <s v="TXN_1005472"/>
    <x v="0"/>
    <n v="4"/>
    <n v="2"/>
    <n v="8"/>
    <x v="0"/>
    <x v="2"/>
    <d v="2023-04-21T00:00:00"/>
  </r>
  <r>
    <s v="TXN_7202898"/>
    <x v="2"/>
    <n v="4"/>
    <n v="1"/>
    <n v="4"/>
    <x v="2"/>
    <x v="2"/>
    <d v="2023-07-18T00:00:00"/>
  </r>
  <r>
    <s v="TXN_4511996"/>
    <x v="5"/>
    <n v="3"/>
    <n v="3"/>
    <n v="9"/>
    <x v="3"/>
    <x v="2"/>
    <d v="2023-09-18T00:00:00"/>
  </r>
  <r>
    <s v="TXN_9896694"/>
    <x v="6"/>
    <n v="4"/>
    <n v="4"/>
    <n v="16"/>
    <x v="1"/>
    <x v="2"/>
    <d v="2023-02-16T00:00:00"/>
  </r>
  <r>
    <s v="TXN_9881555"/>
    <x v="5"/>
    <n v="5"/>
    <n v="3"/>
    <n v="15"/>
    <x v="1"/>
    <x v="1"/>
    <d v="2023-04-09T00:00:00"/>
  </r>
  <r>
    <s v="TXN_9853220"/>
    <x v="2"/>
    <n v="5"/>
    <n v="1"/>
    <n v="5"/>
    <x v="0"/>
    <x v="1"/>
    <d v="2023-04-02T00:00:00"/>
  </r>
  <r>
    <s v="TXN_2354774"/>
    <x v="0"/>
    <n v="5"/>
    <n v="2"/>
    <n v="10"/>
    <x v="2"/>
    <x v="1"/>
    <m/>
  </r>
  <r>
    <s v="TXN_5723229"/>
    <x v="7"/>
    <n v="5"/>
    <n v="3"/>
    <n v="15"/>
    <x v="3"/>
    <x v="0"/>
    <d v="2023-06-23T00:00:00"/>
  </r>
  <r>
    <s v="TXN_1065721"/>
    <x v="6"/>
    <n v="4"/>
    <n v="4"/>
    <n v="16"/>
    <x v="1"/>
    <x v="0"/>
    <d v="2023-12-06T00:00:00"/>
  </r>
  <r>
    <s v="TXN_4921791"/>
    <x v="3"/>
    <n v="4"/>
    <n v="5"/>
    <n v="20"/>
    <x v="0"/>
    <x v="2"/>
    <m/>
  </r>
  <r>
    <s v="TXN_3692789"/>
    <x v="6"/>
    <n v="2"/>
    <n v="4"/>
    <n v="8"/>
    <x v="0"/>
    <x v="2"/>
    <m/>
  </r>
  <r>
    <s v="TXN_8155446"/>
    <x v="3"/>
    <n v="3"/>
    <n v="5"/>
    <n v="15"/>
    <x v="3"/>
    <x v="0"/>
    <d v="2023-12-20T00:00:00"/>
  </r>
  <r>
    <s v="TXN_2253852"/>
    <x v="2"/>
    <n v="2"/>
    <n v="1"/>
    <n v="2"/>
    <x v="0"/>
    <x v="0"/>
    <d v="2023-08-26T00:00:00"/>
  </r>
  <r>
    <s v="TXN_2810187"/>
    <x v="0"/>
    <n v="4"/>
    <n v="2"/>
    <n v="8"/>
    <x v="2"/>
    <x v="1"/>
    <d v="2023-10-17T00:00:00"/>
  </r>
  <r>
    <s v="TXN_4962500"/>
    <x v="7"/>
    <n v="5"/>
    <n v="3"/>
    <n v="15"/>
    <x v="2"/>
    <x v="0"/>
    <m/>
  </r>
  <r>
    <s v="TXN_6994752"/>
    <x v="7"/>
    <n v="4"/>
    <n v="3"/>
    <n v="12"/>
    <x v="1"/>
    <x v="0"/>
    <d v="2023-06-17T00:00:00"/>
  </r>
  <r>
    <s v="TXN_7598654"/>
    <x v="0"/>
    <n v="3"/>
    <n v="2"/>
    <n v="6"/>
    <x v="0"/>
    <x v="2"/>
    <d v="2023-11-26T00:00:00"/>
  </r>
  <r>
    <s v="TXN_8039560"/>
    <x v="5"/>
    <n v="5"/>
    <n v="2"/>
    <n v="10"/>
    <x v="3"/>
    <x v="2"/>
    <d v="2023-03-29T00:00:00"/>
  </r>
  <r>
    <s v="TXN_6785331"/>
    <x v="1"/>
    <n v="1"/>
    <n v="3"/>
    <n v="3"/>
    <x v="2"/>
    <x v="2"/>
    <d v="2023-04-12T00:00:00"/>
  </r>
  <r>
    <s v="TXN_8260297"/>
    <x v="3"/>
    <n v="2"/>
    <n v="5"/>
    <n v="10"/>
    <x v="1"/>
    <x v="1"/>
    <d v="2023-07-04T00:00:00"/>
  </r>
  <r>
    <s v="TXN_7152012"/>
    <x v="6"/>
    <n v="3"/>
    <n v="4"/>
    <n v="12"/>
    <x v="3"/>
    <x v="1"/>
    <d v="2023-04-02T00:00:00"/>
  </r>
  <r>
    <s v="TXN_7907366"/>
    <x v="0"/>
    <n v="4"/>
    <n v="2"/>
    <n v="8"/>
    <x v="3"/>
    <x v="2"/>
    <d v="2023-01-13T00:00:00"/>
  </r>
  <r>
    <s v="TXN_3830888"/>
    <x v="0"/>
    <n v="4"/>
    <n v="2"/>
    <n v="8"/>
    <x v="2"/>
    <x v="1"/>
    <d v="2023-02-20T00:00:00"/>
  </r>
  <r>
    <s v="TXN_1565027"/>
    <x v="5"/>
    <n v="3"/>
    <n v="1.5"/>
    <n v="4.5"/>
    <x v="2"/>
    <x v="2"/>
    <d v="2023-03-16T00:00:00"/>
  </r>
  <r>
    <s v="TXN_5618377"/>
    <x v="6"/>
    <n v="2"/>
    <n v="4"/>
    <n v="8"/>
    <x v="2"/>
    <x v="1"/>
    <d v="2023-04-02T00:00:00"/>
  </r>
  <r>
    <s v="TXN_3645674"/>
    <x v="8"/>
    <n v="4"/>
    <n v="1.5"/>
    <n v="6"/>
    <x v="1"/>
    <x v="0"/>
    <d v="2023-07-18T00:00:00"/>
  </r>
  <r>
    <s v="TXN_2464236"/>
    <x v="2"/>
    <n v="5"/>
    <n v="1"/>
    <n v="5"/>
    <x v="3"/>
    <x v="2"/>
    <d v="2023-04-02T00:00:00"/>
  </r>
  <r>
    <s v="TXN_4543793"/>
    <x v="6"/>
    <n v="2"/>
    <n v="4"/>
    <n v="8"/>
    <x v="1"/>
    <x v="1"/>
    <d v="2023-10-12T00:00:00"/>
  </r>
  <r>
    <s v="TXN_5745921"/>
    <x v="6"/>
    <n v="2"/>
    <n v="4"/>
    <n v="8"/>
    <x v="2"/>
    <x v="1"/>
    <d v="2023-03-01T00:00:00"/>
  </r>
  <r>
    <s v="TXN_7229419"/>
    <x v="3"/>
    <n v="2"/>
    <n v="5"/>
    <n v="10"/>
    <x v="2"/>
    <x v="0"/>
    <d v="2023-05-15T00:00:00"/>
  </r>
  <r>
    <s v="TXN_9247075"/>
    <x v="3"/>
    <n v="3"/>
    <n v="5"/>
    <n v="15"/>
    <x v="2"/>
    <x v="1"/>
    <d v="2023-07-05T00:00:00"/>
  </r>
  <r>
    <s v="TXN_6960459"/>
    <x v="0"/>
    <n v="1"/>
    <n v="2"/>
    <n v="2"/>
    <x v="0"/>
    <x v="1"/>
    <d v="2023-07-24T00:00:00"/>
  </r>
  <r>
    <s v="TXN_4679083"/>
    <x v="1"/>
    <n v="5"/>
    <n v="3"/>
    <n v="15"/>
    <x v="2"/>
    <x v="0"/>
    <d v="2023-12-25T00:00:00"/>
  </r>
  <r>
    <s v="TXN_3313534"/>
    <x v="2"/>
    <n v="2"/>
    <n v="1"/>
    <n v="2"/>
    <x v="3"/>
    <x v="1"/>
    <d v="2023-01-05T00:00:00"/>
  </r>
  <r>
    <s v="TXN_4969431"/>
    <x v="3"/>
    <n v="4"/>
    <n v="5"/>
    <n v="20"/>
    <x v="0"/>
    <x v="0"/>
    <d v="2023-04-11T00:00:00"/>
  </r>
  <r>
    <s v="TXN_2977905"/>
    <x v="4"/>
    <n v="3"/>
    <n v="4"/>
    <n v="12"/>
    <x v="2"/>
    <x v="2"/>
    <d v="2023-06-23T00:00:00"/>
  </r>
  <r>
    <s v="TXN_5341204"/>
    <x v="0"/>
    <n v="1"/>
    <n v="2"/>
    <n v="2"/>
    <x v="2"/>
    <x v="2"/>
    <d v="2023-07-24T00:00:00"/>
  </r>
  <r>
    <s v="TXN_2147706"/>
    <x v="7"/>
    <n v="5"/>
    <n v="3"/>
    <n v="15"/>
    <x v="2"/>
    <x v="2"/>
    <d v="2023-03-23T00:00:00"/>
  </r>
  <r>
    <s v="TXN_3663592"/>
    <x v="4"/>
    <n v="2"/>
    <n v="4"/>
    <n v="8"/>
    <x v="2"/>
    <x v="0"/>
    <d v="2023-08-26T00:00:00"/>
  </r>
  <r>
    <s v="TXN_4459351"/>
    <x v="4"/>
    <n v="5"/>
    <n v="4"/>
    <n v="20"/>
    <x v="0"/>
    <x v="2"/>
    <d v="2023-12-08T00:00:00"/>
  </r>
  <r>
    <s v="TXN_2976052"/>
    <x v="2"/>
    <n v="5"/>
    <n v="1"/>
    <n v="5"/>
    <x v="2"/>
    <x v="0"/>
    <d v="2023-11-01T00:00:00"/>
  </r>
  <r>
    <s v="TXN_1373048"/>
    <x v="3"/>
    <n v="5"/>
    <n v="5"/>
    <n v="25"/>
    <x v="2"/>
    <x v="1"/>
    <d v="2023-08-31T00:00:00"/>
  </r>
  <r>
    <s v="TXN_2575331"/>
    <x v="2"/>
    <n v="5"/>
    <n v="1"/>
    <n v="5"/>
    <x v="1"/>
    <x v="1"/>
    <d v="2023-03-20T00:00:00"/>
  </r>
  <r>
    <s v="TXN_4764236"/>
    <x v="7"/>
    <n v="1"/>
    <n v="3"/>
    <n v="3"/>
    <x v="3"/>
    <x v="2"/>
    <d v="2023-05-29T00:00:00"/>
  </r>
  <r>
    <s v="TXN_3544380"/>
    <x v="7"/>
    <n v="1"/>
    <n v="3"/>
    <n v="3"/>
    <x v="0"/>
    <x v="1"/>
    <d v="2023-09-13T00:00:00"/>
  </r>
  <r>
    <s v="TXN_2104473"/>
    <x v="1"/>
    <n v="3"/>
    <n v="3"/>
    <n v="9"/>
    <x v="3"/>
    <x v="0"/>
    <d v="2023-01-01T00:00:00"/>
  </r>
  <r>
    <s v="TXN_3819405"/>
    <x v="7"/>
    <n v="4"/>
    <n v="3"/>
    <n v="12"/>
    <x v="3"/>
    <x v="1"/>
    <d v="2023-02-16T00:00:00"/>
  </r>
  <r>
    <s v="TXN_3512665"/>
    <x v="3"/>
    <n v="5"/>
    <n v="5"/>
    <n v="25"/>
    <x v="0"/>
    <x v="2"/>
    <d v="2023-10-16T00:00:00"/>
  </r>
  <r>
    <s v="TXN_1696813"/>
    <x v="2"/>
    <n v="3"/>
    <n v="1"/>
    <n v="3"/>
    <x v="1"/>
    <x v="1"/>
    <d v="2023-04-02T00:00:00"/>
  </r>
  <r>
    <s v="TXN_4631228"/>
    <x v="5"/>
    <n v="1"/>
    <n v="3"/>
    <n v="3"/>
    <x v="3"/>
    <x v="2"/>
    <d v="2023-10-07T00:00:00"/>
  </r>
  <r>
    <s v="TXN_2084232"/>
    <x v="5"/>
    <n v="4"/>
    <n v="1.5"/>
    <n v="6"/>
    <x v="3"/>
    <x v="0"/>
    <d v="2023-10-11T00:00:00"/>
  </r>
  <r>
    <s v="TXN_5399303"/>
    <x v="0"/>
    <n v="2"/>
    <n v="2"/>
    <n v="4"/>
    <x v="2"/>
    <x v="2"/>
    <d v="2023-11-02T00:00:00"/>
  </r>
  <r>
    <s v="TXN_1251960"/>
    <x v="6"/>
    <n v="5"/>
    <n v="4"/>
    <n v="20"/>
    <x v="3"/>
    <x v="0"/>
    <d v="2023-11-20T00:00:00"/>
  </r>
  <r>
    <s v="TXN_1984774"/>
    <x v="8"/>
    <n v="3"/>
    <n v="1.5"/>
    <n v="4.5"/>
    <x v="1"/>
    <x v="0"/>
    <d v="2023-11-13T00:00:00"/>
  </r>
  <r>
    <s v="TXN_9886794"/>
    <x v="1"/>
    <n v="1"/>
    <n v="3"/>
    <n v="3"/>
    <x v="1"/>
    <x v="2"/>
    <d v="2023-06-06T00:00:00"/>
  </r>
  <r>
    <s v="TXN_3821298"/>
    <x v="5"/>
    <n v="5"/>
    <n v="4"/>
    <n v="20"/>
    <x v="0"/>
    <x v="2"/>
    <d v="2023-04-26T00:00:00"/>
  </r>
  <r>
    <s v="TXN_1057760"/>
    <x v="7"/>
    <n v="4"/>
    <n v="3"/>
    <n v="12"/>
    <x v="0"/>
    <x v="0"/>
    <d v="2023-02-20T00:00:00"/>
  </r>
  <r>
    <s v="TXN_2294778"/>
    <x v="2"/>
    <n v="3"/>
    <n v="1"/>
    <n v="3"/>
    <x v="3"/>
    <x v="2"/>
    <d v="2023-05-29T00:00:00"/>
  </r>
  <r>
    <s v="TXN_6091431"/>
    <x v="8"/>
    <n v="3"/>
    <n v="1.5"/>
    <n v="4.5"/>
    <x v="0"/>
    <x v="2"/>
    <d v="2023-11-16T00:00:00"/>
  </r>
  <r>
    <s v="TXN_1728644"/>
    <x v="0"/>
    <n v="1"/>
    <n v="2"/>
    <n v="2"/>
    <x v="1"/>
    <x v="0"/>
    <d v="2023-04-07T00:00:00"/>
  </r>
  <r>
    <s v="TXN_6993624"/>
    <x v="1"/>
    <n v="4"/>
    <n v="3"/>
    <n v="12"/>
    <x v="1"/>
    <x v="2"/>
    <d v="2023-05-09T00:00:00"/>
  </r>
  <r>
    <s v="TXN_4003831"/>
    <x v="2"/>
    <n v="1"/>
    <n v="1"/>
    <n v="1"/>
    <x v="0"/>
    <x v="2"/>
    <m/>
  </r>
  <r>
    <s v="TXN_9018366"/>
    <x v="7"/>
    <n v="5"/>
    <n v="3"/>
    <n v="15"/>
    <x v="1"/>
    <x v="2"/>
    <d v="2023-03-31T00:00:00"/>
  </r>
  <r>
    <s v="TXN_7708810"/>
    <x v="4"/>
    <n v="1"/>
    <n v="4"/>
    <n v="4"/>
    <x v="1"/>
    <x v="2"/>
    <d v="2023-06-09T00:00:00"/>
  </r>
  <r>
    <s v="TXN_8726874"/>
    <x v="6"/>
    <n v="2"/>
    <n v="4"/>
    <n v="8"/>
    <x v="2"/>
    <x v="0"/>
    <d v="2023-09-30T00:00:00"/>
  </r>
  <r>
    <s v="TXN_4190431"/>
    <x v="8"/>
    <n v="3"/>
    <n v="1.5"/>
    <n v="4.5"/>
    <x v="3"/>
    <x v="2"/>
    <d v="2023-09-23T00:00:00"/>
  </r>
  <r>
    <s v="TXN_5201123"/>
    <x v="3"/>
    <n v="2"/>
    <n v="5"/>
    <n v="10"/>
    <x v="3"/>
    <x v="0"/>
    <d v="2023-07-12T00:00:00"/>
  </r>
  <r>
    <s v="TXN_6172528"/>
    <x v="4"/>
    <n v="3"/>
    <n v="4"/>
    <n v="12"/>
    <x v="0"/>
    <x v="1"/>
    <d v="2023-05-18T00:00:00"/>
  </r>
  <r>
    <s v="TXN_1193551"/>
    <x v="2"/>
    <n v="1"/>
    <n v="1"/>
    <n v="1"/>
    <x v="2"/>
    <x v="0"/>
    <d v="2023-01-07T00:00:00"/>
  </r>
  <r>
    <s v="TXN_9877722"/>
    <x v="6"/>
    <n v="5"/>
    <n v="4"/>
    <n v="20"/>
    <x v="3"/>
    <x v="1"/>
    <m/>
  </r>
  <r>
    <s v="TXN_2702861"/>
    <x v="2"/>
    <n v="4"/>
    <n v="1"/>
    <n v="4"/>
    <x v="3"/>
    <x v="0"/>
    <d v="2023-06-02T00:00:00"/>
  </r>
  <r>
    <s v="TXN_4255580"/>
    <x v="5"/>
    <n v="1"/>
    <n v="3"/>
    <n v="3"/>
    <x v="1"/>
    <x v="2"/>
    <m/>
  </r>
  <r>
    <s v="TXN_1256851"/>
    <x v="6"/>
    <n v="4"/>
    <n v="4"/>
    <n v="16"/>
    <x v="2"/>
    <x v="1"/>
    <d v="2023-07-29T00:00:00"/>
  </r>
  <r>
    <s v="TXN_4146795"/>
    <x v="8"/>
    <n v="5"/>
    <n v="1.5"/>
    <n v="7.5"/>
    <x v="1"/>
    <x v="1"/>
    <d v="2023-10-29T00:00:00"/>
  </r>
  <r>
    <s v="TXN_2203873"/>
    <x v="8"/>
    <n v="3"/>
    <n v="1.5"/>
    <n v="4.5"/>
    <x v="3"/>
    <x v="2"/>
    <d v="2023-01-26T00:00:00"/>
  </r>
  <r>
    <s v="TXN_5018462"/>
    <x v="4"/>
    <n v="5"/>
    <n v="4"/>
    <n v="20"/>
    <x v="1"/>
    <x v="1"/>
    <d v="2023-11-28T00:00:00"/>
  </r>
  <r>
    <s v="TXN_6133971"/>
    <x v="4"/>
    <n v="5"/>
    <n v="4"/>
    <n v="20"/>
    <x v="0"/>
    <x v="2"/>
    <d v="2023-04-18T00:00:00"/>
  </r>
  <r>
    <s v="TXN_1417400"/>
    <x v="2"/>
    <n v="2"/>
    <n v="1"/>
    <n v="2"/>
    <x v="1"/>
    <x v="1"/>
    <d v="2023-03-20T00:00:00"/>
  </r>
  <r>
    <s v="TXN_4239859"/>
    <x v="7"/>
    <n v="1"/>
    <n v="3"/>
    <n v="3"/>
    <x v="2"/>
    <x v="2"/>
    <d v="2023-02-03T00:00:00"/>
  </r>
  <r>
    <s v="TXN_5369010"/>
    <x v="5"/>
    <n v="4"/>
    <n v="5"/>
    <n v="20"/>
    <x v="1"/>
    <x v="0"/>
    <d v="2023-04-23T00:00:00"/>
  </r>
  <r>
    <s v="TXN_4877436"/>
    <x v="7"/>
    <n v="4"/>
    <n v="3"/>
    <n v="12"/>
    <x v="2"/>
    <x v="2"/>
    <d v="2023-10-08T00:00:00"/>
  </r>
  <r>
    <s v="TXN_9697670"/>
    <x v="5"/>
    <n v="3"/>
    <n v="3"/>
    <n v="9"/>
    <x v="1"/>
    <x v="0"/>
    <d v="2023-12-29T00:00:00"/>
  </r>
  <r>
    <s v="TXN_8643596"/>
    <x v="0"/>
    <n v="5"/>
    <n v="2"/>
    <n v="10"/>
    <x v="0"/>
    <x v="2"/>
    <d v="2023-03-29T00:00:00"/>
  </r>
  <r>
    <s v="TXN_1654784"/>
    <x v="2"/>
    <n v="5"/>
    <n v="1"/>
    <n v="5"/>
    <x v="2"/>
    <x v="1"/>
    <d v="2023-12-31T00:00:00"/>
  </r>
  <r>
    <s v="TXN_4422898"/>
    <x v="3"/>
    <n v="2"/>
    <n v="5"/>
    <n v="10"/>
    <x v="0"/>
    <x v="1"/>
    <d v="2023-04-20T00:00:00"/>
  </r>
  <r>
    <s v="TXN_4175191"/>
    <x v="6"/>
    <n v="2"/>
    <n v="4"/>
    <n v="8"/>
    <x v="1"/>
    <x v="2"/>
    <d v="2023-11-20T00:00:00"/>
  </r>
  <r>
    <s v="TXN_3196388"/>
    <x v="3"/>
    <n v="3"/>
    <n v="5"/>
    <n v="15"/>
    <x v="1"/>
    <x v="1"/>
    <d v="2023-03-04T00:00:00"/>
  </r>
  <r>
    <s v="TXN_6960031"/>
    <x v="6"/>
    <n v="5"/>
    <n v="4"/>
    <n v="20"/>
    <x v="3"/>
    <x v="0"/>
    <d v="2023-04-25T00:00:00"/>
  </r>
  <r>
    <s v="TXN_8963106"/>
    <x v="0"/>
    <n v="5"/>
    <n v="2"/>
    <n v="10"/>
    <x v="1"/>
    <x v="1"/>
    <d v="2023-04-01T00:00:00"/>
  </r>
  <r>
    <s v="TXN_7167980"/>
    <x v="4"/>
    <n v="3"/>
    <n v="4"/>
    <n v="12"/>
    <x v="2"/>
    <x v="2"/>
    <d v="2023-10-05T00:00:00"/>
  </r>
  <r>
    <s v="TXN_8732716"/>
    <x v="8"/>
    <n v="3"/>
    <n v="1.5"/>
    <n v="4.5"/>
    <x v="2"/>
    <x v="2"/>
    <d v="2023-12-29T00:00:00"/>
  </r>
  <r>
    <s v="TXN_3530118"/>
    <x v="1"/>
    <n v="5"/>
    <n v="3"/>
    <n v="15"/>
    <x v="3"/>
    <x v="2"/>
    <d v="2023-11-14T00:00:00"/>
  </r>
  <r>
    <s v="TXN_7875743"/>
    <x v="1"/>
    <n v="5"/>
    <n v="3"/>
    <n v="15"/>
    <x v="1"/>
    <x v="0"/>
    <d v="2023-04-17T00:00:00"/>
  </r>
  <r>
    <s v="TXN_1526920"/>
    <x v="6"/>
    <n v="5"/>
    <n v="4"/>
    <n v="20"/>
    <x v="3"/>
    <x v="0"/>
    <m/>
  </r>
  <r>
    <s v="TXN_1933315"/>
    <x v="7"/>
    <n v="2"/>
    <n v="3"/>
    <n v="6"/>
    <x v="3"/>
    <x v="1"/>
    <d v="2023-09-29T00:00:00"/>
  </r>
  <r>
    <s v="TXN_5674503"/>
    <x v="1"/>
    <n v="3"/>
    <n v="3"/>
    <n v="9"/>
    <x v="2"/>
    <x v="0"/>
    <d v="2023-12-14T00:00:00"/>
  </r>
  <r>
    <s v="TXN_5252187"/>
    <x v="6"/>
    <n v="1"/>
    <n v="4"/>
    <n v="4"/>
    <x v="1"/>
    <x v="2"/>
    <d v="2023-01-20T00:00:00"/>
  </r>
  <r>
    <s v="TXN_4668931"/>
    <x v="7"/>
    <n v="3"/>
    <n v="3"/>
    <n v="9"/>
    <x v="1"/>
    <x v="1"/>
    <d v="2023-07-09T00:00:00"/>
  </r>
  <r>
    <s v="TXN_2504703"/>
    <x v="4"/>
    <n v="5"/>
    <n v="4"/>
    <n v="20"/>
    <x v="3"/>
    <x v="0"/>
    <d v="2023-01-09T00:00:00"/>
  </r>
  <r>
    <s v="TXN_3113428"/>
    <x v="7"/>
    <n v="2"/>
    <n v="3"/>
    <n v="6"/>
    <x v="1"/>
    <x v="1"/>
    <d v="2023-10-30T00:00:00"/>
  </r>
  <r>
    <s v="TXN_9663941"/>
    <x v="7"/>
    <n v="4"/>
    <n v="3"/>
    <n v="12"/>
    <x v="1"/>
    <x v="1"/>
    <m/>
  </r>
  <r>
    <s v="TXN_7595115"/>
    <x v="6"/>
    <n v="2"/>
    <n v="4"/>
    <n v="8"/>
    <x v="2"/>
    <x v="0"/>
    <d v="2023-04-17T00:00:00"/>
  </r>
  <r>
    <s v="TXN_9034955"/>
    <x v="2"/>
    <n v="1"/>
    <n v="1"/>
    <n v="1"/>
    <x v="0"/>
    <x v="1"/>
    <d v="2023-09-07T00:00:00"/>
  </r>
  <r>
    <s v="TXN_7856009"/>
    <x v="1"/>
    <n v="2"/>
    <n v="3"/>
    <n v="6"/>
    <x v="2"/>
    <x v="2"/>
    <d v="2023-05-27T00:00:00"/>
  </r>
  <r>
    <s v="TXN_2375919"/>
    <x v="6"/>
    <n v="3"/>
    <n v="4"/>
    <n v="12"/>
    <x v="2"/>
    <x v="2"/>
    <d v="2023-11-23T00:00:00"/>
  </r>
  <r>
    <s v="TXN_9344399"/>
    <x v="2"/>
    <n v="2"/>
    <n v="1"/>
    <n v="2"/>
    <x v="2"/>
    <x v="2"/>
    <d v="2023-12-04T00:00:00"/>
  </r>
  <r>
    <s v="TXN_1091243"/>
    <x v="6"/>
    <n v="2"/>
    <n v="4"/>
    <n v="8"/>
    <x v="2"/>
    <x v="1"/>
    <d v="2023-01-06T00:00:00"/>
  </r>
  <r>
    <s v="TXN_8800741"/>
    <x v="0"/>
    <n v="4"/>
    <n v="2"/>
    <n v="8"/>
    <x v="2"/>
    <x v="2"/>
    <d v="2023-06-26T00:00:00"/>
  </r>
  <r>
    <s v="TXN_3546303"/>
    <x v="8"/>
    <n v="2"/>
    <n v="1.5"/>
    <n v="3"/>
    <x v="3"/>
    <x v="0"/>
    <d v="2023-09-11T00:00:00"/>
  </r>
  <r>
    <s v="TXN_7595096"/>
    <x v="7"/>
    <n v="1"/>
    <n v="3"/>
    <n v="3"/>
    <x v="2"/>
    <x v="2"/>
    <d v="2023-11-02T00:00:00"/>
  </r>
  <r>
    <s v="TXN_4788849"/>
    <x v="2"/>
    <n v="1"/>
    <n v="1"/>
    <n v="1"/>
    <x v="2"/>
    <x v="0"/>
    <d v="2023-03-13T00:00:00"/>
  </r>
  <r>
    <s v="TXN_7838802"/>
    <x v="2"/>
    <n v="2"/>
    <n v="1"/>
    <n v="2"/>
    <x v="0"/>
    <x v="0"/>
    <d v="2023-11-20T00:00:00"/>
  </r>
  <r>
    <s v="TXN_6736326"/>
    <x v="3"/>
    <n v="2"/>
    <n v="5"/>
    <n v="10"/>
    <x v="0"/>
    <x v="1"/>
    <d v="2023-04-14T00:00:00"/>
  </r>
  <r>
    <s v="TXN_2536021"/>
    <x v="2"/>
    <n v="5"/>
    <n v="1"/>
    <n v="5"/>
    <x v="2"/>
    <x v="0"/>
    <d v="2023-10-02T00:00:00"/>
  </r>
  <r>
    <s v="TXN_2065683"/>
    <x v="5"/>
    <n v="3"/>
    <n v="2"/>
    <n v="6"/>
    <x v="2"/>
    <x v="2"/>
    <d v="2023-09-21T00:00:00"/>
  </r>
  <r>
    <s v="TXN_5538696"/>
    <x v="0"/>
    <n v="2"/>
    <n v="2"/>
    <n v="4"/>
    <x v="2"/>
    <x v="1"/>
    <d v="2023-08-30T00:00:00"/>
  </r>
  <r>
    <s v="TXN_8434651"/>
    <x v="5"/>
    <n v="4"/>
    <n v="3"/>
    <n v="12"/>
    <x v="3"/>
    <x v="2"/>
    <d v="2023-01-27T00:00:00"/>
  </r>
  <r>
    <s v="TXN_4635386"/>
    <x v="8"/>
    <n v="1"/>
    <n v="1.5"/>
    <n v="1.5"/>
    <x v="0"/>
    <x v="0"/>
    <m/>
  </r>
  <r>
    <s v="TXN_5466291"/>
    <x v="3"/>
    <n v="1"/>
    <n v="5"/>
    <n v="5"/>
    <x v="0"/>
    <x v="2"/>
    <d v="2023-09-19T00:00:00"/>
  </r>
  <r>
    <s v="TXN_2643389"/>
    <x v="6"/>
    <n v="2"/>
    <n v="4"/>
    <n v="8"/>
    <x v="0"/>
    <x v="2"/>
    <d v="2023-08-24T00:00:00"/>
  </r>
  <r>
    <s v="TXN_9817135"/>
    <x v="3"/>
    <n v="1"/>
    <n v="5"/>
    <n v="5"/>
    <x v="3"/>
    <x v="2"/>
    <d v="2023-03-25T00:00:00"/>
  </r>
  <r>
    <s v="TXN_7426086"/>
    <x v="0"/>
    <n v="4"/>
    <n v="2"/>
    <n v="8"/>
    <x v="2"/>
    <x v="2"/>
    <d v="2023-01-13T00:00:00"/>
  </r>
  <r>
    <s v="TXN_9327861"/>
    <x v="8"/>
    <n v="5"/>
    <n v="1.5"/>
    <n v="7.5"/>
    <x v="0"/>
    <x v="1"/>
    <d v="2023-07-17T00:00:00"/>
  </r>
  <r>
    <s v="TXN_3971440"/>
    <x v="1"/>
    <n v="4"/>
    <n v="3"/>
    <n v="12"/>
    <x v="3"/>
    <x v="0"/>
    <d v="2023-10-22T00:00:00"/>
  </r>
  <r>
    <s v="TXN_8494583"/>
    <x v="2"/>
    <n v="5"/>
    <n v="1"/>
    <n v="5"/>
    <x v="0"/>
    <x v="1"/>
    <d v="2023-11-29T00:00:00"/>
  </r>
  <r>
    <s v="TXN_8083377"/>
    <x v="8"/>
    <n v="4"/>
    <n v="1.5"/>
    <n v="6"/>
    <x v="3"/>
    <x v="1"/>
    <d v="2023-01-06T00:00:00"/>
  </r>
  <r>
    <s v="TXN_6883187"/>
    <x v="7"/>
    <n v="2"/>
    <n v="3"/>
    <n v="6"/>
    <x v="2"/>
    <x v="2"/>
    <d v="2023-11-16T00:00:00"/>
  </r>
  <r>
    <s v="TXN_8340038"/>
    <x v="8"/>
    <n v="1"/>
    <n v="1.5"/>
    <n v="1.5"/>
    <x v="3"/>
    <x v="1"/>
    <d v="2023-07-15T00:00:00"/>
  </r>
  <r>
    <s v="TXN_2275799"/>
    <x v="6"/>
    <n v="3"/>
    <n v="4"/>
    <n v="12"/>
    <x v="3"/>
    <x v="1"/>
    <d v="2023-10-04T00:00:00"/>
  </r>
  <r>
    <s v="TXN_3497691"/>
    <x v="4"/>
    <n v="4"/>
    <n v="4"/>
    <n v="16"/>
    <x v="0"/>
    <x v="2"/>
    <d v="2023-09-06T00:00:00"/>
  </r>
  <r>
    <s v="TXN_5881237"/>
    <x v="2"/>
    <n v="2"/>
    <n v="1"/>
    <n v="2"/>
    <x v="2"/>
    <x v="2"/>
    <d v="2023-08-14T00:00:00"/>
  </r>
  <r>
    <s v="TXN_2271705"/>
    <x v="8"/>
    <n v="5"/>
    <n v="1.5"/>
    <n v="7.5"/>
    <x v="2"/>
    <x v="2"/>
    <d v="2023-07-20T00:00:00"/>
  </r>
  <r>
    <s v="TXN_1640172"/>
    <x v="3"/>
    <n v="1"/>
    <n v="5"/>
    <n v="5"/>
    <x v="2"/>
    <x v="2"/>
    <d v="2023-04-13T00:00:00"/>
  </r>
  <r>
    <s v="TXN_4618211"/>
    <x v="4"/>
    <n v="4"/>
    <n v="4"/>
    <n v="16"/>
    <x v="1"/>
    <x v="2"/>
    <d v="2023-09-12T00:00:00"/>
  </r>
  <r>
    <s v="TXN_9618563"/>
    <x v="4"/>
    <n v="1"/>
    <n v="4"/>
    <n v="4"/>
    <x v="2"/>
    <x v="0"/>
    <d v="2023-02-24T00:00:00"/>
  </r>
  <r>
    <s v="TXN_4374260"/>
    <x v="2"/>
    <n v="1"/>
    <n v="1"/>
    <n v="1"/>
    <x v="1"/>
    <x v="2"/>
    <d v="2023-04-20T00:00:00"/>
  </r>
  <r>
    <s v="TXN_1946773"/>
    <x v="6"/>
    <n v="4"/>
    <n v="4"/>
    <n v="16"/>
    <x v="1"/>
    <x v="2"/>
    <d v="2023-08-28T00:00:00"/>
  </r>
  <r>
    <s v="TXN_4387523"/>
    <x v="1"/>
    <n v="3"/>
    <n v="3"/>
    <n v="9"/>
    <x v="2"/>
    <x v="2"/>
    <d v="2023-02-07T00:00:00"/>
  </r>
  <r>
    <s v="TXN_7661094"/>
    <x v="3"/>
    <n v="4"/>
    <n v="5"/>
    <n v="20"/>
    <x v="1"/>
    <x v="2"/>
    <d v="2023-07-21T00:00:00"/>
  </r>
  <r>
    <s v="TXN_6766664"/>
    <x v="0"/>
    <n v="3"/>
    <n v="2"/>
    <n v="6"/>
    <x v="2"/>
    <x v="2"/>
    <d v="2023-05-21T00:00:00"/>
  </r>
  <r>
    <s v="TXN_9055374"/>
    <x v="6"/>
    <n v="1"/>
    <n v="4"/>
    <n v="4"/>
    <x v="2"/>
    <x v="0"/>
    <m/>
  </r>
  <r>
    <s v="TXN_1861717"/>
    <x v="8"/>
    <n v="2"/>
    <n v="1.5"/>
    <n v="3"/>
    <x v="1"/>
    <x v="1"/>
    <d v="2023-11-10T00:00:00"/>
  </r>
  <r>
    <s v="TXN_3421079"/>
    <x v="4"/>
    <n v="1"/>
    <n v="4"/>
    <n v="4"/>
    <x v="0"/>
    <x v="1"/>
    <d v="2023-12-18T00:00:00"/>
  </r>
  <r>
    <s v="TXN_1637131"/>
    <x v="5"/>
    <n v="4"/>
    <n v="1.5"/>
    <n v="6"/>
    <x v="1"/>
    <x v="2"/>
    <m/>
  </r>
  <r>
    <s v="TXN_7636536"/>
    <x v="2"/>
    <n v="2"/>
    <n v="1"/>
    <n v="2"/>
    <x v="1"/>
    <x v="2"/>
    <d v="2023-05-06T00:00:00"/>
  </r>
  <r>
    <s v="TXN_4971607"/>
    <x v="4"/>
    <n v="5"/>
    <n v="4"/>
    <n v="20"/>
    <x v="1"/>
    <x v="1"/>
    <d v="2023-03-30T00:00:00"/>
  </r>
  <r>
    <s v="TXN_1852436"/>
    <x v="7"/>
    <n v="4"/>
    <n v="3"/>
    <n v="12"/>
    <x v="2"/>
    <x v="2"/>
    <m/>
  </r>
  <r>
    <s v="TXN_9701622"/>
    <x v="2"/>
    <n v="5"/>
    <n v="1"/>
    <n v="5"/>
    <x v="3"/>
    <x v="2"/>
    <d v="2023-09-24T00:00:00"/>
  </r>
  <r>
    <s v="TXN_6966241"/>
    <x v="7"/>
    <n v="2"/>
    <n v="3"/>
    <n v="6"/>
    <x v="3"/>
    <x v="1"/>
    <d v="2023-04-13T00:00:00"/>
  </r>
  <r>
    <s v="TXN_9252700"/>
    <x v="5"/>
    <n v="3"/>
    <n v="3"/>
    <n v="9"/>
    <x v="0"/>
    <x v="2"/>
    <d v="2023-08-24T00:00:00"/>
  </r>
  <r>
    <s v="TXN_1124900"/>
    <x v="5"/>
    <n v="4"/>
    <n v="4"/>
    <n v="16"/>
    <x v="0"/>
    <x v="1"/>
    <d v="2023-09-08T00:00:00"/>
  </r>
  <r>
    <s v="TXN_3964624"/>
    <x v="8"/>
    <n v="3"/>
    <n v="1.5"/>
    <n v="4.5"/>
    <x v="2"/>
    <x v="1"/>
    <d v="2023-09-20T00:00:00"/>
  </r>
  <r>
    <s v="TXN_2226371"/>
    <x v="1"/>
    <n v="1"/>
    <n v="3"/>
    <n v="3"/>
    <x v="1"/>
    <x v="2"/>
    <d v="2023-11-18T00:00:00"/>
  </r>
  <r>
    <s v="TXN_5744797"/>
    <x v="1"/>
    <n v="1"/>
    <n v="3"/>
    <n v="3"/>
    <x v="1"/>
    <x v="1"/>
    <d v="2023-12-20T00:00:00"/>
  </r>
  <r>
    <s v="TXN_5777164"/>
    <x v="4"/>
    <n v="1"/>
    <n v="4"/>
    <n v="4"/>
    <x v="0"/>
    <x v="0"/>
    <d v="2023-02-07T00:00:00"/>
  </r>
  <r>
    <s v="TXN_5817802"/>
    <x v="0"/>
    <n v="5"/>
    <n v="2"/>
    <n v="10"/>
    <x v="2"/>
    <x v="1"/>
    <d v="2023-02-13T00:00:00"/>
  </r>
  <r>
    <s v="TXN_3787234"/>
    <x v="8"/>
    <n v="2"/>
    <n v="1.5"/>
    <n v="3"/>
    <x v="3"/>
    <x v="1"/>
    <d v="2023-03-15T00:00:00"/>
  </r>
  <r>
    <s v="TXN_4525646"/>
    <x v="1"/>
    <n v="3"/>
    <n v="3"/>
    <n v="9"/>
    <x v="0"/>
    <x v="2"/>
    <d v="2023-07-07T00:00:00"/>
  </r>
  <r>
    <s v="TXN_7004303"/>
    <x v="5"/>
    <n v="3"/>
    <n v="4"/>
    <n v="12"/>
    <x v="1"/>
    <x v="1"/>
    <d v="2023-10-06T00:00:00"/>
  </r>
  <r>
    <s v="TXN_8649416"/>
    <x v="1"/>
    <n v="5"/>
    <n v="3"/>
    <n v="15"/>
    <x v="0"/>
    <x v="0"/>
    <d v="2023-09-21T00:00:00"/>
  </r>
  <r>
    <s v="TXN_3219599"/>
    <x v="5"/>
    <n v="2"/>
    <n v="3"/>
    <n v="6"/>
    <x v="2"/>
    <x v="2"/>
    <d v="2023-08-22T00:00:00"/>
  </r>
  <r>
    <s v="TXN_1394131"/>
    <x v="7"/>
    <n v="4"/>
    <n v="3"/>
    <n v="12"/>
    <x v="2"/>
    <x v="0"/>
    <d v="2023-06-13T00:00:00"/>
  </r>
  <r>
    <s v="TXN_9237291"/>
    <x v="7"/>
    <n v="2"/>
    <n v="3"/>
    <n v="6"/>
    <x v="0"/>
    <x v="2"/>
    <d v="2023-09-22T00:00:00"/>
  </r>
  <r>
    <s v="TXN_9520855"/>
    <x v="1"/>
    <n v="4"/>
    <n v="3"/>
    <n v="12"/>
    <x v="2"/>
    <x v="2"/>
    <d v="2023-01-11T00:00:00"/>
  </r>
  <r>
    <s v="TXN_4565080"/>
    <x v="4"/>
    <n v="4"/>
    <n v="4"/>
    <n v="16"/>
    <x v="3"/>
    <x v="1"/>
    <d v="2023-09-28T00:00:00"/>
  </r>
  <r>
    <s v="TXN_8348710"/>
    <x v="0"/>
    <n v="1"/>
    <n v="2"/>
    <n v="2"/>
    <x v="1"/>
    <x v="1"/>
    <d v="2023-12-27T00:00:00"/>
  </r>
  <r>
    <s v="TXN_5127819"/>
    <x v="7"/>
    <n v="3"/>
    <n v="3"/>
    <n v="9"/>
    <x v="2"/>
    <x v="2"/>
    <d v="2023-04-03T00:00:00"/>
  </r>
  <r>
    <s v="TXN_7496394"/>
    <x v="4"/>
    <n v="4"/>
    <n v="4"/>
    <n v="16"/>
    <x v="2"/>
    <x v="2"/>
    <d v="2023-06-12T00:00:00"/>
  </r>
  <r>
    <s v="TXN_8495889"/>
    <x v="1"/>
    <n v="1"/>
    <n v="3"/>
    <n v="3"/>
    <x v="1"/>
    <x v="0"/>
    <d v="2023-06-26T00:00:00"/>
  </r>
  <r>
    <s v="TXN_5064188"/>
    <x v="6"/>
    <n v="4"/>
    <n v="4"/>
    <n v="16"/>
    <x v="0"/>
    <x v="2"/>
    <d v="2023-12-08T00:00:00"/>
  </r>
  <r>
    <s v="TXN_6104335"/>
    <x v="4"/>
    <n v="2"/>
    <n v="4"/>
    <n v="8"/>
    <x v="0"/>
    <x v="2"/>
    <d v="2023-11-13T00:00:00"/>
  </r>
  <r>
    <s v="TXN_5313435"/>
    <x v="3"/>
    <n v="4"/>
    <n v="5"/>
    <n v="20"/>
    <x v="1"/>
    <x v="2"/>
    <d v="2023-02-18T00:00:00"/>
  </r>
  <r>
    <s v="TXN_6700745"/>
    <x v="7"/>
    <n v="3"/>
    <n v="3"/>
    <n v="9"/>
    <x v="2"/>
    <x v="1"/>
    <d v="2023-04-23T00:00:00"/>
  </r>
  <r>
    <s v="TXN_9897215"/>
    <x v="1"/>
    <n v="3"/>
    <n v="3"/>
    <n v="9"/>
    <x v="0"/>
    <x v="2"/>
    <d v="2023-11-22T00:00:00"/>
  </r>
  <r>
    <s v="TXN_7764175"/>
    <x v="3"/>
    <n v="3"/>
    <n v="5"/>
    <n v="15"/>
    <x v="1"/>
    <x v="1"/>
    <d v="2023-09-02T00:00:00"/>
  </r>
  <r>
    <s v="TXN_3027490"/>
    <x v="2"/>
    <n v="3"/>
    <n v="1"/>
    <n v="3"/>
    <x v="2"/>
    <x v="0"/>
    <d v="2023-02-25T00:00:00"/>
  </r>
  <r>
    <s v="TXN_5368297"/>
    <x v="4"/>
    <n v="2"/>
    <n v="4"/>
    <n v="8"/>
    <x v="2"/>
    <x v="0"/>
    <d v="2023-10-04T00:00:00"/>
  </r>
  <r>
    <s v="TXN_2053125"/>
    <x v="3"/>
    <n v="1"/>
    <n v="5"/>
    <n v="5"/>
    <x v="3"/>
    <x v="2"/>
    <d v="2023-07-26T00:00:00"/>
  </r>
  <r>
    <s v="TXN_2522828"/>
    <x v="4"/>
    <n v="4"/>
    <n v="4"/>
    <n v="16"/>
    <x v="0"/>
    <x v="2"/>
    <d v="2023-01-15T00:00:00"/>
  </r>
  <r>
    <s v="TXN_6616787"/>
    <x v="5"/>
    <n v="2"/>
    <n v="3"/>
    <n v="6"/>
    <x v="2"/>
    <x v="1"/>
    <d v="2023-09-29T00:00:00"/>
  </r>
  <r>
    <s v="TXN_6419317"/>
    <x v="6"/>
    <n v="4"/>
    <n v="4"/>
    <n v="16"/>
    <x v="0"/>
    <x v="2"/>
    <d v="2023-02-25T00:00:00"/>
  </r>
  <r>
    <s v="TXN_5939950"/>
    <x v="6"/>
    <n v="2"/>
    <n v="4"/>
    <n v="8"/>
    <x v="1"/>
    <x v="2"/>
    <d v="2023-06-16T00:00:00"/>
  </r>
  <r>
    <s v="TXN_4607296"/>
    <x v="1"/>
    <n v="5"/>
    <n v="3"/>
    <n v="15"/>
    <x v="2"/>
    <x v="1"/>
    <d v="2023-04-02T00:00:00"/>
  </r>
  <r>
    <s v="TXN_8316135"/>
    <x v="3"/>
    <n v="3"/>
    <n v="5"/>
    <n v="15"/>
    <x v="3"/>
    <x v="0"/>
    <d v="2023-11-06T00:00:00"/>
  </r>
  <r>
    <s v="TXN_7910956"/>
    <x v="0"/>
    <n v="5"/>
    <n v="2"/>
    <n v="10"/>
    <x v="3"/>
    <x v="1"/>
    <d v="2023-07-21T00:00:00"/>
  </r>
  <r>
    <s v="TXN_1142233"/>
    <x v="8"/>
    <n v="5"/>
    <n v="1.5"/>
    <n v="7.5"/>
    <x v="3"/>
    <x v="0"/>
    <d v="2023-09-01T00:00:00"/>
  </r>
  <r>
    <s v="TXN_9810581"/>
    <x v="5"/>
    <n v="1"/>
    <n v="3"/>
    <n v="3"/>
    <x v="1"/>
    <x v="2"/>
    <d v="2023-11-20T00:00:00"/>
  </r>
  <r>
    <s v="TXN_2588566"/>
    <x v="5"/>
    <n v="3"/>
    <n v="5"/>
    <n v="15"/>
    <x v="2"/>
    <x v="0"/>
    <d v="2023-01-10T00:00:00"/>
  </r>
  <r>
    <s v="TXN_3786518"/>
    <x v="3"/>
    <n v="1"/>
    <n v="5"/>
    <n v="5"/>
    <x v="0"/>
    <x v="1"/>
    <d v="2023-09-16T00:00:00"/>
  </r>
  <r>
    <s v="TXN_2009407"/>
    <x v="7"/>
    <n v="5"/>
    <n v="3"/>
    <n v="15"/>
    <x v="1"/>
    <x v="0"/>
    <d v="2023-05-05T00:00:00"/>
  </r>
  <r>
    <s v="TXN_9163155"/>
    <x v="5"/>
    <n v="4"/>
    <n v="2"/>
    <n v="8"/>
    <x v="0"/>
    <x v="0"/>
    <d v="2023-04-23T00:00:00"/>
  </r>
  <r>
    <s v="TXN_8272750"/>
    <x v="3"/>
    <n v="5"/>
    <n v="5"/>
    <n v="25"/>
    <x v="2"/>
    <x v="2"/>
    <d v="2023-05-18T00:00:00"/>
  </r>
  <r>
    <s v="TXN_2532563"/>
    <x v="3"/>
    <n v="4"/>
    <n v="5"/>
    <n v="20"/>
    <x v="2"/>
    <x v="0"/>
    <m/>
  </r>
  <r>
    <s v="TXN_8532735"/>
    <x v="0"/>
    <n v="2"/>
    <n v="2"/>
    <n v="4"/>
    <x v="1"/>
    <x v="0"/>
    <d v="2023-07-28T00:00:00"/>
  </r>
  <r>
    <s v="TXN_1697299"/>
    <x v="4"/>
    <n v="3"/>
    <n v="4"/>
    <n v="12"/>
    <x v="1"/>
    <x v="1"/>
    <d v="2023-10-08T00:00:00"/>
  </r>
  <r>
    <s v="TXN_5785639"/>
    <x v="3"/>
    <n v="1"/>
    <n v="5"/>
    <n v="5"/>
    <x v="0"/>
    <x v="2"/>
    <d v="2023-04-10T00:00:00"/>
  </r>
  <r>
    <s v="TXN_8445753"/>
    <x v="8"/>
    <n v="4"/>
    <n v="1.5"/>
    <n v="6"/>
    <x v="1"/>
    <x v="0"/>
    <d v="2023-04-07T00:00:00"/>
  </r>
  <r>
    <s v="TXN_3641519"/>
    <x v="5"/>
    <n v="5"/>
    <n v="1"/>
    <n v="5"/>
    <x v="3"/>
    <x v="1"/>
    <d v="2023-06-08T00:00:00"/>
  </r>
  <r>
    <s v="TXN_1985278"/>
    <x v="6"/>
    <n v="3"/>
    <n v="4"/>
    <n v="12"/>
    <x v="2"/>
    <x v="1"/>
    <d v="2023-02-13T00:00:00"/>
  </r>
  <r>
    <s v="TXN_6612143"/>
    <x v="8"/>
    <n v="5"/>
    <n v="1.5"/>
    <n v="7.5"/>
    <x v="1"/>
    <x v="1"/>
    <d v="2023-11-07T00:00:00"/>
  </r>
  <r>
    <s v="TXN_8352416"/>
    <x v="3"/>
    <n v="1"/>
    <n v="5"/>
    <n v="5"/>
    <x v="3"/>
    <x v="1"/>
    <d v="2023-07-26T00:00:00"/>
  </r>
  <r>
    <s v="TXN_5498693"/>
    <x v="1"/>
    <n v="4"/>
    <n v="3"/>
    <n v="12"/>
    <x v="2"/>
    <x v="2"/>
    <d v="2023-05-13T00:00:00"/>
  </r>
  <r>
    <s v="TXN_2644561"/>
    <x v="5"/>
    <n v="4"/>
    <n v="4"/>
    <n v="16"/>
    <x v="3"/>
    <x v="2"/>
    <d v="2023-09-13T00:00:00"/>
  </r>
  <r>
    <s v="TXN_8912001"/>
    <x v="2"/>
    <n v="1"/>
    <n v="1"/>
    <n v="1"/>
    <x v="0"/>
    <x v="2"/>
    <d v="2023-03-27T00:00:00"/>
  </r>
  <r>
    <s v="TXN_8330837"/>
    <x v="7"/>
    <n v="3"/>
    <n v="3"/>
    <n v="9"/>
    <x v="3"/>
    <x v="2"/>
    <d v="2023-10-13T00:00:00"/>
  </r>
  <r>
    <s v="TXN_3703482"/>
    <x v="1"/>
    <n v="4"/>
    <n v="3"/>
    <n v="12"/>
    <x v="2"/>
    <x v="2"/>
    <d v="2023-01-08T00:00:00"/>
  </r>
  <r>
    <s v="TXN_3455103"/>
    <x v="3"/>
    <n v="1"/>
    <n v="5"/>
    <n v="5"/>
    <x v="3"/>
    <x v="0"/>
    <d v="2023-04-22T00:00:00"/>
  </r>
  <r>
    <s v="TXN_1496962"/>
    <x v="4"/>
    <n v="5"/>
    <n v="4"/>
    <n v="20"/>
    <x v="2"/>
    <x v="1"/>
    <d v="2023-12-17T00:00:00"/>
  </r>
  <r>
    <s v="TXN_4216294"/>
    <x v="8"/>
    <n v="4"/>
    <n v="1.5"/>
    <n v="6"/>
    <x v="1"/>
    <x v="1"/>
    <d v="2023-10-19T00:00:00"/>
  </r>
  <r>
    <s v="TXN_3002889"/>
    <x v="0"/>
    <n v="3"/>
    <n v="2"/>
    <n v="6"/>
    <x v="3"/>
    <x v="2"/>
    <d v="2023-10-22T00:00:00"/>
  </r>
  <r>
    <s v="TXN_4275827"/>
    <x v="5"/>
    <n v="2"/>
    <n v="1.5"/>
    <n v="3"/>
    <x v="1"/>
    <x v="0"/>
    <d v="2023-04-21T00:00:00"/>
  </r>
  <r>
    <s v="TXN_6044312"/>
    <x v="1"/>
    <n v="2"/>
    <n v="3"/>
    <n v="6"/>
    <x v="2"/>
    <x v="1"/>
    <d v="2023-01-03T00:00:00"/>
  </r>
  <r>
    <s v="TXN_4008135"/>
    <x v="2"/>
    <n v="5"/>
    <n v="1"/>
    <n v="5"/>
    <x v="1"/>
    <x v="0"/>
    <d v="2023-11-25T00:00:00"/>
  </r>
  <r>
    <s v="TXN_5336876"/>
    <x v="4"/>
    <n v="3"/>
    <n v="4"/>
    <n v="12"/>
    <x v="0"/>
    <x v="2"/>
    <d v="2023-07-07T00:00:00"/>
  </r>
  <r>
    <s v="TXN_8990020"/>
    <x v="6"/>
    <n v="4"/>
    <n v="4"/>
    <n v="16"/>
    <x v="2"/>
    <x v="1"/>
    <d v="2023-09-09T00:00:00"/>
  </r>
  <r>
    <s v="TXN_5654331"/>
    <x v="0"/>
    <n v="4"/>
    <n v="2"/>
    <n v="8"/>
    <x v="1"/>
    <x v="1"/>
    <d v="2023-07-31T00:00:00"/>
  </r>
  <r>
    <s v="TXN_1213938"/>
    <x v="3"/>
    <n v="5"/>
    <n v="5"/>
    <n v="25"/>
    <x v="3"/>
    <x v="0"/>
    <d v="2023-07-06T00:00:00"/>
  </r>
  <r>
    <s v="TXN_2522182"/>
    <x v="3"/>
    <n v="2"/>
    <n v="5"/>
    <n v="10"/>
    <x v="3"/>
    <x v="1"/>
    <d v="2023-11-11T00:00:00"/>
  </r>
  <r>
    <s v="TXN_5329431"/>
    <x v="6"/>
    <n v="3"/>
    <n v="4"/>
    <n v="12"/>
    <x v="0"/>
    <x v="1"/>
    <d v="2023-10-03T00:00:00"/>
  </r>
  <r>
    <s v="TXN_9647494"/>
    <x v="5"/>
    <n v="2"/>
    <n v="4"/>
    <n v="8"/>
    <x v="0"/>
    <x v="2"/>
    <d v="2023-10-21T00:00:00"/>
  </r>
  <r>
    <s v="TXN_8482887"/>
    <x v="3"/>
    <n v="1"/>
    <n v="5"/>
    <n v="5"/>
    <x v="3"/>
    <x v="0"/>
    <d v="2023-10-29T00:00:00"/>
  </r>
  <r>
    <s v="TXN_3883425"/>
    <x v="4"/>
    <n v="5"/>
    <n v="4"/>
    <n v="20"/>
    <x v="3"/>
    <x v="2"/>
    <d v="2023-07-09T00:00:00"/>
  </r>
  <r>
    <s v="TXN_4434185"/>
    <x v="4"/>
    <n v="5"/>
    <n v="4"/>
    <n v="20"/>
    <x v="0"/>
    <x v="0"/>
    <d v="2023-04-30T00:00:00"/>
  </r>
  <r>
    <s v="TXN_7388851"/>
    <x v="4"/>
    <n v="1"/>
    <n v="4"/>
    <n v="4"/>
    <x v="3"/>
    <x v="2"/>
    <d v="2023-09-30T00:00:00"/>
  </r>
  <r>
    <s v="TXN_8460225"/>
    <x v="4"/>
    <n v="5"/>
    <n v="4"/>
    <n v="20"/>
    <x v="2"/>
    <x v="1"/>
    <d v="2023-02-23T00:00:00"/>
  </r>
  <r>
    <s v="TXN_5471175"/>
    <x v="2"/>
    <n v="4"/>
    <n v="1"/>
    <n v="4"/>
    <x v="1"/>
    <x v="2"/>
    <d v="2023-04-16T00:00:00"/>
  </r>
  <r>
    <s v="TXN_1874601"/>
    <x v="0"/>
    <n v="4"/>
    <n v="2"/>
    <n v="8"/>
    <x v="2"/>
    <x v="2"/>
    <d v="2023-12-10T00:00:00"/>
  </r>
  <r>
    <s v="TXN_3641001"/>
    <x v="4"/>
    <n v="3"/>
    <n v="4"/>
    <n v="12"/>
    <x v="3"/>
    <x v="2"/>
    <d v="2023-11-10T00:00:00"/>
  </r>
  <r>
    <s v="TXN_6446441"/>
    <x v="3"/>
    <n v="3"/>
    <n v="5"/>
    <n v="15"/>
    <x v="3"/>
    <x v="2"/>
    <d v="2023-02-18T00:00:00"/>
  </r>
  <r>
    <s v="TXN_9718216"/>
    <x v="7"/>
    <n v="4"/>
    <n v="3"/>
    <n v="12"/>
    <x v="2"/>
    <x v="2"/>
    <d v="2023-07-07T00:00:00"/>
  </r>
  <r>
    <s v="TXN_7391138"/>
    <x v="8"/>
    <n v="5"/>
    <n v="1.5"/>
    <n v="7.5"/>
    <x v="1"/>
    <x v="2"/>
    <d v="2023-08-23T00:00:00"/>
  </r>
  <r>
    <s v="TXN_9548077"/>
    <x v="8"/>
    <n v="2"/>
    <n v="1.5"/>
    <n v="3"/>
    <x v="1"/>
    <x v="1"/>
    <d v="2023-07-05T00:00:00"/>
  </r>
  <r>
    <s v="TXN_9185022"/>
    <x v="6"/>
    <n v="3"/>
    <n v="4"/>
    <n v="12"/>
    <x v="3"/>
    <x v="1"/>
    <d v="2023-06-19T00:00:00"/>
  </r>
  <r>
    <s v="TXN_6841993"/>
    <x v="7"/>
    <n v="3"/>
    <n v="3"/>
    <n v="9"/>
    <x v="1"/>
    <x v="0"/>
    <d v="2023-09-15T00:00:00"/>
  </r>
  <r>
    <s v="TXN_1701766"/>
    <x v="1"/>
    <n v="4"/>
    <n v="3"/>
    <n v="12"/>
    <x v="2"/>
    <x v="2"/>
    <d v="2023-11-22T00:00:00"/>
  </r>
  <r>
    <s v="TXN_9541057"/>
    <x v="7"/>
    <n v="4"/>
    <n v="3"/>
    <n v="12"/>
    <x v="1"/>
    <x v="1"/>
    <d v="2023-04-24T00:00:00"/>
  </r>
  <r>
    <s v="TXN_4699706"/>
    <x v="0"/>
    <n v="5"/>
    <n v="2"/>
    <n v="10"/>
    <x v="2"/>
    <x v="1"/>
    <d v="2023-12-04T00:00:00"/>
  </r>
  <r>
    <s v="TXN_2451247"/>
    <x v="8"/>
    <n v="4"/>
    <n v="1.5"/>
    <n v="6"/>
    <x v="3"/>
    <x v="0"/>
    <d v="2023-02-14T00:00:00"/>
  </r>
  <r>
    <s v="TXN_6272908"/>
    <x v="7"/>
    <n v="3"/>
    <n v="3"/>
    <n v="9"/>
    <x v="1"/>
    <x v="0"/>
    <d v="2023-12-01T00:00:00"/>
  </r>
  <r>
    <s v="TXN_9093708"/>
    <x v="6"/>
    <n v="3"/>
    <n v="4"/>
    <n v="12"/>
    <x v="0"/>
    <x v="1"/>
    <d v="2023-12-08T00:00:00"/>
  </r>
  <r>
    <s v="TXN_7785034"/>
    <x v="4"/>
    <n v="4"/>
    <n v="4"/>
    <n v="16"/>
    <x v="2"/>
    <x v="0"/>
    <d v="2023-11-09T00:00:00"/>
  </r>
  <r>
    <s v="TXN_4048690"/>
    <x v="1"/>
    <n v="3"/>
    <n v="3"/>
    <n v="9"/>
    <x v="1"/>
    <x v="1"/>
    <d v="2023-09-06T00:00:00"/>
  </r>
  <r>
    <s v="TXN_4971992"/>
    <x v="1"/>
    <n v="2"/>
    <n v="3"/>
    <n v="6"/>
    <x v="2"/>
    <x v="2"/>
    <d v="2023-09-24T00:00:00"/>
  </r>
  <r>
    <s v="TXN_6738516"/>
    <x v="6"/>
    <n v="5"/>
    <n v="4"/>
    <n v="20"/>
    <x v="1"/>
    <x v="2"/>
    <d v="2023-10-07T00:00:00"/>
  </r>
  <r>
    <s v="TXN_3919995"/>
    <x v="8"/>
    <n v="3"/>
    <n v="1.5"/>
    <n v="4.5"/>
    <x v="1"/>
    <x v="0"/>
    <d v="2023-01-26T00:00:00"/>
  </r>
  <r>
    <s v="TXN_3522385"/>
    <x v="4"/>
    <n v="4"/>
    <n v="4"/>
    <n v="16"/>
    <x v="0"/>
    <x v="0"/>
    <d v="2023-03-19T00:00:00"/>
  </r>
  <r>
    <s v="TXN_3140020"/>
    <x v="7"/>
    <n v="5"/>
    <n v="3"/>
    <n v="15"/>
    <x v="2"/>
    <x v="1"/>
    <d v="2023-06-19T00:00:00"/>
  </r>
  <r>
    <s v="TXN_9756401"/>
    <x v="3"/>
    <n v="3"/>
    <n v="5"/>
    <n v="15"/>
    <x v="1"/>
    <x v="1"/>
    <d v="2023-02-04T00:00:00"/>
  </r>
  <r>
    <s v="TXN_1937081"/>
    <x v="1"/>
    <n v="2"/>
    <n v="3"/>
    <n v="6"/>
    <x v="0"/>
    <x v="2"/>
    <d v="2023-06-07T00:00:00"/>
  </r>
  <r>
    <s v="TXN_9668584"/>
    <x v="2"/>
    <n v="2"/>
    <n v="1"/>
    <n v="2"/>
    <x v="3"/>
    <x v="2"/>
    <d v="2023-12-13T00:00:00"/>
  </r>
  <r>
    <s v="TXN_2544072"/>
    <x v="2"/>
    <n v="1"/>
    <n v="1"/>
    <n v="1"/>
    <x v="2"/>
    <x v="1"/>
    <d v="2023-08-17T00:00:00"/>
  </r>
  <r>
    <s v="TXN_7260110"/>
    <x v="3"/>
    <n v="5"/>
    <n v="5"/>
    <n v="25"/>
    <x v="0"/>
    <x v="1"/>
    <d v="2023-03-07T00:00:00"/>
  </r>
  <r>
    <s v="TXN_1588687"/>
    <x v="0"/>
    <n v="2"/>
    <n v="2"/>
    <n v="4"/>
    <x v="3"/>
    <x v="0"/>
    <d v="2023-08-22T00:00:00"/>
  </r>
  <r>
    <s v="TXN_2886505"/>
    <x v="8"/>
    <n v="3"/>
    <n v="1.5"/>
    <n v="4.5"/>
    <x v="2"/>
    <x v="2"/>
    <d v="2023-09-05T00:00:00"/>
  </r>
  <r>
    <s v="TXN_3864453"/>
    <x v="2"/>
    <n v="5"/>
    <n v="1"/>
    <n v="5"/>
    <x v="3"/>
    <x v="2"/>
    <d v="2023-11-15T00:00:00"/>
  </r>
  <r>
    <s v="TXN_5346027"/>
    <x v="6"/>
    <n v="2"/>
    <n v="4"/>
    <n v="8"/>
    <x v="2"/>
    <x v="2"/>
    <d v="2023-12-19T00:00:00"/>
  </r>
  <r>
    <s v="TXN_3674876"/>
    <x v="4"/>
    <n v="5"/>
    <n v="4"/>
    <n v="20"/>
    <x v="1"/>
    <x v="0"/>
    <m/>
  </r>
  <r>
    <s v="TXN_8690361"/>
    <x v="4"/>
    <n v="3"/>
    <n v="4"/>
    <n v="12"/>
    <x v="2"/>
    <x v="2"/>
    <d v="2023-07-12T00:00:00"/>
  </r>
  <r>
    <s v="TXN_8419805"/>
    <x v="1"/>
    <n v="5"/>
    <n v="3"/>
    <n v="15"/>
    <x v="2"/>
    <x v="1"/>
    <d v="2023-07-24T00:00:00"/>
  </r>
  <r>
    <s v="TXN_3125699"/>
    <x v="7"/>
    <n v="1"/>
    <n v="3"/>
    <n v="3"/>
    <x v="0"/>
    <x v="0"/>
    <d v="2023-02-05T00:00:00"/>
  </r>
  <r>
    <s v="TXN_5106316"/>
    <x v="6"/>
    <n v="5"/>
    <n v="4"/>
    <n v="20"/>
    <x v="3"/>
    <x v="0"/>
    <d v="2023-01-23T00:00:00"/>
  </r>
  <r>
    <s v="TXN_5666369"/>
    <x v="7"/>
    <n v="2"/>
    <n v="3"/>
    <n v="6"/>
    <x v="3"/>
    <x v="1"/>
    <d v="2023-07-17T00:00:00"/>
  </r>
  <r>
    <s v="TXN_7712807"/>
    <x v="4"/>
    <n v="4"/>
    <n v="4"/>
    <n v="16"/>
    <x v="0"/>
    <x v="2"/>
    <d v="2023-02-17T00:00:00"/>
  </r>
  <r>
    <s v="TXN_8199561"/>
    <x v="2"/>
    <n v="4"/>
    <n v="1"/>
    <n v="4"/>
    <x v="2"/>
    <x v="2"/>
    <d v="2023-07-31T00:00:00"/>
  </r>
  <r>
    <s v="TXN_4334932"/>
    <x v="0"/>
    <n v="2"/>
    <n v="2"/>
    <n v="4"/>
    <x v="2"/>
    <x v="1"/>
    <d v="2023-12-27T00:00:00"/>
  </r>
  <r>
    <s v="TXN_4082099"/>
    <x v="7"/>
    <n v="2"/>
    <n v="3"/>
    <n v="6"/>
    <x v="0"/>
    <x v="1"/>
    <d v="2023-06-01T00:00:00"/>
  </r>
  <r>
    <s v="TXN_9191700"/>
    <x v="8"/>
    <n v="5"/>
    <n v="1.5"/>
    <n v="7.5"/>
    <x v="2"/>
    <x v="1"/>
    <d v="2023-10-01T00:00:00"/>
  </r>
  <r>
    <s v="TXN_2249212"/>
    <x v="1"/>
    <n v="2"/>
    <n v="3"/>
    <n v="6"/>
    <x v="2"/>
    <x v="2"/>
    <m/>
  </r>
  <r>
    <s v="TXN_9921392"/>
    <x v="0"/>
    <n v="5"/>
    <n v="2"/>
    <n v="10"/>
    <x v="2"/>
    <x v="2"/>
    <d v="2023-06-28T00:00:00"/>
  </r>
  <r>
    <s v="TXN_7125395"/>
    <x v="3"/>
    <n v="1"/>
    <n v="5"/>
    <n v="5"/>
    <x v="1"/>
    <x v="0"/>
    <d v="2023-07-23T00:00:00"/>
  </r>
  <r>
    <s v="TXN_4521701"/>
    <x v="1"/>
    <n v="4"/>
    <n v="3"/>
    <n v="12"/>
    <x v="2"/>
    <x v="1"/>
    <d v="2023-10-08T00:00:00"/>
  </r>
  <r>
    <s v="TXN_4243930"/>
    <x v="5"/>
    <n v="5"/>
    <n v="4"/>
    <n v="20"/>
    <x v="1"/>
    <x v="1"/>
    <d v="2023-06-07T00:00:00"/>
  </r>
  <r>
    <s v="TXN_1418829"/>
    <x v="4"/>
    <n v="1"/>
    <n v="4"/>
    <n v="4"/>
    <x v="2"/>
    <x v="0"/>
    <d v="2023-09-19T00:00:00"/>
  </r>
  <r>
    <s v="TXN_8955306"/>
    <x v="0"/>
    <n v="3"/>
    <n v="2"/>
    <n v="6"/>
    <x v="0"/>
    <x v="1"/>
    <d v="2023-10-14T00:00:00"/>
  </r>
  <r>
    <s v="TXN_7851403"/>
    <x v="0"/>
    <n v="5"/>
    <n v="2"/>
    <n v="10"/>
    <x v="0"/>
    <x v="0"/>
    <d v="2023-03-06T00:00:00"/>
  </r>
  <r>
    <s v="TXN_5288715"/>
    <x v="7"/>
    <n v="3"/>
    <n v="3"/>
    <n v="9"/>
    <x v="3"/>
    <x v="2"/>
    <d v="2023-04-19T00:00:00"/>
  </r>
  <r>
    <s v="TXN_7108056"/>
    <x v="7"/>
    <n v="3"/>
    <n v="3"/>
    <n v="9"/>
    <x v="0"/>
    <x v="2"/>
    <d v="2023-01-25T00:00:00"/>
  </r>
  <r>
    <s v="TXN_9950775"/>
    <x v="5"/>
    <n v="4"/>
    <n v="5"/>
    <n v="20"/>
    <x v="0"/>
    <x v="0"/>
    <d v="2023-02-20T00:00:00"/>
  </r>
  <r>
    <s v="TXN_9688601"/>
    <x v="7"/>
    <n v="1"/>
    <n v="3"/>
    <n v="3"/>
    <x v="2"/>
    <x v="1"/>
    <d v="2023-10-16T00:00:00"/>
  </r>
  <r>
    <s v="TXN_9924732"/>
    <x v="6"/>
    <m/>
    <n v="4"/>
    <m/>
    <x v="0"/>
    <x v="1"/>
    <d v="2023-01-18T00:00:00"/>
  </r>
  <r>
    <s v="TXN_8807429"/>
    <x v="2"/>
    <n v="4"/>
    <n v="1"/>
    <n v="4"/>
    <x v="3"/>
    <x v="2"/>
    <d v="2023-07-21T00:00:00"/>
  </r>
  <r>
    <s v="TXN_3340550"/>
    <x v="7"/>
    <n v="2"/>
    <n v="3"/>
    <n v="6"/>
    <x v="3"/>
    <x v="2"/>
    <d v="2023-05-02T00:00:00"/>
  </r>
  <r>
    <s v="TXN_4380808"/>
    <x v="7"/>
    <n v="4"/>
    <n v="3"/>
    <n v="12"/>
    <x v="2"/>
    <x v="1"/>
    <d v="2023-04-30T00:00:00"/>
  </r>
  <r>
    <s v="TXN_6403012"/>
    <x v="7"/>
    <n v="5"/>
    <n v="3"/>
    <n v="15"/>
    <x v="1"/>
    <x v="1"/>
    <d v="2023-07-23T00:00:00"/>
  </r>
  <r>
    <s v="TXN_4176272"/>
    <x v="0"/>
    <n v="1"/>
    <n v="2"/>
    <n v="2"/>
    <x v="3"/>
    <x v="2"/>
    <d v="2023-06-06T00:00:00"/>
  </r>
  <r>
    <s v="TXN_9293877"/>
    <x v="7"/>
    <n v="5"/>
    <n v="3"/>
    <n v="15"/>
    <x v="3"/>
    <x v="2"/>
    <d v="2023-08-24T00:00:00"/>
  </r>
  <r>
    <s v="TXN_8609510"/>
    <x v="5"/>
    <n v="5"/>
    <n v="3"/>
    <n v="15"/>
    <x v="2"/>
    <x v="0"/>
    <d v="2023-05-08T00:00:00"/>
  </r>
  <r>
    <s v="TXN_2294776"/>
    <x v="7"/>
    <n v="4"/>
    <n v="3"/>
    <n v="12"/>
    <x v="0"/>
    <x v="0"/>
    <d v="2023-04-10T00:00:00"/>
  </r>
  <r>
    <s v="TXN_8068515"/>
    <x v="2"/>
    <n v="1"/>
    <n v="1"/>
    <n v="1"/>
    <x v="1"/>
    <x v="0"/>
    <d v="2023-06-16T00:00:00"/>
  </r>
  <r>
    <s v="TXN_7915173"/>
    <x v="5"/>
    <n v="3"/>
    <n v="1"/>
    <n v="3"/>
    <x v="1"/>
    <x v="0"/>
    <m/>
  </r>
  <r>
    <s v="TXN_2556999"/>
    <x v="8"/>
    <n v="1"/>
    <n v="1.5"/>
    <n v="1.5"/>
    <x v="0"/>
    <x v="0"/>
    <d v="2023-08-14T00:00:00"/>
  </r>
  <r>
    <s v="TXN_3816131"/>
    <x v="7"/>
    <n v="3"/>
    <n v="3"/>
    <n v="9"/>
    <x v="2"/>
    <x v="2"/>
    <d v="2023-01-23T00:00:00"/>
  </r>
  <r>
    <s v="TXN_6564856"/>
    <x v="8"/>
    <n v="5"/>
    <n v="1.5"/>
    <n v="7.5"/>
    <x v="3"/>
    <x v="0"/>
    <d v="2023-02-16T00:00:00"/>
  </r>
  <r>
    <s v="TXN_4822256"/>
    <x v="4"/>
    <n v="1"/>
    <n v="4"/>
    <n v="4"/>
    <x v="0"/>
    <x v="2"/>
    <d v="2023-11-11T00:00:00"/>
  </r>
  <r>
    <s v="TXN_9397870"/>
    <x v="1"/>
    <n v="2"/>
    <n v="3"/>
    <n v="6"/>
    <x v="2"/>
    <x v="2"/>
    <d v="2023-05-23T00:00:00"/>
  </r>
  <r>
    <s v="TXN_4976485"/>
    <x v="3"/>
    <n v="5"/>
    <n v="5"/>
    <n v="25"/>
    <x v="2"/>
    <x v="0"/>
    <d v="2023-07-10T00:00:00"/>
  </r>
  <r>
    <s v="TXN_4856060"/>
    <x v="7"/>
    <n v="1"/>
    <n v="3"/>
    <n v="3"/>
    <x v="1"/>
    <x v="2"/>
    <d v="2023-07-29T00:00:00"/>
  </r>
  <r>
    <s v="TXN_3967103"/>
    <x v="0"/>
    <n v="5"/>
    <n v="2"/>
    <n v="10"/>
    <x v="1"/>
    <x v="2"/>
    <d v="2023-11-14T00:00:00"/>
  </r>
  <r>
    <s v="TXN_8746881"/>
    <x v="1"/>
    <n v="2"/>
    <n v="3"/>
    <n v="6"/>
    <x v="2"/>
    <x v="2"/>
    <d v="2023-11-07T00:00:00"/>
  </r>
  <r>
    <s v="TXN_4569448"/>
    <x v="5"/>
    <n v="1"/>
    <n v="3"/>
    <n v="3"/>
    <x v="2"/>
    <x v="2"/>
    <m/>
  </r>
  <r>
    <s v="TXN_8732682"/>
    <x v="3"/>
    <n v="5"/>
    <n v="5"/>
    <n v="25"/>
    <x v="0"/>
    <x v="1"/>
    <d v="2023-04-07T00:00:00"/>
  </r>
  <r>
    <s v="TXN_3687257"/>
    <x v="8"/>
    <n v="4"/>
    <n v="1.5"/>
    <n v="6"/>
    <x v="0"/>
    <x v="0"/>
    <d v="2023-03-27T00:00:00"/>
  </r>
  <r>
    <s v="TXN_3616839"/>
    <x v="1"/>
    <n v="4"/>
    <n v="3"/>
    <n v="12"/>
    <x v="3"/>
    <x v="2"/>
    <d v="2023-04-01T00:00:00"/>
  </r>
  <r>
    <s v="TXN_2875074"/>
    <x v="1"/>
    <n v="4"/>
    <n v="3"/>
    <n v="12"/>
    <x v="0"/>
    <x v="0"/>
    <d v="2023-02-06T00:00:00"/>
  </r>
  <r>
    <s v="TXN_5470909"/>
    <x v="2"/>
    <n v="4"/>
    <n v="1"/>
    <n v="4"/>
    <x v="0"/>
    <x v="1"/>
    <d v="2023-10-21T00:00:00"/>
  </r>
  <r>
    <s v="TXN_5680657"/>
    <x v="5"/>
    <n v="5"/>
    <n v="3"/>
    <n v="15"/>
    <x v="1"/>
    <x v="1"/>
    <d v="2023-05-16T00:00:00"/>
  </r>
  <r>
    <s v="TXN_3587915"/>
    <x v="3"/>
    <n v="2"/>
    <n v="5"/>
    <n v="10"/>
    <x v="3"/>
    <x v="0"/>
    <d v="2023-06-24T00:00:00"/>
  </r>
  <r>
    <s v="TXN_9406938"/>
    <x v="3"/>
    <n v="1"/>
    <n v="5"/>
    <n v="5"/>
    <x v="2"/>
    <x v="2"/>
    <d v="2023-10-09T00:00:00"/>
  </r>
  <r>
    <s v="TXN_9342366"/>
    <x v="4"/>
    <n v="3"/>
    <n v="4"/>
    <n v="12"/>
    <x v="0"/>
    <x v="2"/>
    <d v="2023-02-18T00:00:00"/>
  </r>
  <r>
    <s v="TXN_3101697"/>
    <x v="5"/>
    <n v="3"/>
    <n v="5"/>
    <n v="15"/>
    <x v="1"/>
    <x v="1"/>
    <d v="2023-05-29T00:00:00"/>
  </r>
  <r>
    <s v="TXN_6146889"/>
    <x v="7"/>
    <n v="2"/>
    <n v="3"/>
    <n v="6"/>
    <x v="2"/>
    <x v="0"/>
    <d v="2023-09-01T00:00:00"/>
  </r>
  <r>
    <s v="TXN_7226052"/>
    <x v="6"/>
    <n v="3"/>
    <n v="4"/>
    <n v="12"/>
    <x v="1"/>
    <x v="1"/>
    <d v="2023-02-21T00:00:00"/>
  </r>
  <r>
    <s v="TXN_3422336"/>
    <x v="8"/>
    <n v="5"/>
    <n v="1.5"/>
    <n v="7.5"/>
    <x v="2"/>
    <x v="0"/>
    <d v="2023-08-02T00:00:00"/>
  </r>
  <r>
    <s v="TXN_8644398"/>
    <x v="6"/>
    <n v="4"/>
    <n v="4"/>
    <n v="16"/>
    <x v="2"/>
    <x v="0"/>
    <d v="2023-02-08T00:00:00"/>
  </r>
  <r>
    <s v="TXN_8112788"/>
    <x v="4"/>
    <n v="1"/>
    <n v="4"/>
    <n v="4"/>
    <x v="0"/>
    <x v="0"/>
    <d v="2023-08-07T00:00:00"/>
  </r>
  <r>
    <s v="TXN_4179583"/>
    <x v="4"/>
    <n v="3"/>
    <n v="4"/>
    <n v="12"/>
    <x v="3"/>
    <x v="0"/>
    <d v="2023-06-13T00:00:00"/>
  </r>
  <r>
    <s v="TXN_3787265"/>
    <x v="3"/>
    <n v="1"/>
    <n v="5"/>
    <n v="5"/>
    <x v="0"/>
    <x v="1"/>
    <d v="2023-12-16T00:00:00"/>
  </r>
  <r>
    <s v="TXN_3577683"/>
    <x v="2"/>
    <n v="2"/>
    <n v="1"/>
    <n v="2"/>
    <x v="3"/>
    <x v="1"/>
    <d v="2023-09-17T00:00:00"/>
  </r>
  <r>
    <s v="TXN_1310741"/>
    <x v="6"/>
    <n v="3"/>
    <n v="4"/>
    <n v="12"/>
    <x v="2"/>
    <x v="0"/>
    <d v="2023-07-25T00:00:00"/>
  </r>
  <r>
    <s v="TXN_2862856"/>
    <x v="1"/>
    <n v="5"/>
    <n v="3"/>
    <n v="15"/>
    <x v="2"/>
    <x v="0"/>
    <d v="2023-02-01T00:00:00"/>
  </r>
  <r>
    <s v="TXN_4940237"/>
    <x v="1"/>
    <n v="2"/>
    <n v="3"/>
    <n v="6"/>
    <x v="1"/>
    <x v="0"/>
    <d v="2023-08-03T00:00:00"/>
  </r>
  <r>
    <s v="TXN_8765822"/>
    <x v="1"/>
    <n v="1"/>
    <n v="3"/>
    <n v="3"/>
    <x v="0"/>
    <x v="0"/>
    <d v="2023-03-22T00:00:00"/>
  </r>
  <r>
    <s v="TXN_3205813"/>
    <x v="7"/>
    <n v="3"/>
    <n v="3"/>
    <n v="9"/>
    <x v="1"/>
    <x v="1"/>
    <d v="2023-04-25T00:00:00"/>
  </r>
  <r>
    <s v="TXN_8436045"/>
    <x v="1"/>
    <n v="5"/>
    <n v="3"/>
    <n v="15"/>
    <x v="0"/>
    <x v="2"/>
    <d v="2023-08-08T00:00:00"/>
  </r>
  <r>
    <s v="TXN_5751040"/>
    <x v="8"/>
    <n v="5"/>
    <n v="1.5"/>
    <n v="7.5"/>
    <x v="1"/>
    <x v="2"/>
    <d v="2023-02-27T00:00:00"/>
  </r>
  <r>
    <s v="TXN_4657291"/>
    <x v="0"/>
    <n v="2"/>
    <n v="2"/>
    <n v="4"/>
    <x v="2"/>
    <x v="0"/>
    <d v="2023-05-05T00:00:00"/>
  </r>
  <r>
    <s v="TXN_8018572"/>
    <x v="2"/>
    <n v="5"/>
    <n v="1"/>
    <n v="5"/>
    <x v="2"/>
    <x v="1"/>
    <d v="2023-10-09T00:00:00"/>
  </r>
  <r>
    <s v="TXN_3454877"/>
    <x v="6"/>
    <n v="5"/>
    <n v="4"/>
    <n v="20"/>
    <x v="0"/>
    <x v="2"/>
    <d v="2023-04-19T00:00:00"/>
  </r>
  <r>
    <s v="TXN_1837764"/>
    <x v="8"/>
    <n v="3"/>
    <n v="1.5"/>
    <n v="4.5"/>
    <x v="1"/>
    <x v="1"/>
    <d v="2023-07-30T00:00:00"/>
  </r>
  <r>
    <s v="TXN_4120124"/>
    <x v="0"/>
    <n v="1"/>
    <n v="2"/>
    <n v="2"/>
    <x v="2"/>
    <x v="2"/>
    <d v="2023-06-08T00:00:00"/>
  </r>
  <r>
    <s v="TXN_1661682"/>
    <x v="5"/>
    <n v="5"/>
    <n v="4"/>
    <n v="20"/>
    <x v="3"/>
    <x v="2"/>
    <d v="2023-07-13T00:00:00"/>
  </r>
  <r>
    <s v="TXN_1927404"/>
    <x v="7"/>
    <n v="1"/>
    <n v="3"/>
    <n v="3"/>
    <x v="3"/>
    <x v="2"/>
    <d v="2023-12-22T00:00:00"/>
  </r>
  <r>
    <s v="TXN_9147596"/>
    <x v="0"/>
    <n v="2"/>
    <n v="2"/>
    <n v="4"/>
    <x v="3"/>
    <x v="0"/>
    <d v="2023-10-08T00:00:00"/>
  </r>
  <r>
    <s v="TXN_5012988"/>
    <x v="3"/>
    <n v="3"/>
    <n v="5"/>
    <n v="15"/>
    <x v="0"/>
    <x v="2"/>
    <d v="2023-08-17T00:00:00"/>
  </r>
  <r>
    <s v="TXN_1534763"/>
    <x v="2"/>
    <n v="2"/>
    <n v="1"/>
    <n v="2"/>
    <x v="1"/>
    <x v="0"/>
    <d v="2023-09-17T00:00:00"/>
  </r>
  <r>
    <s v="TXN_4485458"/>
    <x v="6"/>
    <n v="4"/>
    <n v="4"/>
    <n v="16"/>
    <x v="1"/>
    <x v="0"/>
    <d v="2023-12-08T00:00:00"/>
  </r>
  <r>
    <s v="TXN_9288882"/>
    <x v="6"/>
    <n v="3"/>
    <n v="4"/>
    <n v="12"/>
    <x v="2"/>
    <x v="1"/>
    <d v="2023-04-23T00:00:00"/>
  </r>
  <r>
    <s v="TXN_3964550"/>
    <x v="8"/>
    <n v="3"/>
    <n v="1.5"/>
    <n v="4.5"/>
    <x v="0"/>
    <x v="0"/>
    <d v="2023-06-09T00:00:00"/>
  </r>
  <r>
    <s v="TXN_2509803"/>
    <x v="0"/>
    <n v="1"/>
    <n v="2"/>
    <n v="2"/>
    <x v="2"/>
    <x v="2"/>
    <d v="2023-02-22T00:00:00"/>
  </r>
  <r>
    <s v="TXN_3769567"/>
    <x v="5"/>
    <n v="1"/>
    <n v="1"/>
    <n v="1"/>
    <x v="3"/>
    <x v="1"/>
    <d v="2023-02-10T00:00:00"/>
  </r>
  <r>
    <s v="TXN_4529101"/>
    <x v="2"/>
    <n v="2"/>
    <n v="1"/>
    <n v="2"/>
    <x v="3"/>
    <x v="1"/>
    <d v="2023-09-17T00:00:00"/>
  </r>
  <r>
    <s v="TXN_2391534"/>
    <x v="2"/>
    <n v="3"/>
    <n v="1"/>
    <n v="3"/>
    <x v="0"/>
    <x v="2"/>
    <d v="2023-05-06T00:00:00"/>
  </r>
  <r>
    <s v="TXN_8379919"/>
    <x v="2"/>
    <n v="3"/>
    <n v="1"/>
    <n v="3"/>
    <x v="3"/>
    <x v="2"/>
    <d v="2023-12-04T00:00:00"/>
  </r>
  <r>
    <s v="TXN_6474636"/>
    <x v="5"/>
    <n v="3"/>
    <n v="1.5"/>
    <n v="4.5"/>
    <x v="2"/>
    <x v="1"/>
    <d v="2023-10-25T00:00:00"/>
  </r>
  <r>
    <s v="TXN_6219977"/>
    <x v="2"/>
    <n v="2"/>
    <n v="1"/>
    <n v="2"/>
    <x v="0"/>
    <x v="2"/>
    <d v="2023-12-17T00:00:00"/>
  </r>
  <r>
    <s v="TXN_5731238"/>
    <x v="1"/>
    <n v="2"/>
    <n v="3"/>
    <n v="6"/>
    <x v="0"/>
    <x v="2"/>
    <d v="2023-03-27T00:00:00"/>
  </r>
  <r>
    <s v="TXN_7825796"/>
    <x v="8"/>
    <n v="2"/>
    <n v="1.5"/>
    <n v="3"/>
    <x v="2"/>
    <x v="2"/>
    <d v="2023-04-03T00:00:00"/>
  </r>
  <r>
    <s v="TXN_2375667"/>
    <x v="3"/>
    <n v="1"/>
    <n v="5"/>
    <n v="5"/>
    <x v="1"/>
    <x v="2"/>
    <d v="2023-12-28T00:00:00"/>
  </r>
  <r>
    <s v="TXN_5213761"/>
    <x v="0"/>
    <n v="3"/>
    <n v="2"/>
    <n v="6"/>
    <x v="3"/>
    <x v="0"/>
    <d v="2023-08-18T00:00:00"/>
  </r>
  <r>
    <s v="TXN_1427485"/>
    <x v="0"/>
    <n v="3"/>
    <n v="2"/>
    <n v="6"/>
    <x v="0"/>
    <x v="2"/>
    <d v="2023-07-19T00:00:00"/>
  </r>
  <r>
    <s v="TXN_5954991"/>
    <x v="6"/>
    <n v="3"/>
    <n v="4"/>
    <n v="12"/>
    <x v="2"/>
    <x v="0"/>
    <d v="2023-08-07T00:00:00"/>
  </r>
  <r>
    <s v="TXN_8860270"/>
    <x v="5"/>
    <n v="1"/>
    <n v="4"/>
    <n v="4"/>
    <x v="1"/>
    <x v="0"/>
    <d v="2023-11-06T00:00:00"/>
  </r>
  <r>
    <s v="TXN_6482416"/>
    <x v="0"/>
    <n v="1"/>
    <n v="2"/>
    <n v="2"/>
    <x v="2"/>
    <x v="2"/>
    <d v="2023-07-20T00:00:00"/>
  </r>
  <r>
    <s v="TXN_4916611"/>
    <x v="7"/>
    <n v="5"/>
    <n v="3"/>
    <n v="15"/>
    <x v="2"/>
    <x v="0"/>
    <d v="2023-05-21T00:00:00"/>
  </r>
  <r>
    <s v="TXN_4814244"/>
    <x v="4"/>
    <n v="3"/>
    <n v="4"/>
    <n v="12"/>
    <x v="2"/>
    <x v="1"/>
    <d v="2023-06-01T00:00:00"/>
  </r>
  <r>
    <s v="TXN_7968892"/>
    <x v="8"/>
    <n v="2"/>
    <n v="1.5"/>
    <n v="3"/>
    <x v="2"/>
    <x v="1"/>
    <d v="2023-10-02T00:00:00"/>
  </r>
  <r>
    <s v="TXN_9535721"/>
    <x v="1"/>
    <n v="5"/>
    <n v="3"/>
    <n v="15"/>
    <x v="3"/>
    <x v="1"/>
    <d v="2023-08-03T00:00:00"/>
  </r>
  <r>
    <s v="TXN_2161372"/>
    <x v="7"/>
    <n v="1"/>
    <n v="3"/>
    <n v="3"/>
    <x v="0"/>
    <x v="0"/>
    <d v="2023-12-17T00:00:00"/>
  </r>
  <r>
    <s v="TXN_8877714"/>
    <x v="7"/>
    <n v="5"/>
    <n v="3"/>
    <n v="15"/>
    <x v="2"/>
    <x v="2"/>
    <d v="2023-03-28T00:00:00"/>
  </r>
  <r>
    <s v="TXN_5478129"/>
    <x v="7"/>
    <n v="4"/>
    <n v="3"/>
    <n v="12"/>
    <x v="0"/>
    <x v="2"/>
    <d v="2023-01-22T00:00:00"/>
  </r>
  <r>
    <s v="TXN_7267366"/>
    <x v="6"/>
    <n v="3"/>
    <n v="4"/>
    <n v="12"/>
    <x v="3"/>
    <x v="0"/>
    <d v="2023-06-02T00:00:00"/>
  </r>
  <r>
    <s v="TXN_4696403"/>
    <x v="5"/>
    <n v="3"/>
    <n v="1"/>
    <n v="3"/>
    <x v="1"/>
    <x v="2"/>
    <d v="2023-08-19T00:00:00"/>
  </r>
  <r>
    <s v="TXN_2480808"/>
    <x v="5"/>
    <n v="1"/>
    <n v="4"/>
    <n v="4"/>
    <x v="0"/>
    <x v="2"/>
    <d v="2023-03-30T00:00:00"/>
  </r>
  <r>
    <s v="TXN_8688603"/>
    <x v="0"/>
    <n v="2"/>
    <n v="2"/>
    <n v="4"/>
    <x v="1"/>
    <x v="2"/>
    <d v="2023-05-05T00:00:00"/>
  </r>
  <r>
    <s v="TXN_6148811"/>
    <x v="8"/>
    <n v="5"/>
    <n v="1.5"/>
    <n v="7.5"/>
    <x v="0"/>
    <x v="0"/>
    <d v="2023-06-18T00:00:00"/>
  </r>
  <r>
    <s v="TXN_2827259"/>
    <x v="8"/>
    <n v="3"/>
    <n v="1.5"/>
    <n v="4.5"/>
    <x v="0"/>
    <x v="0"/>
    <m/>
  </r>
  <r>
    <s v="TXN_4382406"/>
    <x v="0"/>
    <n v="5"/>
    <n v="2"/>
    <n v="10"/>
    <x v="2"/>
    <x v="0"/>
    <d v="2023-09-26T00:00:00"/>
  </r>
  <r>
    <s v="TXN_5426507"/>
    <x v="7"/>
    <n v="2"/>
    <n v="3"/>
    <n v="6"/>
    <x v="1"/>
    <x v="0"/>
    <d v="2023-06-13T00:00:00"/>
  </r>
  <r>
    <s v="TXN_3855408"/>
    <x v="2"/>
    <n v="1"/>
    <n v="1"/>
    <n v="1"/>
    <x v="1"/>
    <x v="0"/>
    <d v="2023-06-02T00:00:00"/>
  </r>
  <r>
    <s v="TXN_6992783"/>
    <x v="8"/>
    <n v="1"/>
    <n v="1.5"/>
    <n v="1.5"/>
    <x v="3"/>
    <x v="0"/>
    <d v="2023-01-29T00:00:00"/>
  </r>
  <r>
    <s v="TXN_8801160"/>
    <x v="3"/>
    <n v="2"/>
    <n v="5"/>
    <n v="10"/>
    <x v="1"/>
    <x v="1"/>
    <m/>
  </r>
  <r>
    <s v="TXN_2638810"/>
    <x v="8"/>
    <n v="2"/>
    <n v="1.5"/>
    <n v="3"/>
    <x v="2"/>
    <x v="0"/>
    <d v="2023-11-16T00:00:00"/>
  </r>
  <r>
    <s v="TXN_9158251"/>
    <x v="3"/>
    <n v="2"/>
    <n v="5"/>
    <n v="10"/>
    <x v="0"/>
    <x v="2"/>
    <d v="2023-03-24T00:00:00"/>
  </r>
  <r>
    <s v="TXN_3390610"/>
    <x v="6"/>
    <n v="2"/>
    <n v="4"/>
    <n v="8"/>
    <x v="2"/>
    <x v="2"/>
    <d v="2023-02-01T00:00:00"/>
  </r>
  <r>
    <s v="TXN_6498876"/>
    <x v="6"/>
    <n v="3"/>
    <n v="4"/>
    <n v="12"/>
    <x v="2"/>
    <x v="0"/>
    <d v="2023-08-20T00:00:00"/>
  </r>
  <r>
    <s v="TXN_1627038"/>
    <x v="7"/>
    <n v="4"/>
    <n v="3"/>
    <n v="12"/>
    <x v="2"/>
    <x v="0"/>
    <d v="2023-12-25T00:00:00"/>
  </r>
  <r>
    <s v="TXN_2785262"/>
    <x v="3"/>
    <n v="3"/>
    <n v="5"/>
    <n v="15"/>
    <x v="1"/>
    <x v="0"/>
    <d v="2023-08-30T00:00:00"/>
  </r>
  <r>
    <s v="TXN_9944730"/>
    <x v="8"/>
    <n v="1"/>
    <n v="1.5"/>
    <n v="1.5"/>
    <x v="3"/>
    <x v="2"/>
    <d v="2023-04-10T00:00:00"/>
  </r>
  <r>
    <s v="TXN_7002929"/>
    <x v="2"/>
    <n v="1"/>
    <n v="1"/>
    <n v="1"/>
    <x v="2"/>
    <x v="1"/>
    <d v="2023-01-30T00:00:00"/>
  </r>
  <r>
    <s v="TXN_7484886"/>
    <x v="4"/>
    <n v="3"/>
    <n v="4"/>
    <n v="12"/>
    <x v="2"/>
    <x v="2"/>
    <d v="2023-04-17T00:00:00"/>
  </r>
  <r>
    <s v="TXN_7316790"/>
    <x v="0"/>
    <n v="1"/>
    <n v="2"/>
    <n v="2"/>
    <x v="0"/>
    <x v="1"/>
    <d v="2023-11-07T00:00:00"/>
  </r>
  <r>
    <s v="TXN_4663529"/>
    <x v="6"/>
    <n v="5"/>
    <n v="4"/>
    <n v="20"/>
    <x v="3"/>
    <x v="2"/>
    <d v="2023-12-24T00:00:00"/>
  </r>
  <r>
    <s v="TXN_2675174"/>
    <x v="3"/>
    <n v="2"/>
    <n v="5"/>
    <n v="10"/>
    <x v="2"/>
    <x v="0"/>
    <d v="2023-12-04T00:00:00"/>
  </r>
  <r>
    <s v="TXN_4350798"/>
    <x v="5"/>
    <n v="1"/>
    <n v="5"/>
    <n v="5"/>
    <x v="0"/>
    <x v="1"/>
    <d v="2023-11-23T00:00:00"/>
  </r>
  <r>
    <s v="TXN_7229543"/>
    <x v="1"/>
    <n v="1"/>
    <n v="3"/>
    <n v="3"/>
    <x v="0"/>
    <x v="2"/>
    <d v="2023-07-10T00:00:00"/>
  </r>
  <r>
    <s v="TXN_4330643"/>
    <x v="2"/>
    <n v="3"/>
    <n v="1"/>
    <n v="3"/>
    <x v="1"/>
    <x v="0"/>
    <d v="2023-05-15T00:00:00"/>
  </r>
  <r>
    <s v="TXN_2003488"/>
    <x v="7"/>
    <n v="3"/>
    <n v="3"/>
    <n v="9"/>
    <x v="2"/>
    <x v="0"/>
    <d v="2023-09-25T00:00:00"/>
  </r>
  <r>
    <s v="TXN_2206884"/>
    <x v="5"/>
    <n v="5"/>
    <n v="5"/>
    <n v="25"/>
    <x v="0"/>
    <x v="2"/>
    <d v="2023-06-22T00:00:00"/>
  </r>
  <r>
    <s v="TXN_3492393"/>
    <x v="0"/>
    <n v="1"/>
    <n v="2"/>
    <n v="2"/>
    <x v="2"/>
    <x v="1"/>
    <d v="2023-05-29T00:00:00"/>
  </r>
  <r>
    <s v="TXN_3894660"/>
    <x v="7"/>
    <n v="2"/>
    <n v="3"/>
    <n v="6"/>
    <x v="2"/>
    <x v="2"/>
    <d v="2023-02-09T00:00:00"/>
  </r>
  <r>
    <s v="TXN_5766532"/>
    <x v="4"/>
    <n v="5"/>
    <n v="4"/>
    <n v="20"/>
    <x v="1"/>
    <x v="1"/>
    <d v="2023-06-23T00:00:00"/>
  </r>
  <r>
    <s v="TXN_5476485"/>
    <x v="7"/>
    <n v="2"/>
    <n v="3"/>
    <n v="6"/>
    <x v="1"/>
    <x v="1"/>
    <d v="2023-01-07T00:00:00"/>
  </r>
  <r>
    <s v="TXN_9335226"/>
    <x v="6"/>
    <n v="5"/>
    <n v="4"/>
    <n v="20"/>
    <x v="2"/>
    <x v="2"/>
    <d v="2023-05-08T00:00:00"/>
  </r>
  <r>
    <s v="TXN_2581559"/>
    <x v="6"/>
    <n v="1"/>
    <n v="4"/>
    <n v="4"/>
    <x v="0"/>
    <x v="0"/>
    <d v="2023-03-25T00:00:00"/>
  </r>
  <r>
    <s v="TXN_9146123"/>
    <x v="0"/>
    <n v="2"/>
    <n v="2"/>
    <n v="4"/>
    <x v="3"/>
    <x v="2"/>
    <d v="2023-12-12T00:00:00"/>
  </r>
  <r>
    <s v="TXN_1335256"/>
    <x v="0"/>
    <n v="5"/>
    <n v="2"/>
    <n v="10"/>
    <x v="2"/>
    <x v="0"/>
    <d v="2023-08-04T00:00:00"/>
  </r>
  <r>
    <s v="TXN_5968921"/>
    <x v="3"/>
    <n v="5"/>
    <n v="5"/>
    <n v="25"/>
    <x v="0"/>
    <x v="0"/>
    <d v="2023-10-10T00:00:00"/>
  </r>
  <r>
    <s v="TXN_6895558"/>
    <x v="0"/>
    <n v="2"/>
    <n v="2"/>
    <n v="4"/>
    <x v="0"/>
    <x v="2"/>
    <d v="2023-04-10T00:00:00"/>
  </r>
  <r>
    <s v="TXN_6428404"/>
    <x v="3"/>
    <n v="2"/>
    <n v="5"/>
    <n v="10"/>
    <x v="3"/>
    <x v="1"/>
    <d v="2023-02-06T00:00:00"/>
  </r>
  <r>
    <s v="TXN_6762311"/>
    <x v="7"/>
    <n v="1"/>
    <n v="3"/>
    <n v="3"/>
    <x v="0"/>
    <x v="0"/>
    <m/>
  </r>
  <r>
    <s v="TXN_1190402"/>
    <x v="1"/>
    <n v="1"/>
    <n v="3"/>
    <n v="3"/>
    <x v="0"/>
    <x v="0"/>
    <d v="2023-12-01T00:00:00"/>
  </r>
  <r>
    <s v="TXN_9607633"/>
    <x v="5"/>
    <n v="2"/>
    <n v="1"/>
    <n v="2"/>
    <x v="3"/>
    <x v="2"/>
    <d v="2023-08-25T00:00:00"/>
  </r>
  <r>
    <s v="TXN_3787941"/>
    <x v="8"/>
    <n v="2"/>
    <n v="1.5"/>
    <n v="3"/>
    <x v="2"/>
    <x v="2"/>
    <m/>
  </r>
  <r>
    <s v="TXN_6349424"/>
    <x v="6"/>
    <n v="5"/>
    <n v="4"/>
    <n v="20"/>
    <x v="1"/>
    <x v="0"/>
    <d v="2023-02-24T00:00:00"/>
  </r>
  <r>
    <s v="TXN_1401771"/>
    <x v="6"/>
    <n v="2"/>
    <n v="4"/>
    <n v="8"/>
    <x v="1"/>
    <x v="2"/>
    <d v="2023-12-08T00:00:00"/>
  </r>
  <r>
    <s v="TXN_9188733"/>
    <x v="3"/>
    <n v="3"/>
    <n v="5"/>
    <n v="15"/>
    <x v="2"/>
    <x v="1"/>
    <d v="2023-08-19T00:00:00"/>
  </r>
  <r>
    <s v="TXN_3334632"/>
    <x v="5"/>
    <n v="1"/>
    <n v="2"/>
    <n v="2"/>
    <x v="0"/>
    <x v="0"/>
    <d v="2023-11-20T00:00:00"/>
  </r>
  <r>
    <s v="TXN_3851928"/>
    <x v="7"/>
    <n v="3"/>
    <n v="3"/>
    <n v="9"/>
    <x v="0"/>
    <x v="1"/>
    <d v="2023-02-07T00:00:00"/>
  </r>
  <r>
    <s v="TXN_8267915"/>
    <x v="6"/>
    <n v="2"/>
    <n v="4"/>
    <n v="8"/>
    <x v="2"/>
    <x v="0"/>
    <d v="2023-03-22T00:00:00"/>
  </r>
  <r>
    <s v="TXN_3726397"/>
    <x v="3"/>
    <n v="5"/>
    <n v="5"/>
    <n v="25"/>
    <x v="2"/>
    <x v="0"/>
    <d v="2023-01-30T00:00:00"/>
  </r>
  <r>
    <s v="TXN_1210058"/>
    <x v="8"/>
    <n v="5"/>
    <n v="1.5"/>
    <n v="7.5"/>
    <x v="2"/>
    <x v="2"/>
    <d v="2023-11-25T00:00:00"/>
  </r>
  <r>
    <s v="TXN_7791293"/>
    <x v="3"/>
    <n v="3"/>
    <n v="5"/>
    <n v="15"/>
    <x v="0"/>
    <x v="0"/>
    <d v="2023-04-08T00:00:00"/>
  </r>
  <r>
    <s v="TXN_6343367"/>
    <x v="7"/>
    <n v="2"/>
    <n v="3"/>
    <n v="6"/>
    <x v="2"/>
    <x v="1"/>
    <d v="2023-09-17T00:00:00"/>
  </r>
  <r>
    <s v="TXN_2653224"/>
    <x v="7"/>
    <n v="3"/>
    <n v="3"/>
    <n v="9"/>
    <x v="3"/>
    <x v="2"/>
    <d v="2023-03-27T00:00:00"/>
  </r>
  <r>
    <s v="TXN_6300001"/>
    <x v="8"/>
    <n v="1"/>
    <n v="1.5"/>
    <n v="1.5"/>
    <x v="3"/>
    <x v="2"/>
    <d v="2023-06-07T00:00:00"/>
  </r>
  <r>
    <s v="TXN_4693942"/>
    <x v="6"/>
    <n v="4"/>
    <n v="4"/>
    <n v="16"/>
    <x v="1"/>
    <x v="0"/>
    <d v="2023-12-16T00:00:00"/>
  </r>
  <r>
    <s v="TXN_3562418"/>
    <x v="5"/>
    <n v="2"/>
    <n v="4"/>
    <n v="8"/>
    <x v="3"/>
    <x v="2"/>
    <d v="2023-08-13T00:00:00"/>
  </r>
  <r>
    <s v="TXN_7963324"/>
    <x v="0"/>
    <n v="3"/>
    <n v="2"/>
    <n v="6"/>
    <x v="2"/>
    <x v="0"/>
    <d v="2023-12-09T00:00:00"/>
  </r>
  <r>
    <s v="TXN_5563486"/>
    <x v="7"/>
    <n v="5"/>
    <n v="3"/>
    <n v="15"/>
    <x v="3"/>
    <x v="1"/>
    <d v="2023-03-13T00:00:00"/>
  </r>
  <r>
    <s v="TXN_3679582"/>
    <x v="5"/>
    <n v="5"/>
    <n v="2"/>
    <n v="10"/>
    <x v="0"/>
    <x v="1"/>
    <d v="2023-04-11T00:00:00"/>
  </r>
  <r>
    <s v="TXN_6932752"/>
    <x v="4"/>
    <n v="5"/>
    <n v="4"/>
    <n v="20"/>
    <x v="2"/>
    <x v="2"/>
    <d v="2023-09-20T00:00:00"/>
  </r>
  <r>
    <s v="TXN_5697414"/>
    <x v="1"/>
    <n v="5"/>
    <n v="3"/>
    <n v="15"/>
    <x v="0"/>
    <x v="1"/>
    <d v="2023-02-16T00:00:00"/>
  </r>
  <r>
    <s v="TXN_5434310"/>
    <x v="4"/>
    <n v="3"/>
    <n v="4"/>
    <n v="12"/>
    <x v="1"/>
    <x v="2"/>
    <d v="2023-11-21T00:00:00"/>
  </r>
  <r>
    <s v="TXN_8435360"/>
    <x v="5"/>
    <n v="3"/>
    <n v="1.5"/>
    <n v="4.5"/>
    <x v="0"/>
    <x v="1"/>
    <d v="2023-07-03T00:00:00"/>
  </r>
  <r>
    <s v="TXN_5422843"/>
    <x v="6"/>
    <n v="2"/>
    <n v="4"/>
    <n v="8"/>
    <x v="1"/>
    <x v="1"/>
    <d v="2023-07-21T00:00:00"/>
  </r>
  <r>
    <s v="TXN_1704041"/>
    <x v="0"/>
    <n v="4"/>
    <n v="2"/>
    <n v="8"/>
    <x v="0"/>
    <x v="2"/>
    <d v="2023-05-21T00:00:00"/>
  </r>
  <r>
    <s v="TXN_9729178"/>
    <x v="0"/>
    <n v="3"/>
    <n v="2"/>
    <n v="6"/>
    <x v="0"/>
    <x v="2"/>
    <d v="2023-05-28T00:00:00"/>
  </r>
  <r>
    <s v="TXN_4663964"/>
    <x v="2"/>
    <n v="4"/>
    <n v="1"/>
    <n v="4"/>
    <x v="3"/>
    <x v="1"/>
    <d v="2023-06-29T00:00:00"/>
  </r>
  <r>
    <s v="TXN_6805057"/>
    <x v="2"/>
    <n v="4"/>
    <n v="1"/>
    <n v="4"/>
    <x v="0"/>
    <x v="2"/>
    <d v="2023-10-15T00:00:00"/>
  </r>
  <r>
    <s v="TXN_8162690"/>
    <x v="3"/>
    <n v="2"/>
    <n v="5"/>
    <n v="10"/>
    <x v="3"/>
    <x v="2"/>
    <d v="2023-05-08T00:00:00"/>
  </r>
  <r>
    <s v="TXN_7089712"/>
    <x v="1"/>
    <n v="5"/>
    <n v="3"/>
    <n v="15"/>
    <x v="1"/>
    <x v="2"/>
    <d v="2023-08-13T00:00:00"/>
  </r>
  <r>
    <s v="TXN_8077812"/>
    <x v="3"/>
    <n v="5"/>
    <n v="5"/>
    <n v="25"/>
    <x v="1"/>
    <x v="1"/>
    <d v="2023-01-16T00:00:00"/>
  </r>
  <r>
    <s v="TXN_4834450"/>
    <x v="1"/>
    <n v="2"/>
    <n v="3"/>
    <n v="6"/>
    <x v="1"/>
    <x v="2"/>
    <d v="2023-06-26T00:00:00"/>
  </r>
  <r>
    <s v="TXN_9081686"/>
    <x v="2"/>
    <n v="5"/>
    <n v="1"/>
    <n v="5"/>
    <x v="2"/>
    <x v="2"/>
    <d v="2023-06-11T00:00:00"/>
  </r>
  <r>
    <s v="TXN_6650875"/>
    <x v="2"/>
    <n v="5"/>
    <n v="1"/>
    <n v="5"/>
    <x v="0"/>
    <x v="0"/>
    <d v="2023-01-29T00:00:00"/>
  </r>
  <r>
    <s v="TXN_2133223"/>
    <x v="1"/>
    <n v="3"/>
    <n v="3"/>
    <n v="9"/>
    <x v="1"/>
    <x v="2"/>
    <d v="2023-11-17T00:00:00"/>
  </r>
  <r>
    <s v="TXN_5879154"/>
    <x v="3"/>
    <n v="2"/>
    <n v="5"/>
    <n v="10"/>
    <x v="2"/>
    <x v="0"/>
    <d v="2023-06-28T00:00:00"/>
  </r>
  <r>
    <s v="TXN_9575926"/>
    <x v="6"/>
    <n v="3"/>
    <n v="4"/>
    <n v="12"/>
    <x v="0"/>
    <x v="2"/>
    <d v="2023-12-12T00:00:00"/>
  </r>
  <r>
    <s v="TXN_5425911"/>
    <x v="4"/>
    <n v="1"/>
    <n v="4"/>
    <n v="4"/>
    <x v="3"/>
    <x v="2"/>
    <d v="2023-11-30T00:00:00"/>
  </r>
  <r>
    <s v="TXN_5604021"/>
    <x v="6"/>
    <n v="1"/>
    <n v="4"/>
    <n v="4"/>
    <x v="1"/>
    <x v="0"/>
    <d v="2023-09-10T00:00:00"/>
  </r>
  <r>
    <s v="TXN_9860308"/>
    <x v="4"/>
    <n v="2"/>
    <n v="4"/>
    <n v="8"/>
    <x v="3"/>
    <x v="2"/>
    <d v="2023-02-20T00:00:00"/>
  </r>
  <r>
    <s v="TXN_5908078"/>
    <x v="5"/>
    <n v="1"/>
    <n v="2"/>
    <n v="2"/>
    <x v="2"/>
    <x v="1"/>
    <d v="2023-03-23T00:00:00"/>
  </r>
  <r>
    <s v="TXN_3507013"/>
    <x v="7"/>
    <n v="1"/>
    <n v="3"/>
    <n v="3"/>
    <x v="3"/>
    <x v="1"/>
    <d v="2023-01-16T00:00:00"/>
  </r>
  <r>
    <s v="TXN_7896733"/>
    <x v="1"/>
    <n v="4"/>
    <n v="3"/>
    <n v="12"/>
    <x v="3"/>
    <x v="2"/>
    <d v="2023-06-03T00:00:00"/>
  </r>
  <r>
    <s v="TXN_3092390"/>
    <x v="6"/>
    <n v="3"/>
    <n v="4"/>
    <n v="12"/>
    <x v="2"/>
    <x v="1"/>
    <d v="2023-07-24T00:00:00"/>
  </r>
  <r>
    <s v="TXN_8131570"/>
    <x v="3"/>
    <n v="4"/>
    <n v="5"/>
    <n v="20"/>
    <x v="2"/>
    <x v="1"/>
    <d v="2023-12-02T00:00:00"/>
  </r>
  <r>
    <s v="TXN_3898445"/>
    <x v="6"/>
    <n v="3"/>
    <n v="4"/>
    <n v="12"/>
    <x v="1"/>
    <x v="0"/>
    <d v="2023-06-17T00:00:00"/>
  </r>
  <r>
    <s v="TXN_8588758"/>
    <x v="6"/>
    <n v="4"/>
    <n v="4"/>
    <n v="16"/>
    <x v="0"/>
    <x v="1"/>
    <m/>
  </r>
  <r>
    <s v="TXN_7641606"/>
    <x v="0"/>
    <n v="3"/>
    <n v="2"/>
    <n v="6"/>
    <x v="0"/>
    <x v="0"/>
    <d v="2023-12-26T00:00:00"/>
  </r>
  <r>
    <s v="TXN_1414039"/>
    <x v="7"/>
    <n v="4"/>
    <n v="3"/>
    <n v="12"/>
    <x v="2"/>
    <x v="2"/>
    <d v="2023-02-13T00:00:00"/>
  </r>
  <r>
    <s v="TXN_2322162"/>
    <x v="5"/>
    <n v="5"/>
    <n v="3"/>
    <n v="15"/>
    <x v="3"/>
    <x v="2"/>
    <d v="2023-11-12T00:00:00"/>
  </r>
  <r>
    <s v="TXN_6190857"/>
    <x v="8"/>
    <n v="1"/>
    <n v="1.5"/>
    <n v="1.5"/>
    <x v="2"/>
    <x v="1"/>
    <d v="2023-10-14T00:00:00"/>
  </r>
  <r>
    <s v="TXN_7652830"/>
    <x v="5"/>
    <n v="2"/>
    <n v="3"/>
    <n v="6"/>
    <x v="2"/>
    <x v="2"/>
    <d v="2023-08-15T00:00:00"/>
  </r>
  <r>
    <s v="TXN_1688292"/>
    <x v="5"/>
    <n v="3"/>
    <n v="3"/>
    <n v="9"/>
    <x v="0"/>
    <x v="1"/>
    <m/>
  </r>
  <r>
    <s v="TXN_1805937"/>
    <x v="7"/>
    <n v="3"/>
    <n v="3"/>
    <n v="9"/>
    <x v="0"/>
    <x v="2"/>
    <d v="2023-06-12T00:00:00"/>
  </r>
  <r>
    <s v="TXN_7390866"/>
    <x v="8"/>
    <n v="5"/>
    <n v="1.5"/>
    <n v="7.5"/>
    <x v="2"/>
    <x v="0"/>
    <m/>
  </r>
  <r>
    <s v="TXN_4717715"/>
    <x v="6"/>
    <n v="3"/>
    <n v="4"/>
    <n v="12"/>
    <x v="3"/>
    <x v="2"/>
    <d v="2023-07-27T00:00:00"/>
  </r>
  <r>
    <s v="TXN_1237674"/>
    <x v="5"/>
    <n v="3"/>
    <n v="1.5"/>
    <n v="4.5"/>
    <x v="0"/>
    <x v="2"/>
    <d v="2023-10-04T00:00:00"/>
  </r>
  <r>
    <s v="TXN_9686177"/>
    <x v="1"/>
    <n v="3"/>
    <n v="3"/>
    <n v="9"/>
    <x v="2"/>
    <x v="1"/>
    <m/>
  </r>
  <r>
    <s v="TXN_2672972"/>
    <x v="6"/>
    <n v="1"/>
    <n v="4"/>
    <n v="4"/>
    <x v="3"/>
    <x v="0"/>
    <d v="2023-06-15T00:00:00"/>
  </r>
  <r>
    <s v="TXN_9582818"/>
    <x v="5"/>
    <n v="1"/>
    <n v="4"/>
    <n v="4"/>
    <x v="1"/>
    <x v="1"/>
    <d v="2023-10-27T00:00:00"/>
  </r>
  <r>
    <s v="TXN_6970542"/>
    <x v="6"/>
    <n v="4"/>
    <n v="4"/>
    <n v="16"/>
    <x v="0"/>
    <x v="2"/>
    <d v="2023-08-04T00:00:00"/>
  </r>
  <r>
    <s v="TXN_6091542"/>
    <x v="7"/>
    <n v="5"/>
    <n v="3"/>
    <n v="15"/>
    <x v="3"/>
    <x v="0"/>
    <d v="2023-01-17T00:00:00"/>
  </r>
  <r>
    <s v="TXN_4184461"/>
    <x v="3"/>
    <n v="2"/>
    <n v="5"/>
    <n v="10"/>
    <x v="3"/>
    <x v="1"/>
    <d v="2023-02-22T00:00:00"/>
  </r>
  <r>
    <s v="TXN_3224397"/>
    <x v="2"/>
    <n v="4"/>
    <n v="1"/>
    <n v="4"/>
    <x v="3"/>
    <x v="0"/>
    <d v="2023-05-15T00:00:00"/>
  </r>
  <r>
    <s v="TXN_2772639"/>
    <x v="8"/>
    <n v="4"/>
    <n v="1.5"/>
    <n v="6"/>
    <x v="0"/>
    <x v="1"/>
    <d v="2023-08-30T00:00:00"/>
  </r>
  <r>
    <s v="TXN_4385826"/>
    <x v="5"/>
    <n v="2"/>
    <n v="1.5"/>
    <n v="3"/>
    <x v="0"/>
    <x v="0"/>
    <d v="2023-08-02T00:00:00"/>
  </r>
  <r>
    <s v="TXN_5109348"/>
    <x v="1"/>
    <n v="4"/>
    <n v="3"/>
    <n v="12"/>
    <x v="3"/>
    <x v="1"/>
    <d v="2023-02-10T00:00:00"/>
  </r>
  <r>
    <s v="TXN_6137985"/>
    <x v="0"/>
    <n v="5"/>
    <n v="2"/>
    <n v="10"/>
    <x v="0"/>
    <x v="1"/>
    <d v="2023-03-15T00:00:00"/>
  </r>
  <r>
    <s v="TXN_3895871"/>
    <x v="5"/>
    <n v="1"/>
    <n v="1"/>
    <n v="1"/>
    <x v="2"/>
    <x v="1"/>
    <d v="2023-05-30T00:00:00"/>
  </r>
  <r>
    <s v="TXN_3526255"/>
    <x v="4"/>
    <n v="4"/>
    <n v="4"/>
    <n v="16"/>
    <x v="2"/>
    <x v="0"/>
    <d v="2023-06-23T00:00:00"/>
  </r>
  <r>
    <s v="TXN_7310356"/>
    <x v="7"/>
    <n v="4"/>
    <n v="3"/>
    <n v="12"/>
    <x v="3"/>
    <x v="2"/>
    <d v="2023-10-20T00:00:00"/>
  </r>
  <r>
    <s v="TXN_9054074"/>
    <x v="1"/>
    <n v="1"/>
    <n v="3"/>
    <n v="3"/>
    <x v="0"/>
    <x v="0"/>
    <d v="2023-10-15T00:00:00"/>
  </r>
  <r>
    <s v="TXN_7538724"/>
    <x v="6"/>
    <n v="1"/>
    <n v="4"/>
    <n v="4"/>
    <x v="2"/>
    <x v="1"/>
    <d v="2023-05-17T00:00:00"/>
  </r>
  <r>
    <s v="TXN_6715991"/>
    <x v="7"/>
    <n v="1"/>
    <n v="3"/>
    <n v="3"/>
    <x v="1"/>
    <x v="2"/>
    <d v="2023-06-18T00:00:00"/>
  </r>
  <r>
    <s v="TXN_2271725"/>
    <x v="4"/>
    <n v="5"/>
    <n v="4"/>
    <n v="20"/>
    <x v="1"/>
    <x v="2"/>
    <d v="2023-12-21T00:00:00"/>
  </r>
  <r>
    <s v="TXN_1488481"/>
    <x v="0"/>
    <n v="4"/>
    <n v="2"/>
    <n v="8"/>
    <x v="0"/>
    <x v="0"/>
    <d v="2023-07-28T00:00:00"/>
  </r>
  <r>
    <s v="TXN_4600894"/>
    <x v="5"/>
    <n v="5"/>
    <n v="5"/>
    <n v="25"/>
    <x v="3"/>
    <x v="2"/>
    <d v="2023-09-17T00:00:00"/>
  </r>
  <r>
    <s v="TXN_3494652"/>
    <x v="0"/>
    <n v="1"/>
    <n v="2"/>
    <n v="2"/>
    <x v="2"/>
    <x v="2"/>
    <d v="2023-05-23T00:00:00"/>
  </r>
  <r>
    <s v="TXN_2860281"/>
    <x v="4"/>
    <n v="4"/>
    <n v="4"/>
    <n v="16"/>
    <x v="1"/>
    <x v="2"/>
    <d v="2023-09-19T00:00:00"/>
  </r>
  <r>
    <s v="TXN_1232346"/>
    <x v="3"/>
    <n v="5"/>
    <n v="5"/>
    <n v="25"/>
    <x v="3"/>
    <x v="1"/>
    <d v="2023-01-04T00:00:00"/>
  </r>
  <r>
    <s v="TXN_1911093"/>
    <x v="8"/>
    <n v="2"/>
    <n v="1.5"/>
    <n v="3"/>
    <x v="3"/>
    <x v="1"/>
    <d v="2023-10-07T00:00:00"/>
  </r>
  <r>
    <s v="TXN_1672229"/>
    <x v="2"/>
    <n v="2"/>
    <n v="1"/>
    <n v="2"/>
    <x v="1"/>
    <x v="2"/>
    <d v="2023-11-12T00:00:00"/>
  </r>
  <r>
    <s v="TXN_7056162"/>
    <x v="4"/>
    <n v="3"/>
    <n v="4"/>
    <n v="12"/>
    <x v="3"/>
    <x v="1"/>
    <d v="2023-03-04T00:00:00"/>
  </r>
  <r>
    <s v="TXN_2064049"/>
    <x v="3"/>
    <n v="4"/>
    <n v="5"/>
    <n v="20"/>
    <x v="0"/>
    <x v="0"/>
    <d v="2023-09-21T00:00:00"/>
  </r>
  <r>
    <s v="TXN_8191202"/>
    <x v="2"/>
    <n v="2"/>
    <n v="1"/>
    <n v="2"/>
    <x v="3"/>
    <x v="1"/>
    <d v="2023-01-14T00:00:00"/>
  </r>
  <r>
    <s v="TXN_4518505"/>
    <x v="8"/>
    <n v="5"/>
    <n v="1.5"/>
    <n v="7.5"/>
    <x v="1"/>
    <x v="2"/>
    <d v="2023-05-09T00:00:00"/>
  </r>
  <r>
    <s v="TXN_2823220"/>
    <x v="3"/>
    <n v="4"/>
    <n v="5"/>
    <n v="20"/>
    <x v="2"/>
    <x v="1"/>
    <d v="2023-05-17T00:00:00"/>
  </r>
  <r>
    <s v="TXN_6826409"/>
    <x v="6"/>
    <n v="1"/>
    <n v="4"/>
    <n v="4"/>
    <x v="0"/>
    <x v="0"/>
    <d v="2023-10-21T00:00:00"/>
  </r>
  <r>
    <s v="TXN_2954833"/>
    <x v="0"/>
    <n v="1"/>
    <n v="2"/>
    <n v="2"/>
    <x v="2"/>
    <x v="2"/>
    <d v="2023-01-29T00:00:00"/>
  </r>
  <r>
    <s v="TXN_5309677"/>
    <x v="0"/>
    <n v="4"/>
    <n v="2"/>
    <n v="8"/>
    <x v="1"/>
    <x v="1"/>
    <d v="2023-08-09T00:00:00"/>
  </r>
  <r>
    <s v="TXN_6011106"/>
    <x v="7"/>
    <n v="2"/>
    <n v="3"/>
    <n v="6"/>
    <x v="3"/>
    <x v="2"/>
    <d v="2023-09-07T00:00:00"/>
  </r>
  <r>
    <s v="TXN_4714592"/>
    <x v="8"/>
    <n v="1"/>
    <n v="1.5"/>
    <n v="1.5"/>
    <x v="1"/>
    <x v="2"/>
    <d v="2023-06-02T00:00:00"/>
  </r>
  <r>
    <s v="TXN_6704284"/>
    <x v="3"/>
    <n v="2"/>
    <n v="5"/>
    <n v="10"/>
    <x v="0"/>
    <x v="0"/>
    <d v="2023-08-31T00:00:00"/>
  </r>
  <r>
    <s v="TXN_9506076"/>
    <x v="3"/>
    <n v="5"/>
    <n v="5"/>
    <n v="25"/>
    <x v="2"/>
    <x v="2"/>
    <d v="2023-01-17T00:00:00"/>
  </r>
  <r>
    <s v="TXN_2354394"/>
    <x v="8"/>
    <n v="4"/>
    <n v="1.5"/>
    <n v="6"/>
    <x v="1"/>
    <x v="1"/>
    <d v="2023-04-17T00:00:00"/>
  </r>
  <r>
    <s v="TXN_3436344"/>
    <x v="4"/>
    <n v="2"/>
    <n v="4"/>
    <n v="8"/>
    <x v="2"/>
    <x v="2"/>
    <d v="2023-02-28T00:00:00"/>
  </r>
  <r>
    <s v="TXN_7826516"/>
    <x v="1"/>
    <n v="4"/>
    <n v="3"/>
    <n v="12"/>
    <x v="0"/>
    <x v="2"/>
    <d v="2023-06-21T00:00:00"/>
  </r>
  <r>
    <s v="TXN_2699745"/>
    <x v="0"/>
    <n v="4"/>
    <n v="2"/>
    <n v="8"/>
    <x v="2"/>
    <x v="1"/>
    <d v="2023-12-30T00:00:00"/>
  </r>
  <r>
    <s v="TXN_6097664"/>
    <x v="3"/>
    <n v="4"/>
    <n v="5"/>
    <n v="20"/>
    <x v="3"/>
    <x v="1"/>
    <d v="2023-11-27T00:00:00"/>
  </r>
  <r>
    <s v="TXN_3858288"/>
    <x v="8"/>
    <n v="2"/>
    <n v="1.5"/>
    <n v="3"/>
    <x v="2"/>
    <x v="2"/>
    <d v="2023-04-12T00:00:00"/>
  </r>
  <r>
    <s v="TXN_1272815"/>
    <x v="7"/>
    <n v="4"/>
    <n v="3"/>
    <n v="12"/>
    <x v="0"/>
    <x v="2"/>
    <d v="2023-08-07T00:00:00"/>
  </r>
  <r>
    <s v="TXN_4755623"/>
    <x v="7"/>
    <n v="3"/>
    <n v="3"/>
    <n v="9"/>
    <x v="1"/>
    <x v="2"/>
    <d v="2023-11-23T00:00:00"/>
  </r>
  <r>
    <s v="TXN_8261045"/>
    <x v="8"/>
    <n v="3"/>
    <n v="1.5"/>
    <n v="4.5"/>
    <x v="1"/>
    <x v="2"/>
    <d v="2023-01-21T00:00:00"/>
  </r>
  <r>
    <s v="TXN_2217015"/>
    <x v="0"/>
    <n v="3"/>
    <n v="2"/>
    <n v="6"/>
    <x v="2"/>
    <x v="0"/>
    <d v="2023-04-17T00:00:00"/>
  </r>
  <r>
    <s v="TXN_1660104"/>
    <x v="4"/>
    <n v="2"/>
    <n v="4"/>
    <n v="8"/>
    <x v="0"/>
    <x v="0"/>
    <d v="2023-02-04T00:00:00"/>
  </r>
  <r>
    <s v="TXN_6589078"/>
    <x v="8"/>
    <n v="3"/>
    <n v="1.5"/>
    <n v="4.5"/>
    <x v="3"/>
    <x v="2"/>
    <d v="2023-08-03T00:00:00"/>
  </r>
  <r>
    <s v="TXN_6306555"/>
    <x v="4"/>
    <n v="1"/>
    <n v="4"/>
    <n v="4"/>
    <x v="3"/>
    <x v="0"/>
    <d v="2023-04-12T00:00:00"/>
  </r>
  <r>
    <s v="TXN_1208561"/>
    <x v="5"/>
    <m/>
    <m/>
    <n v="20"/>
    <x v="0"/>
    <x v="2"/>
    <d v="2023-08-19T00:00:00"/>
  </r>
  <r>
    <s v="TXN_8751702"/>
    <x v="5"/>
    <n v="5"/>
    <n v="3"/>
    <n v="15"/>
    <x v="1"/>
    <x v="2"/>
    <d v="2023-02-13T00:00:00"/>
  </r>
  <r>
    <s v="TXN_2079029"/>
    <x v="1"/>
    <n v="5"/>
    <n v="3"/>
    <n v="15"/>
    <x v="1"/>
    <x v="1"/>
    <d v="2023-05-11T00:00:00"/>
  </r>
  <r>
    <s v="TXN_5737641"/>
    <x v="2"/>
    <n v="1"/>
    <n v="1"/>
    <n v="1"/>
    <x v="2"/>
    <x v="2"/>
    <d v="2023-02-16T00:00:00"/>
  </r>
  <r>
    <s v="TXN_2845506"/>
    <x v="8"/>
    <n v="2"/>
    <n v="1.5"/>
    <n v="3"/>
    <x v="3"/>
    <x v="0"/>
    <d v="2023-12-30T00:00:00"/>
  </r>
  <r>
    <s v="TXN_8565799"/>
    <x v="4"/>
    <n v="4"/>
    <n v="4"/>
    <n v="16"/>
    <x v="0"/>
    <x v="1"/>
    <d v="2023-04-22T00:00:00"/>
  </r>
  <r>
    <s v="TXN_3052584"/>
    <x v="3"/>
    <n v="1"/>
    <n v="5"/>
    <n v="5"/>
    <x v="1"/>
    <x v="1"/>
    <d v="2023-01-21T00:00:00"/>
  </r>
  <r>
    <s v="TXN_1530892"/>
    <x v="7"/>
    <n v="2"/>
    <n v="3"/>
    <n v="6"/>
    <x v="3"/>
    <x v="2"/>
    <d v="2023-09-09T00:00:00"/>
  </r>
  <r>
    <s v="TXN_3392953"/>
    <x v="0"/>
    <n v="1"/>
    <n v="2"/>
    <n v="2"/>
    <x v="3"/>
    <x v="0"/>
    <d v="2023-01-06T00:00:00"/>
  </r>
  <r>
    <s v="TXN_4606893"/>
    <x v="7"/>
    <n v="5"/>
    <n v="3"/>
    <n v="15"/>
    <x v="3"/>
    <x v="1"/>
    <d v="2023-05-24T00:00:00"/>
  </r>
  <r>
    <s v="TXN_7300653"/>
    <x v="2"/>
    <n v="5"/>
    <n v="1"/>
    <n v="5"/>
    <x v="2"/>
    <x v="2"/>
    <d v="2023-04-24T00:00:00"/>
  </r>
  <r>
    <s v="TXN_1759063"/>
    <x v="2"/>
    <n v="2"/>
    <n v="1"/>
    <n v="2"/>
    <x v="3"/>
    <x v="0"/>
    <d v="2023-09-09T00:00:00"/>
  </r>
  <r>
    <s v="TXN_1706896"/>
    <x v="4"/>
    <n v="3"/>
    <n v="4"/>
    <n v="12"/>
    <x v="1"/>
    <x v="2"/>
    <d v="2023-07-15T00:00:00"/>
  </r>
  <r>
    <s v="TXN_3325234"/>
    <x v="8"/>
    <n v="1"/>
    <n v="1.5"/>
    <n v="1.5"/>
    <x v="2"/>
    <x v="1"/>
    <d v="2023-08-26T00:00:00"/>
  </r>
  <r>
    <s v="TXN_5536245"/>
    <x v="4"/>
    <n v="4"/>
    <n v="4"/>
    <n v="16"/>
    <x v="1"/>
    <x v="2"/>
    <m/>
  </r>
  <r>
    <s v="TXN_1976619"/>
    <x v="0"/>
    <n v="2"/>
    <n v="2"/>
    <n v="4"/>
    <x v="3"/>
    <x v="2"/>
    <d v="2023-08-02T00:00:00"/>
  </r>
  <r>
    <s v="TXN_7953750"/>
    <x v="6"/>
    <n v="5"/>
    <n v="4"/>
    <n v="20"/>
    <x v="1"/>
    <x v="1"/>
    <d v="2023-06-16T00:00:00"/>
  </r>
  <r>
    <s v="TXN_9162296"/>
    <x v="5"/>
    <n v="3"/>
    <n v="4"/>
    <n v="12"/>
    <x v="1"/>
    <x v="1"/>
    <d v="2023-05-10T00:00:00"/>
  </r>
  <r>
    <s v="TXN_8367194"/>
    <x v="7"/>
    <n v="1"/>
    <n v="3"/>
    <n v="3"/>
    <x v="3"/>
    <x v="0"/>
    <d v="2023-02-04T00:00:00"/>
  </r>
  <r>
    <s v="TXN_6744733"/>
    <x v="6"/>
    <n v="1"/>
    <n v="4"/>
    <n v="4"/>
    <x v="1"/>
    <x v="0"/>
    <m/>
  </r>
  <r>
    <s v="TXN_4959078"/>
    <x v="1"/>
    <n v="2"/>
    <n v="3"/>
    <n v="6"/>
    <x v="3"/>
    <x v="0"/>
    <d v="2023-09-13T00:00:00"/>
  </r>
  <r>
    <s v="TXN_4552137"/>
    <x v="8"/>
    <n v="2"/>
    <n v="1.5"/>
    <n v="3"/>
    <x v="2"/>
    <x v="1"/>
    <d v="2023-04-05T00:00:00"/>
  </r>
  <r>
    <s v="TXN_1748121"/>
    <x v="1"/>
    <n v="2"/>
    <n v="3"/>
    <n v="6"/>
    <x v="2"/>
    <x v="1"/>
    <d v="2023-12-07T00:00:00"/>
  </r>
  <r>
    <s v="TXN_7922350"/>
    <x v="0"/>
    <n v="2"/>
    <n v="2"/>
    <n v="4"/>
    <x v="2"/>
    <x v="0"/>
    <d v="2023-05-09T00:00:00"/>
  </r>
  <r>
    <s v="TXN_1944293"/>
    <x v="0"/>
    <n v="3"/>
    <n v="2"/>
    <n v="6"/>
    <x v="2"/>
    <x v="1"/>
    <d v="2023-02-25T00:00:00"/>
  </r>
  <r>
    <s v="TXN_4528914"/>
    <x v="3"/>
    <n v="1"/>
    <n v="5"/>
    <n v="5"/>
    <x v="2"/>
    <x v="1"/>
    <d v="2023-08-06T00:00:00"/>
  </r>
  <r>
    <s v="TXN_1928401"/>
    <x v="6"/>
    <n v="5"/>
    <n v="4"/>
    <n v="20"/>
    <x v="3"/>
    <x v="1"/>
    <d v="2023-06-15T00:00:00"/>
  </r>
  <r>
    <s v="TXN_7621213"/>
    <x v="0"/>
    <n v="3"/>
    <n v="2"/>
    <n v="6"/>
    <x v="2"/>
    <x v="1"/>
    <d v="2023-03-07T00:00:00"/>
  </r>
  <r>
    <s v="TXN_7861799"/>
    <x v="2"/>
    <n v="2"/>
    <n v="1"/>
    <n v="2"/>
    <x v="1"/>
    <x v="0"/>
    <d v="2023-05-23T00:00:00"/>
  </r>
  <r>
    <s v="TXN_5244674"/>
    <x v="1"/>
    <n v="5"/>
    <n v="3"/>
    <n v="15"/>
    <x v="2"/>
    <x v="2"/>
    <d v="2023-04-27T00:00:00"/>
  </r>
  <r>
    <s v="TXN_9679675"/>
    <x v="0"/>
    <n v="1"/>
    <n v="2"/>
    <n v="2"/>
    <x v="1"/>
    <x v="2"/>
    <d v="2023-07-07T00:00:00"/>
  </r>
  <r>
    <s v="TXN_2562041"/>
    <x v="1"/>
    <n v="5"/>
    <n v="3"/>
    <n v="15"/>
    <x v="1"/>
    <x v="0"/>
    <d v="2023-12-24T00:00:00"/>
  </r>
  <r>
    <s v="TXN_2738904"/>
    <x v="4"/>
    <n v="4"/>
    <n v="4"/>
    <n v="16"/>
    <x v="3"/>
    <x v="2"/>
    <d v="2023-11-23T00:00:00"/>
  </r>
  <r>
    <s v="TXN_7359190"/>
    <x v="3"/>
    <n v="3"/>
    <n v="5"/>
    <n v="15"/>
    <x v="2"/>
    <x v="2"/>
    <d v="2023-12-19T00:00:00"/>
  </r>
  <r>
    <s v="TXN_9266499"/>
    <x v="1"/>
    <n v="1"/>
    <n v="3"/>
    <n v="3"/>
    <x v="3"/>
    <x v="2"/>
    <d v="2023-02-16T00:00:00"/>
  </r>
  <r>
    <s v="TXN_9196229"/>
    <x v="6"/>
    <n v="5"/>
    <n v="4"/>
    <n v="20"/>
    <x v="0"/>
    <x v="2"/>
    <d v="2023-12-08T00:00:00"/>
  </r>
  <r>
    <s v="TXN_3740505"/>
    <x v="5"/>
    <n v="2"/>
    <n v="1.5"/>
    <n v="3"/>
    <x v="2"/>
    <x v="2"/>
    <d v="2023-11-21T00:00:00"/>
  </r>
  <r>
    <s v="TXN_4308634"/>
    <x v="0"/>
    <n v="3"/>
    <n v="2"/>
    <n v="6"/>
    <x v="1"/>
    <x v="1"/>
    <d v="2023-02-14T00:00:00"/>
  </r>
  <r>
    <s v="TXN_3450880"/>
    <x v="8"/>
    <n v="3"/>
    <n v="1.5"/>
    <n v="4.5"/>
    <x v="2"/>
    <x v="1"/>
    <d v="2023-05-29T00:00:00"/>
  </r>
  <r>
    <s v="TXN_6838411"/>
    <x v="0"/>
    <n v="1"/>
    <n v="2"/>
    <n v="2"/>
    <x v="1"/>
    <x v="2"/>
    <d v="2023-07-04T00:00:00"/>
  </r>
  <r>
    <s v="TXN_7548396"/>
    <x v="8"/>
    <n v="2"/>
    <n v="1.5"/>
    <n v="3"/>
    <x v="3"/>
    <x v="2"/>
    <d v="2023-04-06T00:00:00"/>
  </r>
  <r>
    <s v="TXN_8786286"/>
    <x v="6"/>
    <n v="5"/>
    <n v="4"/>
    <n v="20"/>
    <x v="3"/>
    <x v="2"/>
    <d v="2023-05-28T00:00:00"/>
  </r>
  <r>
    <s v="TXN_7439400"/>
    <x v="3"/>
    <n v="3"/>
    <n v="5"/>
    <n v="15"/>
    <x v="2"/>
    <x v="0"/>
    <d v="2023-06-28T00:00:00"/>
  </r>
  <r>
    <s v="TXN_7461658"/>
    <x v="0"/>
    <n v="3"/>
    <n v="2"/>
    <n v="6"/>
    <x v="0"/>
    <x v="2"/>
    <d v="2023-08-13T00:00:00"/>
  </r>
  <r>
    <s v="TXN_6017034"/>
    <x v="1"/>
    <n v="4"/>
    <n v="3"/>
    <n v="12"/>
    <x v="2"/>
    <x v="2"/>
    <d v="2023-10-06T00:00:00"/>
  </r>
  <r>
    <s v="TXN_3649492"/>
    <x v="3"/>
    <n v="4"/>
    <n v="5"/>
    <n v="20"/>
    <x v="3"/>
    <x v="2"/>
    <d v="2023-12-01T00:00:00"/>
  </r>
  <r>
    <s v="TXN_4071743"/>
    <x v="5"/>
    <n v="5"/>
    <n v="2"/>
    <n v="10"/>
    <x v="2"/>
    <x v="0"/>
    <d v="2023-07-06T00:00:00"/>
  </r>
  <r>
    <s v="TXN_8150967"/>
    <x v="4"/>
    <n v="3"/>
    <n v="4"/>
    <n v="12"/>
    <x v="1"/>
    <x v="2"/>
    <d v="2023-01-08T00:00:00"/>
  </r>
  <r>
    <s v="TXN_3792683"/>
    <x v="3"/>
    <n v="4"/>
    <n v="5"/>
    <n v="20"/>
    <x v="3"/>
    <x v="1"/>
    <d v="2023-08-06T00:00:00"/>
  </r>
  <r>
    <s v="TXN_4006067"/>
    <x v="7"/>
    <n v="4"/>
    <n v="3"/>
    <n v="12"/>
    <x v="1"/>
    <x v="0"/>
    <d v="2023-01-30T00:00:00"/>
  </r>
  <r>
    <s v="TXN_1975184"/>
    <x v="0"/>
    <m/>
    <n v="2"/>
    <m/>
    <x v="3"/>
    <x v="2"/>
    <d v="2023-01-15T00:00:00"/>
  </r>
  <r>
    <s v="TXN_3456242"/>
    <x v="6"/>
    <n v="5"/>
    <n v="4"/>
    <n v="20"/>
    <x v="0"/>
    <x v="2"/>
    <d v="2023-04-28T00:00:00"/>
  </r>
  <r>
    <s v="TXN_1928131"/>
    <x v="4"/>
    <n v="1"/>
    <n v="4"/>
    <n v="4"/>
    <x v="0"/>
    <x v="0"/>
    <d v="2023-04-17T00:00:00"/>
  </r>
  <r>
    <s v="TXN_8318388"/>
    <x v="1"/>
    <n v="5"/>
    <n v="3"/>
    <n v="15"/>
    <x v="2"/>
    <x v="2"/>
    <d v="2023-11-26T00:00:00"/>
  </r>
  <r>
    <s v="TXN_8270768"/>
    <x v="7"/>
    <n v="5"/>
    <n v="3"/>
    <n v="15"/>
    <x v="3"/>
    <x v="0"/>
    <d v="2023-02-28T00:00:00"/>
  </r>
  <r>
    <s v="TXN_4157300"/>
    <x v="8"/>
    <n v="4"/>
    <n v="1.5"/>
    <n v="6"/>
    <x v="1"/>
    <x v="0"/>
    <d v="2023-09-23T00:00:00"/>
  </r>
  <r>
    <s v="TXN_3224156"/>
    <x v="2"/>
    <n v="1"/>
    <n v="1"/>
    <n v="1"/>
    <x v="0"/>
    <x v="1"/>
    <d v="2023-03-16T00:00:00"/>
  </r>
  <r>
    <s v="TXN_3105633"/>
    <x v="5"/>
    <n v="1"/>
    <n v="2"/>
    <n v="2"/>
    <x v="2"/>
    <x v="1"/>
    <d v="2023-03-30T00:00:00"/>
  </r>
  <r>
    <s v="TXN_1964893"/>
    <x v="4"/>
    <n v="1"/>
    <n v="4"/>
    <n v="4"/>
    <x v="2"/>
    <x v="2"/>
    <m/>
  </r>
  <r>
    <s v="TXN_7936851"/>
    <x v="6"/>
    <n v="3"/>
    <n v="4"/>
    <n v="12"/>
    <x v="2"/>
    <x v="2"/>
    <d v="2023-10-07T00:00:00"/>
  </r>
  <r>
    <s v="TXN_6393305"/>
    <x v="3"/>
    <n v="5"/>
    <n v="5"/>
    <n v="25"/>
    <x v="3"/>
    <x v="1"/>
    <d v="2023-10-19T00:00:00"/>
  </r>
  <r>
    <s v="TXN_7326720"/>
    <x v="1"/>
    <n v="2"/>
    <n v="3"/>
    <n v="6"/>
    <x v="2"/>
    <x v="1"/>
    <d v="2023-12-08T00:00:00"/>
  </r>
  <r>
    <s v="TXN_3069563"/>
    <x v="6"/>
    <n v="2"/>
    <n v="4"/>
    <n v="8"/>
    <x v="1"/>
    <x v="2"/>
    <d v="2023-04-25T00:00:00"/>
  </r>
  <r>
    <s v="TXN_1728427"/>
    <x v="0"/>
    <n v="5"/>
    <n v="2"/>
    <n v="10"/>
    <x v="1"/>
    <x v="2"/>
    <d v="2023-02-11T00:00:00"/>
  </r>
  <r>
    <s v="TXN_9176288"/>
    <x v="8"/>
    <n v="2"/>
    <n v="1.5"/>
    <n v="3"/>
    <x v="3"/>
    <x v="1"/>
    <d v="2023-02-08T00:00:00"/>
  </r>
  <r>
    <s v="TXN_9071439"/>
    <x v="7"/>
    <n v="3"/>
    <n v="3"/>
    <n v="9"/>
    <x v="0"/>
    <x v="2"/>
    <d v="2023-02-05T00:00:00"/>
  </r>
  <r>
    <s v="TXN_4659954"/>
    <x v="5"/>
    <n v="3"/>
    <n v="4"/>
    <n v="12"/>
    <x v="0"/>
    <x v="1"/>
    <m/>
  </r>
  <r>
    <s v="TXN_1841204"/>
    <x v="3"/>
    <n v="3"/>
    <n v="5"/>
    <n v="15"/>
    <x v="3"/>
    <x v="1"/>
    <d v="2023-04-18T00:00:00"/>
  </r>
  <r>
    <s v="TXN_8963470"/>
    <x v="3"/>
    <n v="2"/>
    <n v="5"/>
    <n v="10"/>
    <x v="2"/>
    <x v="1"/>
    <d v="2023-06-01T00:00:00"/>
  </r>
  <r>
    <s v="TXN_8330240"/>
    <x v="6"/>
    <n v="4"/>
    <n v="4"/>
    <n v="16"/>
    <x v="3"/>
    <x v="2"/>
    <d v="2023-06-06T00:00:00"/>
  </r>
  <r>
    <s v="TXN_3534588"/>
    <x v="3"/>
    <n v="1"/>
    <n v="5"/>
    <n v="5"/>
    <x v="1"/>
    <x v="2"/>
    <d v="2023-07-05T00:00:00"/>
  </r>
  <r>
    <s v="TXN_2749289"/>
    <x v="4"/>
    <n v="2"/>
    <n v="4"/>
    <n v="8"/>
    <x v="3"/>
    <x v="0"/>
    <d v="2023-05-05T00:00:00"/>
  </r>
  <r>
    <s v="TXN_6587628"/>
    <x v="0"/>
    <n v="5"/>
    <n v="2"/>
    <n v="10"/>
    <x v="2"/>
    <x v="1"/>
    <d v="2023-05-09T00:00:00"/>
  </r>
  <r>
    <s v="TXN_1711872"/>
    <x v="7"/>
    <n v="1"/>
    <n v="3"/>
    <n v="3"/>
    <x v="2"/>
    <x v="0"/>
    <d v="2023-01-27T00:00:00"/>
  </r>
  <r>
    <s v="TXN_3809533"/>
    <x v="7"/>
    <n v="2"/>
    <n v="3"/>
    <n v="6"/>
    <x v="3"/>
    <x v="0"/>
    <d v="2023-02-02T00:00:00"/>
  </r>
  <r>
    <s v="TXN_4339925"/>
    <x v="2"/>
    <n v="1"/>
    <n v="1"/>
    <n v="1"/>
    <x v="1"/>
    <x v="0"/>
    <d v="2023-11-23T00:00:00"/>
  </r>
  <r>
    <s v="TXN_1183208"/>
    <x v="4"/>
    <n v="5"/>
    <n v="4"/>
    <n v="20"/>
    <x v="2"/>
    <x v="2"/>
    <d v="2023-08-26T00:00:00"/>
  </r>
  <r>
    <s v="TXN_9089045"/>
    <x v="0"/>
    <n v="5"/>
    <n v="2"/>
    <n v="10"/>
    <x v="1"/>
    <x v="1"/>
    <d v="2023-03-12T00:00:00"/>
  </r>
  <r>
    <s v="TXN_9503145"/>
    <x v="7"/>
    <n v="5"/>
    <n v="3"/>
    <n v="15"/>
    <x v="3"/>
    <x v="2"/>
    <d v="2023-09-21T00:00:00"/>
  </r>
  <r>
    <s v="TXN_8999360"/>
    <x v="7"/>
    <n v="3"/>
    <n v="3"/>
    <n v="9"/>
    <x v="1"/>
    <x v="0"/>
    <d v="2023-09-27T00:00:00"/>
  </r>
  <r>
    <s v="TXN_6188262"/>
    <x v="7"/>
    <n v="1"/>
    <n v="3"/>
    <n v="3"/>
    <x v="1"/>
    <x v="0"/>
    <d v="2023-10-24T00:00:00"/>
  </r>
  <r>
    <s v="TXN_5967452"/>
    <x v="7"/>
    <n v="5"/>
    <n v="3"/>
    <n v="15"/>
    <x v="0"/>
    <x v="2"/>
    <d v="2023-03-07T00:00:00"/>
  </r>
  <r>
    <s v="TXN_9053365"/>
    <x v="2"/>
    <n v="1"/>
    <n v="1"/>
    <n v="1"/>
    <x v="3"/>
    <x v="1"/>
    <d v="2023-07-15T00:00:00"/>
  </r>
  <r>
    <s v="TXN_3706457"/>
    <x v="8"/>
    <n v="5"/>
    <n v="1.5"/>
    <n v="7.5"/>
    <x v="0"/>
    <x v="0"/>
    <d v="2023-07-18T00:00:00"/>
  </r>
  <r>
    <s v="TXN_9612533"/>
    <x v="1"/>
    <n v="2"/>
    <n v="3"/>
    <n v="6"/>
    <x v="3"/>
    <x v="1"/>
    <d v="2023-01-26T00:00:00"/>
  </r>
  <r>
    <s v="TXN_4948026"/>
    <x v="8"/>
    <n v="4"/>
    <n v="1.5"/>
    <n v="6"/>
    <x v="3"/>
    <x v="1"/>
    <d v="2023-07-02T00:00:00"/>
  </r>
  <r>
    <s v="TXN_8741663"/>
    <x v="4"/>
    <n v="1"/>
    <n v="4"/>
    <n v="4"/>
    <x v="0"/>
    <x v="0"/>
    <d v="2023-01-21T00:00:00"/>
  </r>
  <r>
    <s v="TXN_7249396"/>
    <x v="1"/>
    <n v="1"/>
    <n v="3"/>
    <n v="3"/>
    <x v="1"/>
    <x v="2"/>
    <d v="2023-09-26T00:00:00"/>
  </r>
  <r>
    <s v="TXN_8104914"/>
    <x v="2"/>
    <n v="1"/>
    <n v="1"/>
    <n v="1"/>
    <x v="2"/>
    <x v="0"/>
    <m/>
  </r>
  <r>
    <s v="TXN_8922585"/>
    <x v="3"/>
    <n v="5"/>
    <n v="5"/>
    <n v="25"/>
    <x v="0"/>
    <x v="2"/>
    <d v="2023-06-22T00:00:00"/>
  </r>
  <r>
    <s v="TXN_2112522"/>
    <x v="6"/>
    <n v="5"/>
    <n v="4"/>
    <n v="20"/>
    <x v="3"/>
    <x v="0"/>
    <d v="2023-04-30T00:00:00"/>
  </r>
  <r>
    <s v="TXN_2338617"/>
    <x v="5"/>
    <n v="2"/>
    <n v="3"/>
    <n v="6"/>
    <x v="3"/>
    <x v="2"/>
    <d v="2023-01-12T00:00:00"/>
  </r>
  <r>
    <s v="TXN_2464054"/>
    <x v="0"/>
    <n v="5"/>
    <n v="2"/>
    <n v="10"/>
    <x v="2"/>
    <x v="0"/>
    <d v="2023-08-18T00:00:00"/>
  </r>
  <r>
    <s v="TXN_6133115"/>
    <x v="4"/>
    <n v="5"/>
    <n v="4"/>
    <n v="20"/>
    <x v="2"/>
    <x v="1"/>
    <d v="2023-12-08T00:00:00"/>
  </r>
  <r>
    <s v="TXN_8408353"/>
    <x v="8"/>
    <n v="1"/>
    <n v="1.5"/>
    <n v="1.5"/>
    <x v="0"/>
    <x v="2"/>
    <d v="2023-12-13T00:00:00"/>
  </r>
  <r>
    <s v="TXN_6420902"/>
    <x v="1"/>
    <n v="3"/>
    <n v="3"/>
    <n v="9"/>
    <x v="0"/>
    <x v="0"/>
    <d v="2023-11-22T00:00:00"/>
  </r>
  <r>
    <s v="TXN_9400245"/>
    <x v="3"/>
    <n v="1"/>
    <n v="5"/>
    <n v="5"/>
    <x v="2"/>
    <x v="1"/>
    <d v="2023-02-24T00:00:00"/>
  </r>
  <r>
    <s v="TXN_4767609"/>
    <x v="0"/>
    <n v="3"/>
    <n v="2"/>
    <n v="6"/>
    <x v="3"/>
    <x v="1"/>
    <d v="2023-10-15T00:00:00"/>
  </r>
  <r>
    <s v="TXN_1425591"/>
    <x v="4"/>
    <n v="1"/>
    <n v="4"/>
    <n v="4"/>
    <x v="1"/>
    <x v="2"/>
    <d v="2023-09-10T00:00:00"/>
  </r>
  <r>
    <s v="TXN_2292088"/>
    <x v="5"/>
    <n v="1"/>
    <n v="4"/>
    <n v="4"/>
    <x v="3"/>
    <x v="0"/>
    <d v="2023-03-04T00:00:00"/>
  </r>
  <r>
    <s v="TXN_6706599"/>
    <x v="1"/>
    <n v="1"/>
    <n v="3"/>
    <n v="3"/>
    <x v="2"/>
    <x v="0"/>
    <d v="2023-09-20T00:00:00"/>
  </r>
  <r>
    <s v="TXN_4365321"/>
    <x v="3"/>
    <n v="4"/>
    <n v="5"/>
    <n v="20"/>
    <x v="1"/>
    <x v="1"/>
    <d v="2023-03-09T00:00:00"/>
  </r>
  <r>
    <s v="TXN_4457299"/>
    <x v="4"/>
    <n v="3"/>
    <n v="4"/>
    <n v="12"/>
    <x v="0"/>
    <x v="1"/>
    <d v="2023-09-19T00:00:00"/>
  </r>
  <r>
    <s v="TXN_4671375"/>
    <x v="8"/>
    <n v="1"/>
    <n v="1.5"/>
    <n v="1.5"/>
    <x v="2"/>
    <x v="2"/>
    <d v="2023-06-28T00:00:00"/>
  </r>
  <r>
    <s v="TXN_1184715"/>
    <x v="1"/>
    <n v="2"/>
    <n v="3"/>
    <n v="6"/>
    <x v="2"/>
    <x v="2"/>
    <d v="2023-09-10T00:00:00"/>
  </r>
  <r>
    <s v="TXN_5981429"/>
    <x v="7"/>
    <n v="2"/>
    <n v="3"/>
    <n v="6"/>
    <x v="3"/>
    <x v="2"/>
    <d v="2023-12-24T00:00:00"/>
  </r>
  <r>
    <s v="TXN_9036527"/>
    <x v="4"/>
    <n v="4"/>
    <n v="4"/>
    <n v="16"/>
    <x v="3"/>
    <x v="2"/>
    <d v="2023-06-27T00:00:00"/>
  </r>
  <r>
    <s v="TXN_2464706"/>
    <x v="1"/>
    <n v="4"/>
    <n v="3"/>
    <n v="12"/>
    <x v="3"/>
    <x v="0"/>
    <d v="2023-11-09T00:00:00"/>
  </r>
  <r>
    <s v="TXN_8844497"/>
    <x v="6"/>
    <n v="3"/>
    <n v="4"/>
    <n v="12"/>
    <x v="2"/>
    <x v="0"/>
    <d v="2023-11-18T00:00:00"/>
  </r>
  <r>
    <s v="TXN_5171519"/>
    <x v="3"/>
    <n v="3"/>
    <n v="5"/>
    <n v="15"/>
    <x v="2"/>
    <x v="1"/>
    <d v="2023-04-06T00:00:00"/>
  </r>
  <r>
    <s v="TXN_6049240"/>
    <x v="7"/>
    <n v="1"/>
    <n v="3"/>
    <n v="3"/>
    <x v="1"/>
    <x v="2"/>
    <d v="2023-05-31T00:00:00"/>
  </r>
  <r>
    <s v="TXN_4428252"/>
    <x v="6"/>
    <n v="3"/>
    <n v="4"/>
    <n v="12"/>
    <x v="2"/>
    <x v="0"/>
    <d v="2023-10-31T00:00:00"/>
  </r>
  <r>
    <s v="TXN_8344810"/>
    <x v="4"/>
    <n v="2"/>
    <n v="4"/>
    <n v="8"/>
    <x v="2"/>
    <x v="2"/>
    <m/>
  </r>
  <r>
    <s v="TXN_8502079"/>
    <x v="8"/>
    <n v="2"/>
    <n v="1.5"/>
    <n v="3"/>
    <x v="1"/>
    <x v="2"/>
    <d v="2023-04-20T00:00:00"/>
  </r>
  <r>
    <s v="TXN_9460419"/>
    <x v="1"/>
    <n v="1"/>
    <n v="3"/>
    <n v="3"/>
    <x v="2"/>
    <x v="0"/>
    <m/>
  </r>
  <r>
    <s v="TXN_1169615"/>
    <x v="4"/>
    <n v="5"/>
    <n v="4"/>
    <n v="20"/>
    <x v="3"/>
    <x v="1"/>
    <d v="2023-03-16T00:00:00"/>
  </r>
  <r>
    <s v="TXN_9778251"/>
    <x v="8"/>
    <n v="4"/>
    <n v="1.5"/>
    <n v="6"/>
    <x v="2"/>
    <x v="0"/>
    <d v="2023-11-09T00:00:00"/>
  </r>
  <r>
    <s v="TXN_1949093"/>
    <x v="4"/>
    <n v="2"/>
    <n v="4"/>
    <n v="8"/>
    <x v="1"/>
    <x v="2"/>
    <d v="2023-02-05T00:00:00"/>
  </r>
  <r>
    <s v="TXN_8253472"/>
    <x v="1"/>
    <n v="1"/>
    <n v="3"/>
    <n v="3"/>
    <x v="2"/>
    <x v="2"/>
    <m/>
  </r>
  <r>
    <s v="TXN_9357808"/>
    <x v="6"/>
    <n v="4"/>
    <n v="4"/>
    <n v="16"/>
    <x v="1"/>
    <x v="2"/>
    <d v="2023-05-20T00:00:00"/>
  </r>
  <r>
    <s v="TXN_9026468"/>
    <x v="6"/>
    <n v="2"/>
    <n v="4"/>
    <n v="8"/>
    <x v="0"/>
    <x v="2"/>
    <d v="2023-08-23T00:00:00"/>
  </r>
  <r>
    <s v="TXN_8273780"/>
    <x v="3"/>
    <n v="2"/>
    <n v="5"/>
    <n v="10"/>
    <x v="3"/>
    <x v="0"/>
    <d v="2023-10-15T00:00:00"/>
  </r>
  <r>
    <s v="TXN_4224427"/>
    <x v="7"/>
    <n v="4"/>
    <n v="3"/>
    <n v="12"/>
    <x v="1"/>
    <x v="0"/>
    <d v="2023-01-23T00:00:00"/>
  </r>
  <r>
    <s v="TXN_5344848"/>
    <x v="3"/>
    <n v="1"/>
    <n v="5"/>
    <n v="5"/>
    <x v="3"/>
    <x v="0"/>
    <d v="2023-09-27T00:00:00"/>
  </r>
  <r>
    <s v="TXN_6411708"/>
    <x v="0"/>
    <n v="4"/>
    <n v="2"/>
    <n v="8"/>
    <x v="0"/>
    <x v="1"/>
    <d v="2023-05-20T00:00:00"/>
  </r>
  <r>
    <s v="TXN_7495283"/>
    <x v="1"/>
    <n v="5"/>
    <n v="3"/>
    <n v="15"/>
    <x v="0"/>
    <x v="0"/>
    <d v="2023-04-14T00:00:00"/>
  </r>
  <r>
    <s v="TXN_8153550"/>
    <x v="2"/>
    <n v="2"/>
    <n v="1"/>
    <n v="2"/>
    <x v="1"/>
    <x v="0"/>
    <d v="2023-10-12T00:00:00"/>
  </r>
  <r>
    <s v="TXN_8807600"/>
    <x v="5"/>
    <n v="1"/>
    <n v="4"/>
    <n v="4"/>
    <x v="1"/>
    <x v="0"/>
    <d v="2023-09-24T00:00:00"/>
  </r>
  <r>
    <s v="TXN_5921442"/>
    <x v="4"/>
    <n v="4"/>
    <n v="4"/>
    <n v="16"/>
    <x v="1"/>
    <x v="0"/>
    <d v="2023-02-04T00:00:00"/>
  </r>
  <r>
    <s v="TXN_9496697"/>
    <x v="8"/>
    <n v="1"/>
    <n v="1.5"/>
    <n v="1.5"/>
    <x v="2"/>
    <x v="1"/>
    <d v="2023-09-27T00:00:00"/>
  </r>
  <r>
    <s v="TXN_3130865"/>
    <x v="7"/>
    <n v="3"/>
    <n v="3"/>
    <n v="9"/>
    <x v="2"/>
    <x v="1"/>
    <m/>
  </r>
  <r>
    <s v="TXN_2818204"/>
    <x v="1"/>
    <n v="1"/>
    <n v="3"/>
    <n v="3"/>
    <x v="3"/>
    <x v="2"/>
    <d v="2023-03-09T00:00:00"/>
  </r>
  <r>
    <s v="TXN_4122925"/>
    <x v="5"/>
    <n v="4"/>
    <n v="1"/>
    <n v="4"/>
    <x v="2"/>
    <x v="0"/>
    <d v="2023-10-20T00:00:00"/>
  </r>
  <r>
    <s v="TXN_9407169"/>
    <x v="6"/>
    <n v="1"/>
    <n v="4"/>
    <n v="4"/>
    <x v="3"/>
    <x v="2"/>
    <d v="2023-01-28T00:00:00"/>
  </r>
  <r>
    <s v="TXN_8966400"/>
    <x v="1"/>
    <n v="5"/>
    <n v="3"/>
    <n v="15"/>
    <x v="0"/>
    <x v="0"/>
    <d v="2023-11-29T00:00:00"/>
  </r>
  <r>
    <s v="TXN_1191659"/>
    <x v="0"/>
    <n v="4"/>
    <n v="2"/>
    <n v="8"/>
    <x v="0"/>
    <x v="1"/>
    <d v="2023-11-21T00:00:00"/>
  </r>
  <r>
    <s v="TXN_9187008"/>
    <x v="8"/>
    <n v="4"/>
    <n v="1.5"/>
    <n v="6"/>
    <x v="2"/>
    <x v="2"/>
    <d v="2023-09-16T00:00:00"/>
  </r>
  <r>
    <s v="TXN_1958525"/>
    <x v="2"/>
    <n v="3"/>
    <n v="1"/>
    <n v="3"/>
    <x v="2"/>
    <x v="0"/>
    <d v="2023-10-08T00:00:00"/>
  </r>
  <r>
    <s v="TXN_6487003"/>
    <x v="0"/>
    <n v="4"/>
    <n v="2"/>
    <n v="8"/>
    <x v="0"/>
    <x v="0"/>
    <d v="2023-11-15T00:00:00"/>
  </r>
  <r>
    <s v="TXN_4125474"/>
    <x v="5"/>
    <n v="2"/>
    <n v="5"/>
    <n v="10"/>
    <x v="0"/>
    <x v="1"/>
    <d v="2023-08-02T00:00:00"/>
  </r>
  <r>
    <s v="TXN_4556831"/>
    <x v="7"/>
    <n v="2"/>
    <n v="3"/>
    <n v="6"/>
    <x v="3"/>
    <x v="1"/>
    <d v="2023-05-28T00:00:00"/>
  </r>
  <r>
    <s v="TXN_3546629"/>
    <x v="7"/>
    <n v="5"/>
    <n v="3"/>
    <n v="15"/>
    <x v="2"/>
    <x v="1"/>
    <d v="2023-03-04T00:00:00"/>
  </r>
  <r>
    <s v="TXN_2153100"/>
    <x v="8"/>
    <n v="2"/>
    <n v="1.5"/>
    <n v="3"/>
    <x v="1"/>
    <x v="2"/>
    <d v="2023-12-29T00:00:00"/>
  </r>
  <r>
    <s v="TXN_4723089"/>
    <x v="6"/>
    <n v="4"/>
    <n v="4"/>
    <n v="16"/>
    <x v="1"/>
    <x v="1"/>
    <d v="2023-05-23T00:00:00"/>
  </r>
  <r>
    <s v="TXN_8545707"/>
    <x v="1"/>
    <n v="5"/>
    <n v="3"/>
    <n v="15"/>
    <x v="2"/>
    <x v="0"/>
    <d v="2023-02-14T00:00:00"/>
  </r>
  <r>
    <s v="TXN_8938445"/>
    <x v="1"/>
    <n v="3"/>
    <n v="3"/>
    <n v="9"/>
    <x v="2"/>
    <x v="1"/>
    <d v="2023-11-07T00:00:00"/>
  </r>
  <r>
    <s v="TXN_5846013"/>
    <x v="8"/>
    <n v="2"/>
    <n v="1.5"/>
    <n v="3"/>
    <x v="3"/>
    <x v="2"/>
    <d v="2023-12-20T00:00:00"/>
  </r>
  <r>
    <s v="TXN_6494265"/>
    <x v="0"/>
    <n v="2"/>
    <n v="2"/>
    <n v="4"/>
    <x v="2"/>
    <x v="2"/>
    <d v="2023-05-24T00:00:00"/>
  </r>
  <r>
    <s v="TXN_8563793"/>
    <x v="7"/>
    <n v="4"/>
    <n v="3"/>
    <n v="12"/>
    <x v="2"/>
    <x v="1"/>
    <d v="2023-03-26T00:00:00"/>
  </r>
  <r>
    <s v="TXN_8866974"/>
    <x v="4"/>
    <n v="3"/>
    <n v="4"/>
    <n v="12"/>
    <x v="3"/>
    <x v="0"/>
    <d v="2023-03-14T00:00:00"/>
  </r>
  <r>
    <s v="TXN_9954652"/>
    <x v="0"/>
    <n v="2"/>
    <n v="2"/>
    <n v="4"/>
    <x v="1"/>
    <x v="1"/>
    <d v="2023-09-12T00:00:00"/>
  </r>
  <r>
    <s v="TXN_5762440"/>
    <x v="6"/>
    <n v="5"/>
    <n v="4"/>
    <n v="20"/>
    <x v="1"/>
    <x v="1"/>
    <d v="2023-03-05T00:00:00"/>
  </r>
  <r>
    <s v="TXN_6120851"/>
    <x v="3"/>
    <n v="5"/>
    <n v="5"/>
    <n v="25"/>
    <x v="1"/>
    <x v="0"/>
    <d v="2023-02-04T00:00:00"/>
  </r>
  <r>
    <s v="TXN_3124078"/>
    <x v="1"/>
    <n v="4"/>
    <n v="3"/>
    <n v="12"/>
    <x v="2"/>
    <x v="1"/>
    <d v="2023-08-06T00:00:00"/>
  </r>
  <r>
    <s v="TXN_7936002"/>
    <x v="3"/>
    <n v="2"/>
    <n v="5"/>
    <n v="10"/>
    <x v="3"/>
    <x v="2"/>
    <d v="2023-01-26T00:00:00"/>
  </r>
  <r>
    <s v="TXN_8076061"/>
    <x v="8"/>
    <n v="4"/>
    <n v="1.5"/>
    <n v="6"/>
    <x v="1"/>
    <x v="1"/>
    <d v="2023-04-01T00:00:00"/>
  </r>
  <r>
    <s v="TXN_9668108"/>
    <x v="1"/>
    <n v="1"/>
    <n v="3"/>
    <n v="3"/>
    <x v="1"/>
    <x v="1"/>
    <d v="2023-01-20T00:00:00"/>
  </r>
  <r>
    <s v="TXN_3528020"/>
    <x v="2"/>
    <n v="1"/>
    <n v="1"/>
    <n v="1"/>
    <x v="2"/>
    <x v="0"/>
    <d v="2023-08-26T00:00:00"/>
  </r>
  <r>
    <s v="TXN_5548914"/>
    <x v="7"/>
    <n v="2"/>
    <n v="3"/>
    <n v="6"/>
    <x v="3"/>
    <x v="1"/>
    <d v="2023-11-04T00:00:00"/>
  </r>
  <r>
    <s v="TXN_4302199"/>
    <x v="8"/>
    <n v="3"/>
    <n v="1.5"/>
    <n v="4.5"/>
    <x v="2"/>
    <x v="2"/>
    <d v="2023-02-16T00:00:00"/>
  </r>
  <r>
    <s v="TXN_9933628"/>
    <x v="4"/>
    <n v="5"/>
    <n v="4"/>
    <n v="20"/>
    <x v="1"/>
    <x v="1"/>
    <d v="2023-07-20T00:00:00"/>
  </r>
  <r>
    <s v="TXN_6796890"/>
    <x v="8"/>
    <n v="4"/>
    <n v="1.5"/>
    <n v="6"/>
    <x v="2"/>
    <x v="2"/>
    <d v="2023-08-24T00:00:00"/>
  </r>
  <r>
    <s v="TXN_4583012"/>
    <x v="5"/>
    <n v="5"/>
    <n v="4"/>
    <n v="20"/>
    <x v="3"/>
    <x v="2"/>
    <d v="2023-02-27T00:00:00"/>
  </r>
  <r>
    <s v="TXN_8567525"/>
    <x v="2"/>
    <n v="2"/>
    <n v="1"/>
    <n v="2"/>
    <x v="2"/>
    <x v="0"/>
    <d v="2023-12-30T00:00:00"/>
  </r>
  <r>
    <s v="TXN_9226047"/>
    <x v="4"/>
    <n v="3"/>
    <n v="4"/>
    <n v="12"/>
    <x v="1"/>
    <x v="2"/>
    <m/>
  </r>
  <r>
    <s v="TXN_3142496"/>
    <x v="4"/>
    <n v="1"/>
    <n v="4"/>
    <n v="4"/>
    <x v="1"/>
    <x v="0"/>
    <d v="2023-07-27T00:00:00"/>
  </r>
  <r>
    <s v="TXN_3297457"/>
    <x v="1"/>
    <n v="2"/>
    <n v="3"/>
    <n v="6"/>
    <x v="2"/>
    <x v="2"/>
    <d v="2023-01-03T00:00:00"/>
  </r>
  <r>
    <s v="TXN_2858441"/>
    <x v="6"/>
    <n v="2"/>
    <n v="4"/>
    <n v="8"/>
    <x v="0"/>
    <x v="1"/>
    <d v="2023-12-14T00:00:00"/>
  </r>
  <r>
    <s v="TXN_1784478"/>
    <x v="7"/>
    <n v="5"/>
    <n v="3"/>
    <n v="15"/>
    <x v="1"/>
    <x v="2"/>
    <d v="2023-07-31T00:00:00"/>
  </r>
  <r>
    <s v="TXN_9594133"/>
    <x v="1"/>
    <n v="5"/>
    <n v="3"/>
    <n v="15"/>
    <x v="2"/>
    <x v="2"/>
    <m/>
  </r>
  <r>
    <s v="TXN_1741685"/>
    <x v="7"/>
    <n v="5"/>
    <n v="3"/>
    <n v="15"/>
    <x v="1"/>
    <x v="2"/>
    <d v="2023-08-18T00:00:00"/>
  </r>
  <r>
    <s v="TXN_1538510"/>
    <x v="0"/>
    <n v="5"/>
    <n v="2"/>
    <n v="10"/>
    <x v="3"/>
    <x v="2"/>
    <d v="2023-05-22T00:00:00"/>
  </r>
  <r>
    <s v="TXN_3897619"/>
    <x v="6"/>
    <n v="3"/>
    <n v="4"/>
    <n v="12"/>
    <x v="1"/>
    <x v="0"/>
    <d v="2023-02-24T00:00:00"/>
  </r>
  <r>
    <s v="TXN_2739140"/>
    <x v="4"/>
    <n v="4"/>
    <n v="4"/>
    <n v="16"/>
    <x v="2"/>
    <x v="1"/>
    <d v="2023-07-05T00:00:00"/>
  </r>
  <r>
    <s v="TXN_4766549"/>
    <x v="4"/>
    <n v="2"/>
    <n v="4"/>
    <n v="8"/>
    <x v="1"/>
    <x v="2"/>
    <d v="2023-10-20T00:00:00"/>
  </r>
  <r>
    <s v="TXN_7851634"/>
    <x v="5"/>
    <n v="4"/>
    <n v="4"/>
    <n v="16"/>
    <x v="2"/>
    <x v="2"/>
    <d v="2023-01-08T00:00:00"/>
  </r>
  <r>
    <s v="TXN_7672686"/>
    <x v="0"/>
    <n v="2"/>
    <n v="2"/>
    <n v="4"/>
    <x v="2"/>
    <x v="2"/>
    <d v="2023-08-30T00:00:00"/>
  </r>
  <r>
    <s v="TXN_9659401"/>
    <x v="5"/>
    <n v="3"/>
    <n v="1"/>
    <n v="3"/>
    <x v="3"/>
    <x v="2"/>
    <d v="2023-06-02T00:00:00"/>
  </r>
  <r>
    <s v="TXN_5255387"/>
    <x v="0"/>
    <n v="4"/>
    <n v="2"/>
    <n v="8"/>
    <x v="3"/>
    <x v="2"/>
    <d v="2023-03-02T00:00:00"/>
  </r>
  <r>
    <s v="TXN_7695629"/>
    <x v="2"/>
    <n v="3"/>
    <n v="1"/>
    <n v="3"/>
    <x v="3"/>
    <x v="2"/>
    <d v="2023-12-02T00:00:00"/>
  </r>
  <r>
    <s v="TXN_6170729"/>
    <x v="6"/>
    <n v="3"/>
    <n v="4"/>
    <n v="12"/>
    <x v="1"/>
    <x v="1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Location">
  <location ref="A15:B18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Revenue" fld="4" baseField="6" baseItem="0" numFmtId="2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Payment Method">
  <location ref="D1:E5" firstHeaderRow="1" firstDataRow="1" firstDataCol="1"/>
  <pivotFields count="8"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3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4" baseField="5" baseItem="0" numFmtId="2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Item">
  <location ref="A1:B10" firstHeaderRow="1" firstDataRow="1" firstDataCol="1"/>
  <pivotFields count="8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4" baseField="1" baseItem="0" numFmtId="2"/>
  </dataFields>
  <formats count="3">
    <format dxfId="7">
      <pivotArea outline="0" collapsedLevelsAreSubtotals="1" fieldPosition="0"/>
    </format>
    <format dxfId="6">
      <pivotArea dataOnly="0" labelOnly="1" outline="0" axis="axisValues" fieldPosition="0"/>
    </format>
    <format dxfId="1">
      <pivotArea field="1" type="button" dataOnly="0" labelOnly="1" outline="0" axis="axisRow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activeCell="B7" sqref="B7"/>
    </sheetView>
  </sheetViews>
  <sheetFormatPr defaultRowHeight="14.5" x14ac:dyDescent="0.35"/>
  <cols>
    <col min="1" max="1" width="13.1796875" customWidth="1"/>
    <col min="4" max="4" width="11.81640625" customWidth="1"/>
    <col min="5" max="5" width="10.7265625" customWidth="1"/>
    <col min="6" max="6" width="16" customWidth="1"/>
    <col min="8" max="8" width="15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5">
      <c r="A4" t="s">
        <v>16</v>
      </c>
      <c r="B4" t="s">
        <v>17</v>
      </c>
      <c r="C4">
        <v>4</v>
      </c>
      <c r="D4">
        <v>1</v>
      </c>
      <c r="E4">
        <v>4</v>
      </c>
      <c r="F4" t="s">
        <v>10</v>
      </c>
      <c r="G4" t="s">
        <v>15</v>
      </c>
      <c r="H4" s="1">
        <v>45126</v>
      </c>
    </row>
    <row r="5" spans="1:8" x14ac:dyDescent="0.35">
      <c r="A5" t="s">
        <v>18</v>
      </c>
      <c r="B5" t="s">
        <v>19</v>
      </c>
      <c r="C5">
        <v>2</v>
      </c>
      <c r="D5">
        <v>5</v>
      </c>
      <c r="E5">
        <v>10</v>
      </c>
      <c r="H5" s="1">
        <v>45043</v>
      </c>
    </row>
    <row r="6" spans="1:8" x14ac:dyDescent="0.35">
      <c r="A6" t="s">
        <v>20</v>
      </c>
      <c r="B6" t="s">
        <v>9</v>
      </c>
      <c r="C6">
        <v>2</v>
      </c>
      <c r="D6">
        <v>2</v>
      </c>
      <c r="E6">
        <v>4</v>
      </c>
      <c r="F6" t="s">
        <v>21</v>
      </c>
      <c r="G6" t="s">
        <v>15</v>
      </c>
      <c r="H6" s="1">
        <v>45088</v>
      </c>
    </row>
    <row r="7" spans="1:8" x14ac:dyDescent="0.35">
      <c r="A7" t="s">
        <v>22</v>
      </c>
      <c r="B7" t="s">
        <v>23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5">
      <c r="A8" t="s">
        <v>24</v>
      </c>
      <c r="C8">
        <v>3</v>
      </c>
      <c r="D8">
        <v>3</v>
      </c>
      <c r="E8">
        <v>9</v>
      </c>
      <c r="G8" t="s">
        <v>11</v>
      </c>
      <c r="H8" s="1">
        <v>45205</v>
      </c>
    </row>
    <row r="9" spans="1:8" x14ac:dyDescent="0.35">
      <c r="A9" t="s">
        <v>25</v>
      </c>
      <c r="B9" t="s">
        <v>26</v>
      </c>
      <c r="C9">
        <v>4</v>
      </c>
      <c r="D9">
        <v>4</v>
      </c>
      <c r="E9">
        <v>16</v>
      </c>
      <c r="F9" t="s">
        <v>14</v>
      </c>
      <c r="H9" s="1">
        <v>45227</v>
      </c>
    </row>
    <row r="10" spans="1:8" x14ac:dyDescent="0.35">
      <c r="A10" t="s">
        <v>27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5">
      <c r="A11" t="s">
        <v>28</v>
      </c>
      <c r="B11" t="s">
        <v>26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5">
      <c r="A12" t="s">
        <v>29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5">
      <c r="A13" t="s">
        <v>30</v>
      </c>
      <c r="B13" t="s">
        <v>26</v>
      </c>
      <c r="C13">
        <v>2</v>
      </c>
      <c r="D13">
        <v>4</v>
      </c>
      <c r="E13">
        <v>8</v>
      </c>
      <c r="F13" t="s">
        <v>10</v>
      </c>
      <c r="G13" t="s">
        <v>11</v>
      </c>
    </row>
    <row r="14" spans="1:8" x14ac:dyDescent="0.35">
      <c r="A14" t="s">
        <v>31</v>
      </c>
      <c r="B14" t="s">
        <v>26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5">
      <c r="A15" t="s">
        <v>32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5">
      <c r="A16" t="s">
        <v>33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34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35</v>
      </c>
      <c r="B18" t="s">
        <v>26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36</v>
      </c>
      <c r="B19" t="s">
        <v>37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38</v>
      </c>
      <c r="B20" t="s">
        <v>13</v>
      </c>
      <c r="C20">
        <v>5</v>
      </c>
      <c r="D20">
        <v>3</v>
      </c>
      <c r="E20">
        <v>15</v>
      </c>
      <c r="F20" t="s">
        <v>14</v>
      </c>
      <c r="H20" s="1">
        <v>45010</v>
      </c>
    </row>
    <row r="21" spans="1:8" x14ac:dyDescent="0.35">
      <c r="A21" t="s">
        <v>39</v>
      </c>
      <c r="B21" t="s">
        <v>37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40</v>
      </c>
      <c r="B22" t="s">
        <v>23</v>
      </c>
      <c r="C22">
        <v>5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41</v>
      </c>
      <c r="B23" t="s">
        <v>23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42</v>
      </c>
      <c r="B24" t="s">
        <v>26</v>
      </c>
      <c r="C24">
        <v>3</v>
      </c>
      <c r="D24">
        <v>4</v>
      </c>
      <c r="E24">
        <v>12</v>
      </c>
      <c r="F24" t="s">
        <v>21</v>
      </c>
      <c r="G24" t="s">
        <v>11</v>
      </c>
      <c r="H24" s="1">
        <v>45261</v>
      </c>
    </row>
    <row r="25" spans="1:8" x14ac:dyDescent="0.35">
      <c r="A25" t="s">
        <v>43</v>
      </c>
      <c r="B25" t="s">
        <v>26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44</v>
      </c>
      <c r="B26" t="s">
        <v>26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45</v>
      </c>
      <c r="B27" t="s">
        <v>23</v>
      </c>
      <c r="C27">
        <v>3</v>
      </c>
      <c r="D27">
        <v>4</v>
      </c>
      <c r="E27">
        <v>12</v>
      </c>
      <c r="H27" s="1">
        <v>45273</v>
      </c>
    </row>
    <row r="28" spans="1:8" x14ac:dyDescent="0.35">
      <c r="A28" t="s">
        <v>46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47</v>
      </c>
      <c r="B29" t="s">
        <v>37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48</v>
      </c>
      <c r="B30" t="s">
        <v>23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49</v>
      </c>
      <c r="B31" t="s">
        <v>13</v>
      </c>
      <c r="C31">
        <v>4</v>
      </c>
      <c r="D31">
        <v>3</v>
      </c>
      <c r="E31">
        <v>12</v>
      </c>
      <c r="F31" t="s">
        <v>21</v>
      </c>
      <c r="G31" t="s">
        <v>11</v>
      </c>
    </row>
    <row r="32" spans="1:8" x14ac:dyDescent="0.35">
      <c r="A32" t="s">
        <v>50</v>
      </c>
      <c r="C32">
        <v>5</v>
      </c>
      <c r="D32">
        <v>2</v>
      </c>
      <c r="E32">
        <v>10</v>
      </c>
      <c r="F32" t="s">
        <v>21</v>
      </c>
      <c r="H32" s="1">
        <v>45079</v>
      </c>
    </row>
    <row r="33" spans="1:8" x14ac:dyDescent="0.35">
      <c r="A33" t="s">
        <v>51</v>
      </c>
      <c r="C33">
        <v>2</v>
      </c>
      <c r="D33">
        <v>1</v>
      </c>
      <c r="E33">
        <v>2</v>
      </c>
      <c r="F33" t="s">
        <v>10</v>
      </c>
      <c r="H33" s="1">
        <v>45236</v>
      </c>
    </row>
    <row r="34" spans="1:8" x14ac:dyDescent="0.35">
      <c r="A34" t="s">
        <v>52</v>
      </c>
      <c r="B34" t="s">
        <v>23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53</v>
      </c>
      <c r="C35">
        <v>5</v>
      </c>
      <c r="D35">
        <v>1</v>
      </c>
      <c r="E35">
        <v>5</v>
      </c>
      <c r="F35" t="s">
        <v>14</v>
      </c>
    </row>
    <row r="36" spans="1:8" x14ac:dyDescent="0.35">
      <c r="A36" t="s">
        <v>54</v>
      </c>
      <c r="B36" t="s">
        <v>23</v>
      </c>
      <c r="C36">
        <v>2</v>
      </c>
      <c r="D36">
        <v>4</v>
      </c>
      <c r="E36">
        <v>8</v>
      </c>
      <c r="F36" t="s">
        <v>21</v>
      </c>
      <c r="G36" t="s">
        <v>11</v>
      </c>
      <c r="H36" s="1">
        <v>45208</v>
      </c>
    </row>
    <row r="37" spans="1:8" x14ac:dyDescent="0.35">
      <c r="A37" t="s">
        <v>55</v>
      </c>
      <c r="B37" t="s">
        <v>26</v>
      </c>
      <c r="C37">
        <v>1</v>
      </c>
      <c r="D37">
        <v>4</v>
      </c>
      <c r="E37">
        <v>4</v>
      </c>
      <c r="F37" t="s">
        <v>10</v>
      </c>
      <c r="H37" s="1">
        <v>45074</v>
      </c>
    </row>
    <row r="38" spans="1:8" x14ac:dyDescent="0.35">
      <c r="A38" t="s">
        <v>56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57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58</v>
      </c>
      <c r="B40" t="s">
        <v>23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59</v>
      </c>
      <c r="B41" t="s">
        <v>9</v>
      </c>
      <c r="C41">
        <v>4</v>
      </c>
      <c r="D41">
        <v>2</v>
      </c>
      <c r="E41">
        <v>8</v>
      </c>
      <c r="H41" s="1">
        <v>45106</v>
      </c>
    </row>
    <row r="42" spans="1:8" x14ac:dyDescent="0.35">
      <c r="A42" t="s">
        <v>60</v>
      </c>
      <c r="B42" t="s">
        <v>23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61</v>
      </c>
      <c r="B43" t="s">
        <v>26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62</v>
      </c>
      <c r="B44" t="s">
        <v>63</v>
      </c>
      <c r="C44">
        <v>2</v>
      </c>
      <c r="D44">
        <v>1.5</v>
      </c>
      <c r="E44">
        <v>3</v>
      </c>
      <c r="G44" t="s">
        <v>11</v>
      </c>
      <c r="H44" s="1">
        <v>44936</v>
      </c>
    </row>
    <row r="45" spans="1:8" x14ac:dyDescent="0.35">
      <c r="A45" t="s">
        <v>64</v>
      </c>
      <c r="B45" t="s">
        <v>37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65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66</v>
      </c>
      <c r="B47" t="s">
        <v>19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67</v>
      </c>
      <c r="B48" t="s">
        <v>37</v>
      </c>
      <c r="C48">
        <v>4</v>
      </c>
      <c r="D48">
        <v>3</v>
      </c>
      <c r="E48">
        <v>12</v>
      </c>
      <c r="F48" t="s">
        <v>21</v>
      </c>
      <c r="G48" t="s">
        <v>15</v>
      </c>
      <c r="H48" s="1">
        <v>45233</v>
      </c>
    </row>
    <row r="49" spans="1:8" x14ac:dyDescent="0.35">
      <c r="A49" t="s">
        <v>68</v>
      </c>
      <c r="B49" t="s">
        <v>37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69</v>
      </c>
      <c r="B50" t="s">
        <v>37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70</v>
      </c>
      <c r="B51" t="s">
        <v>13</v>
      </c>
      <c r="C51">
        <v>3</v>
      </c>
      <c r="D51">
        <v>3</v>
      </c>
      <c r="E51">
        <v>9</v>
      </c>
      <c r="H51" s="1">
        <v>45048</v>
      </c>
    </row>
    <row r="52" spans="1:8" x14ac:dyDescent="0.35">
      <c r="A52" t="s">
        <v>71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72</v>
      </c>
      <c r="B53" t="s">
        <v>19</v>
      </c>
      <c r="C53">
        <v>5</v>
      </c>
      <c r="D53">
        <v>5</v>
      </c>
      <c r="E53">
        <v>25</v>
      </c>
      <c r="G53" t="s">
        <v>11</v>
      </c>
      <c r="H53" s="1">
        <v>44934</v>
      </c>
    </row>
    <row r="54" spans="1:8" x14ac:dyDescent="0.35">
      <c r="A54" t="s">
        <v>73</v>
      </c>
      <c r="C54">
        <v>5</v>
      </c>
      <c r="D54">
        <v>5</v>
      </c>
      <c r="E54">
        <v>25</v>
      </c>
      <c r="F54" t="s">
        <v>21</v>
      </c>
      <c r="H54" s="1">
        <v>45000</v>
      </c>
    </row>
    <row r="55" spans="1:8" x14ac:dyDescent="0.35">
      <c r="A55" t="s">
        <v>74</v>
      </c>
      <c r="B55" t="s">
        <v>23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75</v>
      </c>
      <c r="B56" t="s">
        <v>23</v>
      </c>
      <c r="C56">
        <v>5</v>
      </c>
      <c r="D56">
        <v>4</v>
      </c>
      <c r="E56">
        <v>20</v>
      </c>
      <c r="F56" t="s">
        <v>21</v>
      </c>
      <c r="G56" t="s">
        <v>11</v>
      </c>
      <c r="H56" s="1">
        <v>45265</v>
      </c>
    </row>
    <row r="57" spans="1:8" x14ac:dyDescent="0.35">
      <c r="A57" t="s">
        <v>76</v>
      </c>
      <c r="B57" t="s">
        <v>17</v>
      </c>
      <c r="C57">
        <v>2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77</v>
      </c>
      <c r="B58" t="s">
        <v>13</v>
      </c>
      <c r="C58">
        <v>5</v>
      </c>
      <c r="D58">
        <v>3</v>
      </c>
      <c r="E58">
        <v>15</v>
      </c>
      <c r="G58" t="s">
        <v>11</v>
      </c>
      <c r="H58" s="1">
        <v>45104</v>
      </c>
    </row>
    <row r="59" spans="1:8" x14ac:dyDescent="0.35">
      <c r="A59" t="s">
        <v>78</v>
      </c>
      <c r="B59" t="s">
        <v>13</v>
      </c>
      <c r="C59">
        <v>1</v>
      </c>
      <c r="D59">
        <v>3</v>
      </c>
      <c r="E59">
        <v>3</v>
      </c>
      <c r="F59" t="s">
        <v>21</v>
      </c>
      <c r="G59" t="s">
        <v>15</v>
      </c>
      <c r="H59" s="1">
        <v>45035</v>
      </c>
    </row>
    <row r="60" spans="1:8" x14ac:dyDescent="0.35">
      <c r="A60" t="s">
        <v>79</v>
      </c>
      <c r="B60" t="s">
        <v>26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80</v>
      </c>
      <c r="B61" t="s">
        <v>37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81</v>
      </c>
      <c r="B62" t="s">
        <v>19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82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83</v>
      </c>
      <c r="B64" t="s">
        <v>26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84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85</v>
      </c>
      <c r="B66" t="s">
        <v>23</v>
      </c>
      <c r="C66">
        <v>4</v>
      </c>
      <c r="D66">
        <v>4</v>
      </c>
      <c r="E66">
        <v>16</v>
      </c>
      <c r="F66" t="s">
        <v>21</v>
      </c>
      <c r="H66" s="1">
        <v>45078</v>
      </c>
    </row>
    <row r="67" spans="1:8" x14ac:dyDescent="0.35">
      <c r="A67" t="s">
        <v>86</v>
      </c>
      <c r="B67" t="s">
        <v>26</v>
      </c>
      <c r="C67">
        <v>3</v>
      </c>
      <c r="D67">
        <v>4</v>
      </c>
      <c r="E67">
        <v>12</v>
      </c>
      <c r="G67" t="s">
        <v>15</v>
      </c>
      <c r="H67" s="1">
        <v>45219</v>
      </c>
    </row>
    <row r="68" spans="1:8" x14ac:dyDescent="0.35">
      <c r="A68" t="s">
        <v>87</v>
      </c>
      <c r="B68" t="s">
        <v>37</v>
      </c>
      <c r="C68">
        <v>2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88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89</v>
      </c>
      <c r="B70" t="s">
        <v>19</v>
      </c>
      <c r="C70">
        <v>2</v>
      </c>
      <c r="D70">
        <v>5</v>
      </c>
      <c r="E70">
        <v>10</v>
      </c>
      <c r="G70" t="s">
        <v>15</v>
      </c>
      <c r="H70" s="1">
        <v>45226</v>
      </c>
    </row>
    <row r="71" spans="1:8" x14ac:dyDescent="0.35">
      <c r="A71" t="s">
        <v>90</v>
      </c>
      <c r="C71">
        <v>5</v>
      </c>
      <c r="D71">
        <v>3</v>
      </c>
      <c r="E71">
        <v>15</v>
      </c>
      <c r="F71" t="s">
        <v>21</v>
      </c>
      <c r="G71" t="s">
        <v>15</v>
      </c>
      <c r="H71" s="1">
        <v>45022</v>
      </c>
    </row>
    <row r="72" spans="1:8" x14ac:dyDescent="0.35">
      <c r="A72" t="s">
        <v>91</v>
      </c>
      <c r="B72" t="s">
        <v>63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93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94</v>
      </c>
      <c r="B75" t="s">
        <v>19</v>
      </c>
      <c r="C75">
        <v>2</v>
      </c>
      <c r="D75">
        <v>5</v>
      </c>
      <c r="E75">
        <v>10</v>
      </c>
      <c r="H75" s="1">
        <v>45096</v>
      </c>
    </row>
    <row r="76" spans="1:8" x14ac:dyDescent="0.35">
      <c r="A76" t="s">
        <v>95</v>
      </c>
      <c r="B76" t="s">
        <v>23</v>
      </c>
      <c r="C76">
        <v>2</v>
      </c>
      <c r="D76">
        <v>4</v>
      </c>
      <c r="E76">
        <v>8</v>
      </c>
      <c r="F76" t="s">
        <v>10</v>
      </c>
      <c r="H76" s="1">
        <v>45274</v>
      </c>
    </row>
    <row r="77" spans="1:8" x14ac:dyDescent="0.35">
      <c r="A77" t="s">
        <v>96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97</v>
      </c>
      <c r="B78" t="s">
        <v>26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98</v>
      </c>
      <c r="B79" t="s">
        <v>19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99</v>
      </c>
      <c r="B80" t="s">
        <v>63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100</v>
      </c>
      <c r="B81" t="s">
        <v>37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101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102</v>
      </c>
      <c r="B83" t="s">
        <v>26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103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104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105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106</v>
      </c>
      <c r="B87" t="s">
        <v>63</v>
      </c>
      <c r="C87">
        <v>3</v>
      </c>
      <c r="D87">
        <v>1.5</v>
      </c>
      <c r="E87">
        <v>4.5</v>
      </c>
      <c r="F87" t="s">
        <v>14</v>
      </c>
      <c r="H87" s="1">
        <v>45228</v>
      </c>
    </row>
    <row r="88" spans="1:8" x14ac:dyDescent="0.35">
      <c r="A88" t="s">
        <v>107</v>
      </c>
      <c r="B88" t="s">
        <v>13</v>
      </c>
      <c r="C88">
        <v>5</v>
      </c>
      <c r="D88">
        <v>3</v>
      </c>
      <c r="E88">
        <v>15</v>
      </c>
      <c r="F88" t="s">
        <v>10</v>
      </c>
      <c r="H88" s="1">
        <v>45046</v>
      </c>
    </row>
    <row r="89" spans="1:8" x14ac:dyDescent="0.35">
      <c r="A89" t="s">
        <v>108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109</v>
      </c>
      <c r="C90">
        <v>1</v>
      </c>
      <c r="D90">
        <v>5</v>
      </c>
      <c r="E90">
        <v>5</v>
      </c>
      <c r="F90" t="s">
        <v>21</v>
      </c>
      <c r="G90" t="s">
        <v>11</v>
      </c>
      <c r="H90" s="1">
        <v>45070</v>
      </c>
    </row>
    <row r="91" spans="1:8" x14ac:dyDescent="0.35">
      <c r="A91" t="s">
        <v>110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111</v>
      </c>
      <c r="B92" t="s">
        <v>63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112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113</v>
      </c>
      <c r="B94" t="s">
        <v>37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114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115</v>
      </c>
      <c r="B96" t="s">
        <v>37</v>
      </c>
      <c r="C96">
        <v>3</v>
      </c>
      <c r="D96">
        <v>3</v>
      </c>
      <c r="E96">
        <v>9</v>
      </c>
      <c r="F96" t="s">
        <v>14</v>
      </c>
      <c r="G96" t="s">
        <v>11</v>
      </c>
      <c r="H96" s="1">
        <v>45145</v>
      </c>
    </row>
    <row r="97" spans="1:8" x14ac:dyDescent="0.35">
      <c r="A97" t="s">
        <v>116</v>
      </c>
      <c r="B97" t="s">
        <v>19</v>
      </c>
      <c r="C97">
        <v>3</v>
      </c>
      <c r="D97">
        <v>5</v>
      </c>
      <c r="E97">
        <v>15</v>
      </c>
      <c r="G97" t="s">
        <v>11</v>
      </c>
      <c r="H97" s="1">
        <v>45158</v>
      </c>
    </row>
    <row r="98" spans="1:8" x14ac:dyDescent="0.35">
      <c r="A98" t="s">
        <v>117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118</v>
      </c>
      <c r="B99" t="s">
        <v>9</v>
      </c>
      <c r="C99">
        <v>4</v>
      </c>
      <c r="D99">
        <v>2</v>
      </c>
      <c r="E99">
        <v>8</v>
      </c>
      <c r="F99" t="s">
        <v>21</v>
      </c>
      <c r="G99" t="s">
        <v>15</v>
      </c>
      <c r="H99" s="1">
        <v>45031</v>
      </c>
    </row>
    <row r="100" spans="1:8" x14ac:dyDescent="0.35">
      <c r="A100" t="s">
        <v>119</v>
      </c>
      <c r="B100" t="s">
        <v>37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120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121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122</v>
      </c>
      <c r="B103" t="s">
        <v>19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123</v>
      </c>
      <c r="B104" t="s">
        <v>37</v>
      </c>
      <c r="C104">
        <v>2</v>
      </c>
      <c r="D104">
        <v>3</v>
      </c>
      <c r="E104">
        <v>6</v>
      </c>
      <c r="F104" t="s">
        <v>21</v>
      </c>
      <c r="G104" t="s">
        <v>11</v>
      </c>
      <c r="H104" s="1">
        <v>45275</v>
      </c>
    </row>
    <row r="105" spans="1:8" x14ac:dyDescent="0.35">
      <c r="A105" t="s">
        <v>124</v>
      </c>
      <c r="B105" t="s">
        <v>13</v>
      </c>
      <c r="C105">
        <v>4</v>
      </c>
      <c r="D105">
        <v>3</v>
      </c>
      <c r="E105">
        <v>12</v>
      </c>
      <c r="G105" t="s">
        <v>11</v>
      </c>
    </row>
    <row r="106" spans="1:8" x14ac:dyDescent="0.35">
      <c r="A106" t="s">
        <v>125</v>
      </c>
      <c r="B106" t="s">
        <v>37</v>
      </c>
      <c r="C106">
        <v>2</v>
      </c>
      <c r="D106">
        <v>3</v>
      </c>
      <c r="E106">
        <v>6</v>
      </c>
    </row>
    <row r="107" spans="1:8" x14ac:dyDescent="0.35">
      <c r="A107" t="s">
        <v>126</v>
      </c>
      <c r="B107" t="s">
        <v>19</v>
      </c>
      <c r="C107">
        <v>4</v>
      </c>
      <c r="D107">
        <v>5</v>
      </c>
      <c r="E107">
        <v>20</v>
      </c>
      <c r="G107" t="s">
        <v>15</v>
      </c>
      <c r="H107" s="1">
        <v>44982</v>
      </c>
    </row>
    <row r="108" spans="1:8" x14ac:dyDescent="0.35">
      <c r="A108" t="s">
        <v>127</v>
      </c>
      <c r="B108" t="s">
        <v>17</v>
      </c>
      <c r="C108">
        <v>3</v>
      </c>
      <c r="D108">
        <v>1</v>
      </c>
      <c r="E108">
        <v>3</v>
      </c>
      <c r="F108" t="s">
        <v>10</v>
      </c>
      <c r="H108" s="1">
        <v>45019</v>
      </c>
    </row>
    <row r="109" spans="1:8" x14ac:dyDescent="0.35">
      <c r="A109" t="s">
        <v>128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129</v>
      </c>
      <c r="B110" t="s">
        <v>17</v>
      </c>
      <c r="C110">
        <v>5</v>
      </c>
      <c r="D110">
        <v>1</v>
      </c>
      <c r="E110">
        <v>5</v>
      </c>
      <c r="F110" t="s">
        <v>21</v>
      </c>
      <c r="G110" t="s">
        <v>11</v>
      </c>
      <c r="H110" s="1">
        <v>45288</v>
      </c>
    </row>
    <row r="111" spans="1:8" x14ac:dyDescent="0.35">
      <c r="A111" t="s">
        <v>130</v>
      </c>
      <c r="B111" t="s">
        <v>63</v>
      </c>
      <c r="C111">
        <v>4</v>
      </c>
      <c r="D111">
        <v>1.5</v>
      </c>
      <c r="E111">
        <v>6</v>
      </c>
      <c r="F111" t="s">
        <v>21</v>
      </c>
      <c r="H111" s="1">
        <v>45168</v>
      </c>
    </row>
    <row r="112" spans="1:8" x14ac:dyDescent="0.35">
      <c r="A112" t="s">
        <v>131</v>
      </c>
      <c r="B112" t="s">
        <v>26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132</v>
      </c>
      <c r="B113" t="s">
        <v>23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133</v>
      </c>
      <c r="B114" t="s">
        <v>23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134</v>
      </c>
      <c r="B115" t="s">
        <v>37</v>
      </c>
      <c r="C115">
        <v>3</v>
      </c>
      <c r="D115">
        <v>3</v>
      </c>
      <c r="E115">
        <v>9</v>
      </c>
      <c r="F115" t="s">
        <v>21</v>
      </c>
      <c r="H115" s="1">
        <v>45050</v>
      </c>
    </row>
    <row r="116" spans="1:8" x14ac:dyDescent="0.35">
      <c r="A116" t="s">
        <v>135</v>
      </c>
      <c r="B116" t="s">
        <v>9</v>
      </c>
      <c r="C116">
        <v>5</v>
      </c>
      <c r="D116">
        <v>2</v>
      </c>
      <c r="E116">
        <v>10</v>
      </c>
      <c r="F116" t="s">
        <v>21</v>
      </c>
      <c r="H116" s="1">
        <v>44978</v>
      </c>
    </row>
    <row r="117" spans="1:8" x14ac:dyDescent="0.35">
      <c r="A117" t="s">
        <v>136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</row>
    <row r="118" spans="1:8" x14ac:dyDescent="0.35">
      <c r="A118" t="s">
        <v>137</v>
      </c>
      <c r="B118" t="s">
        <v>37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138</v>
      </c>
      <c r="B119" t="s">
        <v>37</v>
      </c>
      <c r="C119">
        <v>3</v>
      </c>
      <c r="D119">
        <v>3</v>
      </c>
      <c r="E119">
        <v>9</v>
      </c>
      <c r="F119" t="s">
        <v>21</v>
      </c>
      <c r="H119" s="1">
        <v>44936</v>
      </c>
    </row>
    <row r="120" spans="1:8" x14ac:dyDescent="0.35">
      <c r="A120" t="s">
        <v>139</v>
      </c>
      <c r="C120">
        <v>5</v>
      </c>
      <c r="D120">
        <v>3</v>
      </c>
      <c r="E120">
        <v>15</v>
      </c>
      <c r="G120" t="s">
        <v>15</v>
      </c>
      <c r="H120" s="1">
        <v>44963</v>
      </c>
    </row>
    <row r="121" spans="1:8" x14ac:dyDescent="0.35">
      <c r="A121" t="s">
        <v>140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141</v>
      </c>
      <c r="B122" t="s">
        <v>13</v>
      </c>
      <c r="C122">
        <v>2</v>
      </c>
      <c r="D122">
        <v>3</v>
      </c>
      <c r="E122">
        <v>6</v>
      </c>
      <c r="H122" s="1">
        <v>45079</v>
      </c>
    </row>
    <row r="123" spans="1:8" x14ac:dyDescent="0.35">
      <c r="A123" t="s">
        <v>142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143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144</v>
      </c>
      <c r="B125" t="s">
        <v>9</v>
      </c>
      <c r="C125">
        <v>5</v>
      </c>
      <c r="D125">
        <v>2</v>
      </c>
      <c r="E125">
        <v>10</v>
      </c>
      <c r="F125" t="s">
        <v>21</v>
      </c>
      <c r="G125" t="s">
        <v>15</v>
      </c>
      <c r="H125" s="1">
        <v>45192</v>
      </c>
    </row>
    <row r="126" spans="1:8" x14ac:dyDescent="0.35">
      <c r="A126" t="s">
        <v>145</v>
      </c>
      <c r="B126" t="s">
        <v>37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146</v>
      </c>
      <c r="B127" t="s">
        <v>63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147</v>
      </c>
      <c r="B128" t="s">
        <v>37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148</v>
      </c>
      <c r="B129" t="s">
        <v>23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149</v>
      </c>
      <c r="B130" t="s">
        <v>37</v>
      </c>
      <c r="C130">
        <v>2</v>
      </c>
      <c r="D130">
        <v>3</v>
      </c>
      <c r="E130">
        <v>6</v>
      </c>
      <c r="F130" t="s">
        <v>21</v>
      </c>
      <c r="G130" t="s">
        <v>11</v>
      </c>
      <c r="H130" s="1">
        <v>44963</v>
      </c>
    </row>
    <row r="131" spans="1:8" x14ac:dyDescent="0.35">
      <c r="A131" t="s">
        <v>150</v>
      </c>
      <c r="B131" t="s">
        <v>26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151</v>
      </c>
      <c r="B132" t="s">
        <v>63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152</v>
      </c>
      <c r="B133" t="s">
        <v>63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153</v>
      </c>
      <c r="B134" t="s">
        <v>37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154</v>
      </c>
      <c r="B135" t="s">
        <v>37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155</v>
      </c>
      <c r="B136" t="s">
        <v>37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156</v>
      </c>
      <c r="B137" t="s">
        <v>63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157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158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159</v>
      </c>
      <c r="B140" t="s">
        <v>26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160</v>
      </c>
      <c r="B141" t="s">
        <v>63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161</v>
      </c>
      <c r="B142" t="s">
        <v>13</v>
      </c>
      <c r="C142">
        <v>3</v>
      </c>
      <c r="D142">
        <v>3</v>
      </c>
      <c r="E142">
        <v>9</v>
      </c>
      <c r="F142" t="s">
        <v>21</v>
      </c>
      <c r="H142" s="1">
        <v>45126</v>
      </c>
    </row>
    <row r="143" spans="1:8" x14ac:dyDescent="0.35">
      <c r="A143" t="s">
        <v>162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163</v>
      </c>
      <c r="B144" t="s">
        <v>9</v>
      </c>
      <c r="C144">
        <v>1</v>
      </c>
      <c r="D144">
        <v>2</v>
      </c>
      <c r="E144">
        <v>2</v>
      </c>
      <c r="F144" t="s">
        <v>10</v>
      </c>
    </row>
    <row r="145" spans="1:8" x14ac:dyDescent="0.35">
      <c r="A145" t="s">
        <v>164</v>
      </c>
      <c r="B145" t="s">
        <v>37</v>
      </c>
      <c r="C145">
        <v>1</v>
      </c>
      <c r="D145">
        <v>3</v>
      </c>
      <c r="E145">
        <v>3</v>
      </c>
      <c r="F145" t="s">
        <v>14</v>
      </c>
      <c r="H145" s="1">
        <v>45077</v>
      </c>
    </row>
    <row r="146" spans="1:8" x14ac:dyDescent="0.35">
      <c r="A146" t="s">
        <v>165</v>
      </c>
      <c r="B146" t="s">
        <v>19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166</v>
      </c>
      <c r="B147" t="s">
        <v>63</v>
      </c>
      <c r="C147">
        <v>5</v>
      </c>
      <c r="D147">
        <v>1.5</v>
      </c>
      <c r="E147">
        <v>7.5</v>
      </c>
      <c r="G147" t="s">
        <v>15</v>
      </c>
      <c r="H147" s="1">
        <v>45172</v>
      </c>
    </row>
    <row r="148" spans="1:8" x14ac:dyDescent="0.35">
      <c r="A148" t="s">
        <v>167</v>
      </c>
      <c r="B148" t="s">
        <v>13</v>
      </c>
      <c r="C148">
        <v>2</v>
      </c>
      <c r="D148">
        <v>3</v>
      </c>
      <c r="E148">
        <v>6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168</v>
      </c>
      <c r="B149" t="s">
        <v>19</v>
      </c>
      <c r="C149">
        <v>4</v>
      </c>
      <c r="D149">
        <v>5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169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172</v>
      </c>
      <c r="C153">
        <v>4</v>
      </c>
      <c r="D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173</v>
      </c>
      <c r="B154" t="s">
        <v>9</v>
      </c>
      <c r="C154">
        <v>1</v>
      </c>
      <c r="D154">
        <v>2</v>
      </c>
      <c r="E154">
        <v>2</v>
      </c>
      <c r="H154" s="1">
        <v>45100</v>
      </c>
    </row>
    <row r="155" spans="1:8" x14ac:dyDescent="0.35">
      <c r="A155" t="s">
        <v>174</v>
      </c>
      <c r="C155">
        <v>4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176</v>
      </c>
      <c r="B157" t="s">
        <v>23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</row>
    <row r="160" spans="1:8" x14ac:dyDescent="0.35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180</v>
      </c>
      <c r="B161" t="s">
        <v>37</v>
      </c>
      <c r="C161">
        <v>2</v>
      </c>
      <c r="D161">
        <v>3</v>
      </c>
      <c r="E161">
        <v>6</v>
      </c>
      <c r="H161" s="1">
        <v>45104</v>
      </c>
    </row>
    <row r="162" spans="1:8" x14ac:dyDescent="0.35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182</v>
      </c>
      <c r="B163" t="s">
        <v>37</v>
      </c>
      <c r="C163">
        <v>1</v>
      </c>
      <c r="D163">
        <v>3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183</v>
      </c>
      <c r="B164" t="s">
        <v>17</v>
      </c>
      <c r="C164">
        <v>1</v>
      </c>
      <c r="D164">
        <v>1</v>
      </c>
      <c r="E164">
        <v>1</v>
      </c>
      <c r="G164" t="s">
        <v>11</v>
      </c>
      <c r="H164" s="1">
        <v>45138</v>
      </c>
    </row>
    <row r="165" spans="1:8" x14ac:dyDescent="0.35">
      <c r="A165" t="s">
        <v>184</v>
      </c>
      <c r="B165" t="s">
        <v>63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185</v>
      </c>
      <c r="B166" t="s">
        <v>13</v>
      </c>
      <c r="C166">
        <v>5</v>
      </c>
      <c r="D166">
        <v>3</v>
      </c>
      <c r="E166">
        <v>15</v>
      </c>
      <c r="H166" s="1">
        <v>44966</v>
      </c>
    </row>
    <row r="167" spans="1:8" x14ac:dyDescent="0.35">
      <c r="A167" t="s">
        <v>186</v>
      </c>
      <c r="C167">
        <v>5</v>
      </c>
      <c r="D167">
        <v>4</v>
      </c>
      <c r="E167">
        <v>20</v>
      </c>
      <c r="F167" t="s">
        <v>14</v>
      </c>
      <c r="H167" s="1">
        <v>45173</v>
      </c>
    </row>
    <row r="168" spans="1:8" x14ac:dyDescent="0.35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189</v>
      </c>
      <c r="C170">
        <v>2</v>
      </c>
      <c r="D170">
        <v>4</v>
      </c>
      <c r="E170">
        <v>8</v>
      </c>
      <c r="H170" s="1">
        <v>45117</v>
      </c>
    </row>
    <row r="171" spans="1:8" x14ac:dyDescent="0.35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191</v>
      </c>
      <c r="B172" t="s">
        <v>26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192</v>
      </c>
      <c r="B173" t="s">
        <v>63</v>
      </c>
      <c r="C173">
        <v>2</v>
      </c>
      <c r="D173">
        <v>1.5</v>
      </c>
      <c r="E173">
        <v>3</v>
      </c>
      <c r="H173" s="1">
        <v>45255</v>
      </c>
    </row>
    <row r="174" spans="1:8" x14ac:dyDescent="0.35">
      <c r="A174" t="s">
        <v>193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</row>
    <row r="176" spans="1:8" x14ac:dyDescent="0.35">
      <c r="A176" t="s">
        <v>195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</row>
    <row r="179" spans="1:8" x14ac:dyDescent="0.35">
      <c r="A179" t="s">
        <v>198</v>
      </c>
      <c r="B179" t="s">
        <v>19</v>
      </c>
      <c r="C179">
        <v>5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199</v>
      </c>
      <c r="B180" t="s">
        <v>23</v>
      </c>
      <c r="C180">
        <v>4</v>
      </c>
      <c r="D180">
        <v>4</v>
      </c>
      <c r="E180">
        <v>16</v>
      </c>
      <c r="F180" t="s">
        <v>21</v>
      </c>
      <c r="H180" s="1">
        <v>45027</v>
      </c>
    </row>
    <row r="181" spans="1:8" x14ac:dyDescent="0.35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201</v>
      </c>
      <c r="B182" t="s">
        <v>26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202</v>
      </c>
      <c r="B183" t="s">
        <v>23</v>
      </c>
      <c r="C183">
        <v>3</v>
      </c>
      <c r="D183">
        <v>4</v>
      </c>
      <c r="E183">
        <v>12</v>
      </c>
      <c r="G183" t="s">
        <v>11</v>
      </c>
      <c r="H183" s="1">
        <v>45011</v>
      </c>
    </row>
    <row r="184" spans="1:8" x14ac:dyDescent="0.35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</row>
    <row r="185" spans="1:8" x14ac:dyDescent="0.35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205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</row>
    <row r="187" spans="1:8" x14ac:dyDescent="0.35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207</v>
      </c>
      <c r="B188" t="s">
        <v>23</v>
      </c>
      <c r="C188">
        <v>2</v>
      </c>
      <c r="D188">
        <v>4</v>
      </c>
      <c r="E188">
        <v>8</v>
      </c>
      <c r="H188" s="1">
        <v>45133</v>
      </c>
    </row>
    <row r="189" spans="1:8" x14ac:dyDescent="0.35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209</v>
      </c>
      <c r="B190" t="s">
        <v>9</v>
      </c>
      <c r="C190">
        <v>4</v>
      </c>
      <c r="D190">
        <v>2</v>
      </c>
      <c r="E190">
        <v>8</v>
      </c>
      <c r="G190" t="s">
        <v>15</v>
      </c>
      <c r="H190" s="1">
        <v>44953</v>
      </c>
    </row>
    <row r="191" spans="1:8" x14ac:dyDescent="0.35">
      <c r="A191" t="s">
        <v>210</v>
      </c>
      <c r="B191" t="s">
        <v>17</v>
      </c>
      <c r="C191">
        <v>3</v>
      </c>
      <c r="D191">
        <v>1</v>
      </c>
      <c r="E191">
        <v>3</v>
      </c>
      <c r="H191" s="1">
        <v>45266</v>
      </c>
    </row>
    <row r="192" spans="1:8" x14ac:dyDescent="0.35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212</v>
      </c>
      <c r="B193" t="s">
        <v>23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214</v>
      </c>
      <c r="B195" t="s">
        <v>23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216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217</v>
      </c>
      <c r="B198" t="s">
        <v>63</v>
      </c>
      <c r="C198">
        <v>2</v>
      </c>
      <c r="D198">
        <v>1.5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218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219</v>
      </c>
      <c r="B200" t="s">
        <v>37</v>
      </c>
      <c r="C200">
        <v>4</v>
      </c>
      <c r="D200">
        <v>3</v>
      </c>
      <c r="E200">
        <v>12</v>
      </c>
      <c r="H200" s="1">
        <v>45027</v>
      </c>
    </row>
    <row r="201" spans="1:8" x14ac:dyDescent="0.35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223</v>
      </c>
      <c r="B204" t="s">
        <v>23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224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</row>
    <row r="208" spans="1:8" x14ac:dyDescent="0.35">
      <c r="A208" t="s">
        <v>227</v>
      </c>
      <c r="B208" t="s">
        <v>23</v>
      </c>
      <c r="C208">
        <v>1</v>
      </c>
      <c r="D208">
        <v>4</v>
      </c>
      <c r="E208">
        <v>4</v>
      </c>
      <c r="G208" t="s">
        <v>15</v>
      </c>
      <c r="H208" s="1">
        <v>45242</v>
      </c>
    </row>
    <row r="209" spans="1:8" x14ac:dyDescent="0.35">
      <c r="A209" t="s">
        <v>228</v>
      </c>
      <c r="B209" t="s">
        <v>63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</row>
    <row r="212" spans="1:8" x14ac:dyDescent="0.35">
      <c r="A212" t="s">
        <v>231</v>
      </c>
      <c r="B212" t="s">
        <v>23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232</v>
      </c>
      <c r="C213">
        <v>3</v>
      </c>
      <c r="D213">
        <v>5</v>
      </c>
      <c r="E213">
        <v>15</v>
      </c>
      <c r="F213" t="s">
        <v>21</v>
      </c>
      <c r="H213" s="1">
        <v>45245</v>
      </c>
    </row>
    <row r="214" spans="1:8" x14ac:dyDescent="0.35">
      <c r="A214" t="s">
        <v>233</v>
      </c>
      <c r="B214" t="s">
        <v>19</v>
      </c>
      <c r="C214">
        <v>3</v>
      </c>
      <c r="D214">
        <v>5</v>
      </c>
      <c r="E214">
        <v>15</v>
      </c>
      <c r="F214" t="s">
        <v>10</v>
      </c>
      <c r="H214" s="1">
        <v>44937</v>
      </c>
    </row>
    <row r="215" spans="1:8" x14ac:dyDescent="0.35">
      <c r="A215" t="s">
        <v>234</v>
      </c>
      <c r="B215" t="s">
        <v>13</v>
      </c>
      <c r="C215">
        <v>1</v>
      </c>
      <c r="D215">
        <v>3</v>
      </c>
      <c r="E215">
        <v>3</v>
      </c>
      <c r="H215" s="1">
        <v>45200</v>
      </c>
    </row>
    <row r="216" spans="1:8" x14ac:dyDescent="0.35">
      <c r="A216" t="s">
        <v>235</v>
      </c>
      <c r="B216" t="s">
        <v>19</v>
      </c>
      <c r="C216">
        <v>5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237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239</v>
      </c>
      <c r="B220" t="s">
        <v>37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240</v>
      </c>
      <c r="B221" t="s">
        <v>19</v>
      </c>
      <c r="C221">
        <v>1</v>
      </c>
      <c r="D221">
        <v>5</v>
      </c>
      <c r="E221">
        <v>5</v>
      </c>
      <c r="H221" s="1">
        <v>44940</v>
      </c>
    </row>
    <row r="222" spans="1:8" x14ac:dyDescent="0.35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</row>
    <row r="223" spans="1:8" x14ac:dyDescent="0.35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H224" s="1">
        <v>45116</v>
      </c>
    </row>
    <row r="225" spans="1:8" x14ac:dyDescent="0.35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</row>
    <row r="227" spans="1:8" x14ac:dyDescent="0.35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</row>
    <row r="228" spans="1:8" x14ac:dyDescent="0.35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</row>
    <row r="229" spans="1:8" x14ac:dyDescent="0.35">
      <c r="A229" t="s">
        <v>248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249</v>
      </c>
      <c r="B230" t="s">
        <v>13</v>
      </c>
      <c r="C230">
        <v>1</v>
      </c>
      <c r="D230">
        <v>3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250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H232" s="1">
        <v>45014</v>
      </c>
    </row>
    <row r="233" spans="1:8" x14ac:dyDescent="0.35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</row>
    <row r="234" spans="1:8" x14ac:dyDescent="0.35">
      <c r="A234" t="s">
        <v>253</v>
      </c>
      <c r="B234" t="s">
        <v>63</v>
      </c>
      <c r="C234">
        <v>3</v>
      </c>
      <c r="D234">
        <v>1.5</v>
      </c>
      <c r="E234">
        <v>4.5</v>
      </c>
      <c r="H234" s="1">
        <v>45199</v>
      </c>
    </row>
    <row r="235" spans="1:8" x14ac:dyDescent="0.35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H235" s="1">
        <v>45160</v>
      </c>
    </row>
    <row r="236" spans="1:8" x14ac:dyDescent="0.35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H236" s="1">
        <v>45134</v>
      </c>
    </row>
    <row r="237" spans="1:8" x14ac:dyDescent="0.35">
      <c r="A237" t="s">
        <v>256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</row>
    <row r="238" spans="1:8" x14ac:dyDescent="0.35">
      <c r="A238" t="s">
        <v>257</v>
      </c>
      <c r="B238" t="s">
        <v>19</v>
      </c>
      <c r="D238">
        <v>5</v>
      </c>
      <c r="G238" t="s">
        <v>15</v>
      </c>
      <c r="H238" s="1">
        <v>45064</v>
      </c>
    </row>
    <row r="239" spans="1:8" x14ac:dyDescent="0.35">
      <c r="A239" t="s">
        <v>258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259</v>
      </c>
      <c r="B240" t="s">
        <v>26</v>
      </c>
      <c r="C240">
        <v>5</v>
      </c>
      <c r="D240">
        <v>4</v>
      </c>
      <c r="E240">
        <v>20</v>
      </c>
      <c r="F240" t="s">
        <v>21</v>
      </c>
      <c r="G240" t="s">
        <v>15</v>
      </c>
      <c r="H240" s="1">
        <v>45197</v>
      </c>
    </row>
    <row r="241" spans="1:8" x14ac:dyDescent="0.35">
      <c r="A241" t="s">
        <v>260</v>
      </c>
      <c r="B241" t="s">
        <v>19</v>
      </c>
      <c r="C241">
        <v>3</v>
      </c>
      <c r="D241">
        <v>5</v>
      </c>
      <c r="E241">
        <v>15</v>
      </c>
      <c r="G241" t="s">
        <v>15</v>
      </c>
      <c r="H241" s="1">
        <v>45246</v>
      </c>
    </row>
    <row r="242" spans="1:8" x14ac:dyDescent="0.35">
      <c r="A242" t="s">
        <v>261</v>
      </c>
      <c r="B242" t="s">
        <v>37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262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264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267</v>
      </c>
      <c r="B248" t="s">
        <v>63</v>
      </c>
      <c r="C248">
        <v>2</v>
      </c>
      <c r="D248">
        <v>1.5</v>
      </c>
      <c r="E248">
        <v>3</v>
      </c>
    </row>
    <row r="249" spans="1:8" x14ac:dyDescent="0.35">
      <c r="A249" t="s">
        <v>268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</row>
    <row r="250" spans="1:8" x14ac:dyDescent="0.35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H250" s="1">
        <v>45220</v>
      </c>
    </row>
    <row r="251" spans="1:8" x14ac:dyDescent="0.35">
      <c r="A251" t="s">
        <v>270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</row>
    <row r="253" spans="1:8" x14ac:dyDescent="0.35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273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274</v>
      </c>
      <c r="B255" t="s">
        <v>63</v>
      </c>
      <c r="C255">
        <v>4</v>
      </c>
      <c r="D255">
        <v>1.5</v>
      </c>
      <c r="E255">
        <v>6</v>
      </c>
      <c r="G255" t="s">
        <v>15</v>
      </c>
      <c r="H255" s="1">
        <v>45121</v>
      </c>
    </row>
    <row r="256" spans="1:8" x14ac:dyDescent="0.35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</row>
    <row r="258" spans="1:8" x14ac:dyDescent="0.35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279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280</v>
      </c>
      <c r="B261" t="s">
        <v>17</v>
      </c>
      <c r="C261">
        <v>4</v>
      </c>
      <c r="D261">
        <v>1</v>
      </c>
      <c r="E261">
        <v>4</v>
      </c>
      <c r="F261" t="s">
        <v>21</v>
      </c>
    </row>
    <row r="262" spans="1:8" x14ac:dyDescent="0.35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</row>
    <row r="263" spans="1:8" x14ac:dyDescent="0.35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</row>
    <row r="265" spans="1:8" x14ac:dyDescent="0.35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H266" s="1">
        <v>45075</v>
      </c>
    </row>
    <row r="267" spans="1:8" x14ac:dyDescent="0.35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</row>
    <row r="268" spans="1:8" x14ac:dyDescent="0.35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</row>
    <row r="269" spans="1:8" x14ac:dyDescent="0.35">
      <c r="A269" t="s">
        <v>288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</row>
    <row r="271" spans="1:8" x14ac:dyDescent="0.35">
      <c r="A271" t="s">
        <v>290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294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295</v>
      </c>
      <c r="B276" t="s">
        <v>26</v>
      </c>
      <c r="C276">
        <v>4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296</v>
      </c>
      <c r="B277" t="s">
        <v>23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297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299</v>
      </c>
      <c r="B280" t="s">
        <v>37</v>
      </c>
      <c r="D280">
        <v>3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301</v>
      </c>
      <c r="B282" t="s">
        <v>63</v>
      </c>
      <c r="C282">
        <v>5</v>
      </c>
      <c r="D282">
        <v>1.5</v>
      </c>
      <c r="E282">
        <v>7.5</v>
      </c>
      <c r="G282" t="s">
        <v>11</v>
      </c>
      <c r="H282" s="1">
        <v>44998</v>
      </c>
    </row>
    <row r="283" spans="1:8" x14ac:dyDescent="0.35">
      <c r="A283" t="s">
        <v>302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H284" s="1">
        <v>45221</v>
      </c>
    </row>
    <row r="285" spans="1:8" x14ac:dyDescent="0.35">
      <c r="A285" t="s">
        <v>304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305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306</v>
      </c>
      <c r="B287" t="s">
        <v>26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307</v>
      </c>
      <c r="B288" t="s">
        <v>37</v>
      </c>
      <c r="C288">
        <v>5</v>
      </c>
      <c r="D288">
        <v>3</v>
      </c>
      <c r="E288">
        <v>15</v>
      </c>
      <c r="G288" t="s">
        <v>15</v>
      </c>
    </row>
    <row r="289" spans="1:8" x14ac:dyDescent="0.35">
      <c r="A289" t="s">
        <v>308</v>
      </c>
      <c r="B289" t="s">
        <v>9</v>
      </c>
      <c r="C289">
        <v>4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309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310</v>
      </c>
      <c r="C291">
        <v>4</v>
      </c>
      <c r="D291">
        <v>1.5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</row>
    <row r="294" spans="1:8" x14ac:dyDescent="0.35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</row>
    <row r="295" spans="1:8" x14ac:dyDescent="0.35">
      <c r="A295" t="s">
        <v>314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315</v>
      </c>
      <c r="B296" t="s">
        <v>13</v>
      </c>
      <c r="C296">
        <v>3</v>
      </c>
      <c r="D296">
        <v>3</v>
      </c>
      <c r="E296">
        <v>9</v>
      </c>
      <c r="F296" t="s">
        <v>21</v>
      </c>
      <c r="G296" t="s">
        <v>11</v>
      </c>
      <c r="H296" s="1">
        <v>45220</v>
      </c>
    </row>
    <row r="297" spans="1:8" x14ac:dyDescent="0.35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H298" s="1">
        <v>45188</v>
      </c>
    </row>
    <row r="299" spans="1:8" x14ac:dyDescent="0.35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H300" s="1">
        <v>44954</v>
      </c>
    </row>
    <row r="301" spans="1:8" x14ac:dyDescent="0.35">
      <c r="A301" t="s">
        <v>320</v>
      </c>
      <c r="B301" t="s">
        <v>17</v>
      </c>
      <c r="C301">
        <v>2</v>
      </c>
      <c r="D301">
        <v>1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</row>
    <row r="303" spans="1:8" x14ac:dyDescent="0.35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323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</row>
    <row r="306" spans="1:8" x14ac:dyDescent="0.35">
      <c r="A306" t="s">
        <v>325</v>
      </c>
      <c r="B306" t="s">
        <v>26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327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</row>
    <row r="311" spans="1:8" x14ac:dyDescent="0.35">
      <c r="A311" t="s">
        <v>330</v>
      </c>
      <c r="B311" t="s">
        <v>23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331</v>
      </c>
      <c r="B312" t="s">
        <v>23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332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333</v>
      </c>
      <c r="B314" t="s">
        <v>63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334</v>
      </c>
      <c r="B315" t="s">
        <v>17</v>
      </c>
      <c r="C315">
        <v>1</v>
      </c>
      <c r="D315">
        <v>1</v>
      </c>
      <c r="E315">
        <v>1</v>
      </c>
      <c r="H315" s="1">
        <v>45044</v>
      </c>
    </row>
    <row r="316" spans="1:8" x14ac:dyDescent="0.35">
      <c r="A316" t="s">
        <v>335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336</v>
      </c>
      <c r="B317" t="s">
        <v>9</v>
      </c>
      <c r="C317">
        <v>2</v>
      </c>
      <c r="D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337</v>
      </c>
      <c r="B318" t="s">
        <v>26</v>
      </c>
      <c r="C318">
        <v>3</v>
      </c>
      <c r="D318">
        <v>4</v>
      </c>
      <c r="E318">
        <v>12</v>
      </c>
      <c r="G318" t="s">
        <v>15</v>
      </c>
      <c r="H318" s="1">
        <v>45039</v>
      </c>
    </row>
    <row r="319" spans="1:8" x14ac:dyDescent="0.35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</row>
    <row r="321" spans="1:8" x14ac:dyDescent="0.35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341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</row>
    <row r="324" spans="1:8" x14ac:dyDescent="0.35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344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346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347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348</v>
      </c>
      <c r="B329" t="s">
        <v>26</v>
      </c>
      <c r="C329">
        <v>3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</row>
    <row r="330" spans="1:8" x14ac:dyDescent="0.35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H330" s="1">
        <v>45144</v>
      </c>
    </row>
    <row r="331" spans="1:8" x14ac:dyDescent="0.35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</row>
    <row r="332" spans="1:8" x14ac:dyDescent="0.35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353</v>
      </c>
      <c r="B334" t="s">
        <v>23</v>
      </c>
      <c r="C334">
        <v>5</v>
      </c>
      <c r="D334">
        <v>4</v>
      </c>
      <c r="E334">
        <v>20</v>
      </c>
      <c r="H334" s="1">
        <v>44937</v>
      </c>
    </row>
    <row r="335" spans="1:8" x14ac:dyDescent="0.35">
      <c r="A335" t="s">
        <v>354</v>
      </c>
      <c r="B335" t="s">
        <v>63</v>
      </c>
      <c r="C335">
        <v>1</v>
      </c>
      <c r="D335">
        <v>1.5</v>
      </c>
      <c r="E335">
        <v>1.5</v>
      </c>
      <c r="F335" t="s">
        <v>10</v>
      </c>
      <c r="H335" s="1">
        <v>45201</v>
      </c>
    </row>
    <row r="336" spans="1:8" x14ac:dyDescent="0.35">
      <c r="A336" t="s">
        <v>355</v>
      </c>
      <c r="C336">
        <v>4</v>
      </c>
      <c r="D336">
        <v>1.5</v>
      </c>
      <c r="E336">
        <v>6</v>
      </c>
      <c r="G336" t="s">
        <v>15</v>
      </c>
      <c r="H336" s="1">
        <v>45010</v>
      </c>
    </row>
    <row r="337" spans="1:8" x14ac:dyDescent="0.35">
      <c r="A337" t="s">
        <v>356</v>
      </c>
      <c r="B337" t="s">
        <v>23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357</v>
      </c>
      <c r="B338" t="s">
        <v>17</v>
      </c>
      <c r="C338">
        <v>2</v>
      </c>
      <c r="D338">
        <v>1</v>
      </c>
      <c r="E338">
        <v>2</v>
      </c>
      <c r="H338" s="1">
        <v>44953</v>
      </c>
    </row>
    <row r="339" spans="1:8" x14ac:dyDescent="0.35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H339" s="1">
        <v>45289</v>
      </c>
    </row>
    <row r="340" spans="1:8" x14ac:dyDescent="0.35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</row>
    <row r="341" spans="1:8" x14ac:dyDescent="0.35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361</v>
      </c>
      <c r="B342" t="s">
        <v>17</v>
      </c>
      <c r="C342">
        <v>1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362</v>
      </c>
      <c r="B343" t="s">
        <v>17</v>
      </c>
      <c r="C343">
        <v>3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364</v>
      </c>
      <c r="B345" t="s">
        <v>19</v>
      </c>
      <c r="C345">
        <v>1</v>
      </c>
      <c r="D345">
        <v>5</v>
      </c>
      <c r="E345">
        <v>5</v>
      </c>
      <c r="H345" s="1">
        <v>44972</v>
      </c>
    </row>
    <row r="346" spans="1:8" x14ac:dyDescent="0.35">
      <c r="A346" t="s">
        <v>365</v>
      </c>
      <c r="B346" t="s">
        <v>13</v>
      </c>
      <c r="C346">
        <v>1</v>
      </c>
      <c r="D346">
        <v>3</v>
      </c>
      <c r="E346">
        <v>3</v>
      </c>
      <c r="G346" t="s">
        <v>15</v>
      </c>
      <c r="H346" s="1">
        <v>45246</v>
      </c>
    </row>
    <row r="347" spans="1:8" x14ac:dyDescent="0.35">
      <c r="A347" t="s">
        <v>366</v>
      </c>
      <c r="B347" t="s">
        <v>63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</row>
    <row r="352" spans="1:8" x14ac:dyDescent="0.35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372</v>
      </c>
      <c r="B353" t="s">
        <v>26</v>
      </c>
      <c r="C353">
        <v>5</v>
      </c>
      <c r="D353">
        <v>4</v>
      </c>
      <c r="E353">
        <v>20</v>
      </c>
      <c r="G353" t="s">
        <v>11</v>
      </c>
      <c r="H353" s="1">
        <v>45269</v>
      </c>
    </row>
    <row r="354" spans="1:8" x14ac:dyDescent="0.35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H355" s="1">
        <v>45232</v>
      </c>
    </row>
    <row r="356" spans="1:8" x14ac:dyDescent="0.35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376</v>
      </c>
      <c r="B357" t="s">
        <v>37</v>
      </c>
      <c r="C357">
        <v>5</v>
      </c>
      <c r="D357">
        <v>3</v>
      </c>
      <c r="E357">
        <v>15</v>
      </c>
      <c r="G357" t="s">
        <v>15</v>
      </c>
      <c r="H357" s="1">
        <v>44988</v>
      </c>
    </row>
    <row r="358" spans="1:8" x14ac:dyDescent="0.35">
      <c r="A358" t="s">
        <v>377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</row>
    <row r="360" spans="1:8" x14ac:dyDescent="0.35">
      <c r="A360" t="s">
        <v>379</v>
      </c>
      <c r="B360" t="s">
        <v>23</v>
      </c>
      <c r="C360">
        <v>4</v>
      </c>
      <c r="D360">
        <v>4</v>
      </c>
      <c r="E360">
        <v>16</v>
      </c>
      <c r="G360" t="s">
        <v>15</v>
      </c>
      <c r="H360" s="1">
        <v>44978</v>
      </c>
    </row>
    <row r="361" spans="1:8" x14ac:dyDescent="0.35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</row>
    <row r="363" spans="1:8" x14ac:dyDescent="0.35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383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</row>
    <row r="365" spans="1:8" x14ac:dyDescent="0.35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</row>
    <row r="366" spans="1:8" x14ac:dyDescent="0.35">
      <c r="A366" t="s">
        <v>385</v>
      </c>
      <c r="B366" t="s">
        <v>37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386</v>
      </c>
      <c r="B367" t="s">
        <v>63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387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388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390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392</v>
      </c>
      <c r="B373" t="s">
        <v>17</v>
      </c>
      <c r="C373">
        <v>2</v>
      </c>
      <c r="D373">
        <v>1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393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</row>
    <row r="376" spans="1:8" x14ac:dyDescent="0.35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</row>
    <row r="377" spans="1:8" x14ac:dyDescent="0.35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397</v>
      </c>
      <c r="B378" t="s">
        <v>9</v>
      </c>
      <c r="C378">
        <v>2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H380" s="1">
        <v>45006</v>
      </c>
    </row>
    <row r="381" spans="1:8" x14ac:dyDescent="0.35">
      <c r="A381" t="s">
        <v>400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402</v>
      </c>
      <c r="B383" t="s">
        <v>63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406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407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</row>
    <row r="389" spans="1:8" x14ac:dyDescent="0.35">
      <c r="A389" t="s">
        <v>408</v>
      </c>
      <c r="B389" t="s">
        <v>37</v>
      </c>
      <c r="C389">
        <v>5</v>
      </c>
      <c r="D389">
        <v>3</v>
      </c>
      <c r="E389">
        <v>15</v>
      </c>
      <c r="F389" t="s">
        <v>14</v>
      </c>
      <c r="H389" s="1">
        <v>44954</v>
      </c>
    </row>
    <row r="390" spans="1:8" x14ac:dyDescent="0.35">
      <c r="A390" t="s">
        <v>409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</row>
    <row r="392" spans="1:8" x14ac:dyDescent="0.35">
      <c r="A392" t="s">
        <v>411</v>
      </c>
      <c r="B392" t="s">
        <v>63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414</v>
      </c>
      <c r="B395" t="s">
        <v>63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</row>
    <row r="399" spans="1:8" x14ac:dyDescent="0.35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</row>
    <row r="400" spans="1:8" x14ac:dyDescent="0.35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420</v>
      </c>
      <c r="B401" t="s">
        <v>13</v>
      </c>
      <c r="C401">
        <v>1</v>
      </c>
      <c r="D401">
        <v>3</v>
      </c>
      <c r="E401">
        <v>3</v>
      </c>
      <c r="H401" s="1">
        <v>45247</v>
      </c>
    </row>
    <row r="402" spans="1:8" x14ac:dyDescent="0.35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423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424</v>
      </c>
      <c r="B405" t="s">
        <v>17</v>
      </c>
      <c r="C405">
        <v>4</v>
      </c>
      <c r="D405">
        <v>1</v>
      </c>
      <c r="E405">
        <v>4</v>
      </c>
      <c r="F405" t="s">
        <v>14</v>
      </c>
      <c r="H405" s="1">
        <v>45264</v>
      </c>
    </row>
    <row r="406" spans="1:8" x14ac:dyDescent="0.35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426</v>
      </c>
      <c r="B407" t="s">
        <v>9</v>
      </c>
      <c r="C407">
        <v>3</v>
      </c>
      <c r="D407">
        <v>2</v>
      </c>
      <c r="E407">
        <v>6</v>
      </c>
      <c r="G407" t="s">
        <v>11</v>
      </c>
      <c r="H407" s="1">
        <v>45220</v>
      </c>
    </row>
    <row r="408" spans="1:8" x14ac:dyDescent="0.35">
      <c r="A408" t="s">
        <v>427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</row>
    <row r="409" spans="1:8" x14ac:dyDescent="0.35">
      <c r="A409" t="s">
        <v>428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430</v>
      </c>
      <c r="B411" t="s">
        <v>13</v>
      </c>
      <c r="C411">
        <v>5</v>
      </c>
      <c r="D411">
        <v>3</v>
      </c>
      <c r="E411">
        <v>15</v>
      </c>
      <c r="F411" t="s">
        <v>10</v>
      </c>
      <c r="H411" s="1">
        <v>45180</v>
      </c>
    </row>
    <row r="412" spans="1:8" x14ac:dyDescent="0.35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</row>
    <row r="414" spans="1:8" x14ac:dyDescent="0.35">
      <c r="A414" t="s">
        <v>433</v>
      </c>
      <c r="B414" t="s">
        <v>37</v>
      </c>
      <c r="C414">
        <v>1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434</v>
      </c>
      <c r="B415" t="s">
        <v>26</v>
      </c>
      <c r="C415">
        <v>4</v>
      </c>
      <c r="D415">
        <v>4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</row>
    <row r="417" spans="1:8" x14ac:dyDescent="0.35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</row>
    <row r="419" spans="1:8" x14ac:dyDescent="0.35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</row>
    <row r="421" spans="1:8" x14ac:dyDescent="0.35">
      <c r="A421" t="s">
        <v>440</v>
      </c>
      <c r="B421" t="s">
        <v>23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</row>
    <row r="423" spans="1:8" x14ac:dyDescent="0.35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H423" s="1">
        <v>45138</v>
      </c>
    </row>
    <row r="424" spans="1:8" x14ac:dyDescent="0.35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</row>
    <row r="426" spans="1:8" x14ac:dyDescent="0.35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</row>
    <row r="428" spans="1:8" x14ac:dyDescent="0.35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448</v>
      </c>
      <c r="B429" t="s">
        <v>13</v>
      </c>
      <c r="C429">
        <v>4</v>
      </c>
      <c r="D429">
        <v>3</v>
      </c>
      <c r="E429">
        <v>12</v>
      </c>
      <c r="H429" s="1">
        <v>45062</v>
      </c>
    </row>
    <row r="430" spans="1:8" x14ac:dyDescent="0.35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450</v>
      </c>
      <c r="B431" t="s">
        <v>63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451</v>
      </c>
      <c r="B432" t="s">
        <v>26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452</v>
      </c>
      <c r="B433" t="s">
        <v>63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453</v>
      </c>
      <c r="B434" t="s">
        <v>19</v>
      </c>
      <c r="C434">
        <v>2</v>
      </c>
      <c r="D434">
        <v>5</v>
      </c>
      <c r="E434">
        <v>10</v>
      </c>
      <c r="G434" t="s">
        <v>15</v>
      </c>
      <c r="H434" s="1">
        <v>45083</v>
      </c>
    </row>
    <row r="435" spans="1:8" x14ac:dyDescent="0.35">
      <c r="A435" t="s">
        <v>454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455</v>
      </c>
      <c r="C436">
        <v>3</v>
      </c>
      <c r="D436">
        <v>4</v>
      </c>
      <c r="E436">
        <v>12</v>
      </c>
      <c r="G436" t="s">
        <v>11</v>
      </c>
    </row>
    <row r="437" spans="1:8" x14ac:dyDescent="0.35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H437" s="1">
        <v>44975</v>
      </c>
    </row>
    <row r="438" spans="1:8" x14ac:dyDescent="0.35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</row>
    <row r="439" spans="1:8" x14ac:dyDescent="0.35">
      <c r="A439" t="s">
        <v>458</v>
      </c>
      <c r="B439" t="s">
        <v>9</v>
      </c>
      <c r="C439">
        <v>5</v>
      </c>
      <c r="D439">
        <v>2</v>
      </c>
      <c r="E439">
        <v>10</v>
      </c>
      <c r="H439" s="1">
        <v>45284</v>
      </c>
    </row>
    <row r="440" spans="1:8" x14ac:dyDescent="0.35">
      <c r="A440" t="s">
        <v>459</v>
      </c>
      <c r="B440" t="s">
        <v>63</v>
      </c>
      <c r="C440">
        <v>3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</row>
    <row r="441" spans="1:8" x14ac:dyDescent="0.35">
      <c r="A441" t="s">
        <v>460</v>
      </c>
      <c r="B441" t="s">
        <v>26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</row>
    <row r="443" spans="1:8" x14ac:dyDescent="0.35">
      <c r="A443" t="s">
        <v>462</v>
      </c>
      <c r="B443" t="s">
        <v>63</v>
      </c>
      <c r="C443">
        <v>1</v>
      </c>
      <c r="D443">
        <v>1.5</v>
      </c>
      <c r="E443">
        <v>1.5</v>
      </c>
      <c r="G443" t="s">
        <v>15</v>
      </c>
      <c r="H443" s="1">
        <v>45013</v>
      </c>
    </row>
    <row r="444" spans="1:8" x14ac:dyDescent="0.35">
      <c r="A444" t="s">
        <v>463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H445" s="1">
        <v>45030</v>
      </c>
    </row>
    <row r="446" spans="1:8" x14ac:dyDescent="0.35">
      <c r="A446" t="s">
        <v>465</v>
      </c>
      <c r="B446" t="s">
        <v>13</v>
      </c>
      <c r="C446">
        <v>4</v>
      </c>
      <c r="D446">
        <v>3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H451" s="1">
        <v>45158</v>
      </c>
    </row>
    <row r="452" spans="1:8" x14ac:dyDescent="0.35">
      <c r="A452" t="s">
        <v>471</v>
      </c>
      <c r="B452" t="s">
        <v>23</v>
      </c>
      <c r="C452">
        <v>1</v>
      </c>
      <c r="D452">
        <v>4</v>
      </c>
      <c r="E452">
        <v>4</v>
      </c>
      <c r="G452" t="s">
        <v>11</v>
      </c>
      <c r="H452" s="1">
        <v>45032</v>
      </c>
    </row>
    <row r="453" spans="1:8" x14ac:dyDescent="0.35">
      <c r="A453" t="s">
        <v>472</v>
      </c>
      <c r="B453" t="s">
        <v>26</v>
      </c>
      <c r="C453">
        <v>5</v>
      </c>
      <c r="D453">
        <v>4</v>
      </c>
      <c r="E453">
        <v>20</v>
      </c>
      <c r="H453" s="1">
        <v>44980</v>
      </c>
    </row>
    <row r="454" spans="1:8" x14ac:dyDescent="0.35">
      <c r="A454" t="s">
        <v>473</v>
      </c>
      <c r="B454" t="s">
        <v>23</v>
      </c>
      <c r="C454">
        <v>1</v>
      </c>
      <c r="D454">
        <v>4</v>
      </c>
      <c r="E454">
        <v>4</v>
      </c>
      <c r="H454" s="1">
        <v>45283</v>
      </c>
    </row>
    <row r="455" spans="1:8" x14ac:dyDescent="0.35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H455" s="1">
        <v>45157</v>
      </c>
    </row>
    <row r="456" spans="1:8" x14ac:dyDescent="0.35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</row>
    <row r="457" spans="1:8" x14ac:dyDescent="0.35">
      <c r="A457" t="s">
        <v>476</v>
      </c>
      <c r="B457" t="s">
        <v>37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H460" s="1">
        <v>45117</v>
      </c>
    </row>
    <row r="461" spans="1:8" x14ac:dyDescent="0.35">
      <c r="A461" t="s">
        <v>480</v>
      </c>
      <c r="B461" t="s">
        <v>9</v>
      </c>
      <c r="C461">
        <v>5</v>
      </c>
      <c r="D461">
        <v>2</v>
      </c>
      <c r="E461">
        <v>10</v>
      </c>
      <c r="F461" t="s">
        <v>14</v>
      </c>
      <c r="H461" s="1">
        <v>45109</v>
      </c>
    </row>
    <row r="462" spans="1:8" x14ac:dyDescent="0.35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H462" s="1">
        <v>45247</v>
      </c>
    </row>
    <row r="463" spans="1:8" x14ac:dyDescent="0.35">
      <c r="A463" t="s">
        <v>482</v>
      </c>
      <c r="B463" t="s">
        <v>37</v>
      </c>
      <c r="C463">
        <v>1</v>
      </c>
      <c r="D463">
        <v>3</v>
      </c>
      <c r="E463">
        <v>3</v>
      </c>
      <c r="G463" t="s">
        <v>11</v>
      </c>
      <c r="H463" s="1">
        <v>45080</v>
      </c>
    </row>
    <row r="464" spans="1:8" x14ac:dyDescent="0.35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H464" s="1">
        <v>45009</v>
      </c>
    </row>
    <row r="465" spans="1:8" x14ac:dyDescent="0.35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</row>
    <row r="471" spans="1:8" x14ac:dyDescent="0.35">
      <c r="A471" t="s">
        <v>490</v>
      </c>
      <c r="B471" t="s">
        <v>26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492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</row>
    <row r="475" spans="1:8" x14ac:dyDescent="0.35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</row>
    <row r="477" spans="1:8" x14ac:dyDescent="0.35">
      <c r="A477" t="s">
        <v>496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497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500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501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503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504</v>
      </c>
      <c r="B485" t="s">
        <v>9</v>
      </c>
      <c r="C485">
        <v>3</v>
      </c>
      <c r="D485">
        <v>2</v>
      </c>
      <c r="E485">
        <v>6</v>
      </c>
      <c r="F485" t="s">
        <v>10</v>
      </c>
      <c r="H485" s="1">
        <v>44943</v>
      </c>
    </row>
    <row r="486" spans="1:8" x14ac:dyDescent="0.35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506</v>
      </c>
      <c r="B487" t="s">
        <v>37</v>
      </c>
      <c r="C487">
        <v>4</v>
      </c>
      <c r="D487">
        <v>3</v>
      </c>
      <c r="E487">
        <v>12</v>
      </c>
      <c r="F487" t="s">
        <v>21</v>
      </c>
      <c r="H487" s="1">
        <v>45127</v>
      </c>
    </row>
    <row r="488" spans="1:8" x14ac:dyDescent="0.35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H490" s="1">
        <v>45284</v>
      </c>
    </row>
    <row r="491" spans="1:8" x14ac:dyDescent="0.35">
      <c r="A491" t="s">
        <v>510</v>
      </c>
      <c r="B491" t="s">
        <v>26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514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</row>
    <row r="497" spans="1:8" x14ac:dyDescent="0.35">
      <c r="A497" t="s">
        <v>516</v>
      </c>
      <c r="B497" t="s">
        <v>19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</row>
    <row r="499" spans="1:8" x14ac:dyDescent="0.35">
      <c r="A499" t="s">
        <v>518</v>
      </c>
      <c r="B499" t="s">
        <v>26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</row>
    <row r="501" spans="1:8" x14ac:dyDescent="0.35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</row>
    <row r="502" spans="1:8" x14ac:dyDescent="0.35">
      <c r="A502" t="s">
        <v>521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523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524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525</v>
      </c>
      <c r="B506" t="s">
        <v>37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528</v>
      </c>
      <c r="B509" t="s">
        <v>13</v>
      </c>
      <c r="C509">
        <v>3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529</v>
      </c>
      <c r="B510" t="s">
        <v>26</v>
      </c>
      <c r="C510">
        <v>3</v>
      </c>
      <c r="D510">
        <v>4</v>
      </c>
      <c r="E510">
        <v>12</v>
      </c>
      <c r="G510" t="s">
        <v>11</v>
      </c>
      <c r="H510" s="1">
        <v>45010</v>
      </c>
    </row>
    <row r="511" spans="1:8" x14ac:dyDescent="0.35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</row>
    <row r="512" spans="1:8" x14ac:dyDescent="0.35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532</v>
      </c>
      <c r="C513">
        <v>3</v>
      </c>
      <c r="D513">
        <v>4</v>
      </c>
      <c r="E513">
        <v>12</v>
      </c>
      <c r="F513" t="s">
        <v>10</v>
      </c>
      <c r="H513" s="1">
        <v>45269</v>
      </c>
    </row>
    <row r="514" spans="1:8" x14ac:dyDescent="0.35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</row>
    <row r="515" spans="1:8" x14ac:dyDescent="0.35">
      <c r="A515" t="s">
        <v>534</v>
      </c>
      <c r="B515" t="s">
        <v>23</v>
      </c>
      <c r="C515">
        <v>5</v>
      </c>
      <c r="D515">
        <v>4</v>
      </c>
      <c r="E515">
        <v>20</v>
      </c>
      <c r="G515" t="s">
        <v>11</v>
      </c>
    </row>
    <row r="516" spans="1:8" x14ac:dyDescent="0.35">
      <c r="A516" t="s">
        <v>535</v>
      </c>
      <c r="B516" t="s">
        <v>63</v>
      </c>
      <c r="C516">
        <v>2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H517" s="1">
        <v>45013</v>
      </c>
    </row>
    <row r="518" spans="1:8" x14ac:dyDescent="0.35">
      <c r="A518" t="s">
        <v>537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540</v>
      </c>
      <c r="B521" t="s">
        <v>37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541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542</v>
      </c>
      <c r="B523" t="s">
        <v>63</v>
      </c>
      <c r="C523">
        <v>2</v>
      </c>
      <c r="D523">
        <v>1.5</v>
      </c>
      <c r="E523">
        <v>3</v>
      </c>
      <c r="H523" s="1">
        <v>45221</v>
      </c>
    </row>
    <row r="524" spans="1:8" x14ac:dyDescent="0.35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</row>
    <row r="525" spans="1:8" x14ac:dyDescent="0.35">
      <c r="A525" t="s">
        <v>544</v>
      </c>
      <c r="C525">
        <v>2</v>
      </c>
      <c r="D525">
        <v>1.5</v>
      </c>
      <c r="E525">
        <v>3</v>
      </c>
      <c r="F525" t="s">
        <v>14</v>
      </c>
      <c r="H525" s="1">
        <v>44935</v>
      </c>
    </row>
    <row r="526" spans="1:8" x14ac:dyDescent="0.35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H527" s="1">
        <v>45240</v>
      </c>
    </row>
    <row r="528" spans="1:8" x14ac:dyDescent="0.35">
      <c r="A528" t="s">
        <v>547</v>
      </c>
      <c r="B528" t="s">
        <v>37</v>
      </c>
      <c r="C528">
        <v>4</v>
      </c>
      <c r="D528">
        <v>3</v>
      </c>
      <c r="E528">
        <v>12</v>
      </c>
      <c r="G528" t="s">
        <v>11</v>
      </c>
    </row>
    <row r="529" spans="1:8" x14ac:dyDescent="0.35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H529" s="1">
        <v>45217</v>
      </c>
    </row>
    <row r="530" spans="1:8" x14ac:dyDescent="0.35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H530" s="1">
        <v>45218</v>
      </c>
    </row>
    <row r="531" spans="1:8" x14ac:dyDescent="0.35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H533" s="1">
        <v>45240</v>
      </c>
    </row>
    <row r="534" spans="1:8" x14ac:dyDescent="0.35">
      <c r="A534" t="s">
        <v>553</v>
      </c>
      <c r="B534" t="s">
        <v>17</v>
      </c>
      <c r="C534">
        <v>1</v>
      </c>
      <c r="D534">
        <v>1</v>
      </c>
      <c r="E534">
        <v>1</v>
      </c>
      <c r="F534" t="s">
        <v>21</v>
      </c>
      <c r="G534" t="s">
        <v>15</v>
      </c>
      <c r="H534" s="1">
        <v>45239</v>
      </c>
    </row>
    <row r="535" spans="1:8" x14ac:dyDescent="0.35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555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556</v>
      </c>
      <c r="C537">
        <v>4</v>
      </c>
      <c r="D537">
        <v>3</v>
      </c>
      <c r="E537">
        <v>12</v>
      </c>
      <c r="F537" t="s">
        <v>21</v>
      </c>
    </row>
    <row r="538" spans="1:8" x14ac:dyDescent="0.35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</row>
    <row r="539" spans="1:8" x14ac:dyDescent="0.35">
      <c r="A539" t="s">
        <v>558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560</v>
      </c>
      <c r="B541" t="s">
        <v>63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562</v>
      </c>
      <c r="B543" t="s">
        <v>26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</row>
    <row r="545" spans="1:8" x14ac:dyDescent="0.35">
      <c r="A545" t="s">
        <v>564</v>
      </c>
      <c r="B545" t="s">
        <v>23</v>
      </c>
      <c r="C545">
        <v>3</v>
      </c>
      <c r="D545">
        <v>4</v>
      </c>
      <c r="E545">
        <v>12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566</v>
      </c>
      <c r="B547" t="s">
        <v>23</v>
      </c>
      <c r="C547">
        <v>5</v>
      </c>
      <c r="D547">
        <v>4</v>
      </c>
      <c r="E547">
        <v>20</v>
      </c>
      <c r="H547" s="1">
        <v>44943</v>
      </c>
    </row>
    <row r="548" spans="1:8" x14ac:dyDescent="0.35">
      <c r="A548" t="s">
        <v>567</v>
      </c>
      <c r="B548" t="s">
        <v>19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568</v>
      </c>
      <c r="B549" t="s">
        <v>26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570</v>
      </c>
      <c r="B551" t="s">
        <v>19</v>
      </c>
      <c r="C551">
        <v>1</v>
      </c>
      <c r="D551">
        <v>5</v>
      </c>
      <c r="E551">
        <v>5</v>
      </c>
      <c r="H551" s="1">
        <v>45101</v>
      </c>
    </row>
    <row r="552" spans="1:8" x14ac:dyDescent="0.35">
      <c r="A552" t="s">
        <v>571</v>
      </c>
      <c r="C552">
        <v>4</v>
      </c>
      <c r="D552">
        <v>1.5</v>
      </c>
      <c r="E552">
        <v>6</v>
      </c>
      <c r="F552" t="s">
        <v>21</v>
      </c>
      <c r="H552" s="1">
        <v>45070</v>
      </c>
    </row>
    <row r="553" spans="1:8" x14ac:dyDescent="0.35">
      <c r="A553" t="s">
        <v>572</v>
      </c>
      <c r="C553">
        <v>2</v>
      </c>
      <c r="D553">
        <v>3</v>
      </c>
      <c r="E553">
        <v>6</v>
      </c>
      <c r="F553" t="s">
        <v>14</v>
      </c>
    </row>
    <row r="554" spans="1:8" x14ac:dyDescent="0.35">
      <c r="A554" t="s">
        <v>573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575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576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577</v>
      </c>
      <c r="B558" t="s">
        <v>26</v>
      </c>
      <c r="C558">
        <v>1</v>
      </c>
      <c r="D558">
        <v>4</v>
      </c>
      <c r="E558">
        <v>4</v>
      </c>
      <c r="H558" s="1">
        <v>45170</v>
      </c>
    </row>
    <row r="559" spans="1:8" x14ac:dyDescent="0.35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</row>
    <row r="560" spans="1:8" x14ac:dyDescent="0.35">
      <c r="A560" t="s">
        <v>579</v>
      </c>
      <c r="B560" t="s">
        <v>63</v>
      </c>
      <c r="C560">
        <v>1</v>
      </c>
      <c r="D560">
        <v>1.5</v>
      </c>
      <c r="E560">
        <v>1.5</v>
      </c>
      <c r="G560" t="s">
        <v>15</v>
      </c>
      <c r="H560" s="1">
        <v>44983</v>
      </c>
    </row>
    <row r="561" spans="1:8" x14ac:dyDescent="0.35">
      <c r="A561" t="s">
        <v>580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H562" s="1">
        <v>45206</v>
      </c>
    </row>
    <row r="563" spans="1:8" x14ac:dyDescent="0.35">
      <c r="A563" t="s">
        <v>582</v>
      </c>
      <c r="B563" t="s">
        <v>23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583</v>
      </c>
      <c r="B564" t="s">
        <v>37</v>
      </c>
      <c r="C564">
        <v>3</v>
      </c>
      <c r="D564">
        <v>3</v>
      </c>
      <c r="E564">
        <v>9</v>
      </c>
      <c r="F564" t="s">
        <v>21</v>
      </c>
      <c r="G564" t="s">
        <v>11</v>
      </c>
      <c r="H564" s="1">
        <v>45276</v>
      </c>
    </row>
    <row r="565" spans="1:8" x14ac:dyDescent="0.35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</row>
    <row r="566" spans="1:8" x14ac:dyDescent="0.35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</row>
    <row r="570" spans="1:8" x14ac:dyDescent="0.35">
      <c r="A570" t="s">
        <v>589</v>
      </c>
      <c r="B570" t="s">
        <v>9</v>
      </c>
      <c r="C570">
        <v>2</v>
      </c>
      <c r="D570">
        <v>2</v>
      </c>
      <c r="E570">
        <v>4</v>
      </c>
      <c r="F570" t="s">
        <v>14</v>
      </c>
      <c r="H570" s="1">
        <v>45141</v>
      </c>
    </row>
    <row r="571" spans="1:8" x14ac:dyDescent="0.35">
      <c r="A571" t="s">
        <v>590</v>
      </c>
      <c r="B571" t="s">
        <v>19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591</v>
      </c>
      <c r="B572" t="s">
        <v>19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592</v>
      </c>
      <c r="B573" t="s">
        <v>37</v>
      </c>
      <c r="C573">
        <v>4</v>
      </c>
      <c r="D573">
        <v>3</v>
      </c>
      <c r="E573">
        <v>12</v>
      </c>
    </row>
    <row r="574" spans="1:8" x14ac:dyDescent="0.35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</row>
    <row r="575" spans="1:8" x14ac:dyDescent="0.35">
      <c r="A575" t="s">
        <v>594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595</v>
      </c>
      <c r="B576" t="s">
        <v>23</v>
      </c>
      <c r="C576">
        <v>4</v>
      </c>
      <c r="D576">
        <v>4</v>
      </c>
      <c r="E576">
        <v>16</v>
      </c>
      <c r="H576" s="1">
        <v>45099</v>
      </c>
    </row>
    <row r="577" spans="1:8" x14ac:dyDescent="0.35">
      <c r="A577" t="s">
        <v>596</v>
      </c>
      <c r="B577" t="s">
        <v>13</v>
      </c>
      <c r="C577">
        <v>1</v>
      </c>
      <c r="D577">
        <v>3</v>
      </c>
      <c r="E577">
        <v>3</v>
      </c>
      <c r="G577" t="s">
        <v>15</v>
      </c>
      <c r="H577" s="1">
        <v>45122</v>
      </c>
    </row>
    <row r="578" spans="1:8" x14ac:dyDescent="0.35">
      <c r="A578" t="s">
        <v>597</v>
      </c>
      <c r="B578" t="s">
        <v>63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598</v>
      </c>
      <c r="B579" t="s">
        <v>23</v>
      </c>
      <c r="C579">
        <v>1</v>
      </c>
      <c r="D579">
        <v>4</v>
      </c>
      <c r="E579">
        <v>4</v>
      </c>
      <c r="H579" s="1">
        <v>45011</v>
      </c>
    </row>
    <row r="580" spans="1:8" x14ac:dyDescent="0.35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</row>
    <row r="582" spans="1:8" x14ac:dyDescent="0.35">
      <c r="A582" t="s">
        <v>601</v>
      </c>
      <c r="B582" t="s">
        <v>63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</row>
    <row r="587" spans="1:8" x14ac:dyDescent="0.35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607</v>
      </c>
      <c r="B588" t="s">
        <v>37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608</v>
      </c>
      <c r="B589" t="s">
        <v>26</v>
      </c>
      <c r="C589">
        <v>1</v>
      </c>
      <c r="D589">
        <v>4</v>
      </c>
      <c r="E589">
        <v>4</v>
      </c>
      <c r="F589" t="s">
        <v>21</v>
      </c>
      <c r="G589" t="s">
        <v>15</v>
      </c>
      <c r="H589" s="1">
        <v>45038</v>
      </c>
    </row>
    <row r="590" spans="1:8" x14ac:dyDescent="0.35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610</v>
      </c>
      <c r="C591">
        <v>3</v>
      </c>
      <c r="D591">
        <v>1</v>
      </c>
      <c r="E591">
        <v>3</v>
      </c>
      <c r="F591" t="s">
        <v>10</v>
      </c>
      <c r="H591" s="1">
        <v>44937</v>
      </c>
    </row>
    <row r="592" spans="1:8" x14ac:dyDescent="0.35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</row>
    <row r="593" spans="1:8" x14ac:dyDescent="0.35">
      <c r="A593" t="s">
        <v>612</v>
      </c>
      <c r="B593" t="s">
        <v>63</v>
      </c>
      <c r="C593">
        <v>4</v>
      </c>
      <c r="D593">
        <v>1.5</v>
      </c>
      <c r="E593">
        <v>6</v>
      </c>
      <c r="G593" t="s">
        <v>11</v>
      </c>
    </row>
    <row r="594" spans="1:8" x14ac:dyDescent="0.35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614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615</v>
      </c>
      <c r="B596" t="s">
        <v>23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616</v>
      </c>
      <c r="B597" t="s">
        <v>19</v>
      </c>
      <c r="C597">
        <v>4</v>
      </c>
      <c r="D597">
        <v>5</v>
      </c>
      <c r="E597">
        <v>20</v>
      </c>
      <c r="G597" t="s">
        <v>11</v>
      </c>
      <c r="H597" s="1">
        <v>45233</v>
      </c>
    </row>
    <row r="598" spans="1:8" x14ac:dyDescent="0.35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</row>
    <row r="600" spans="1:8" x14ac:dyDescent="0.35">
      <c r="A600" t="s">
        <v>619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H601" s="1">
        <v>45022</v>
      </c>
    </row>
    <row r="602" spans="1:8" x14ac:dyDescent="0.35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623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</row>
    <row r="606" spans="1:8" x14ac:dyDescent="0.35">
      <c r="A606" t="s">
        <v>625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626</v>
      </c>
      <c r="C607">
        <v>4</v>
      </c>
      <c r="D607">
        <v>4</v>
      </c>
      <c r="E607">
        <v>16</v>
      </c>
      <c r="G607" t="s">
        <v>15</v>
      </c>
    </row>
    <row r="608" spans="1:8" x14ac:dyDescent="0.35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H609" s="1">
        <v>45174</v>
      </c>
    </row>
    <row r="610" spans="1:8" x14ac:dyDescent="0.35">
      <c r="A610" t="s">
        <v>629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630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633</v>
      </c>
      <c r="B614" t="s">
        <v>19</v>
      </c>
      <c r="C614">
        <v>5</v>
      </c>
      <c r="D614">
        <v>5</v>
      </c>
      <c r="E614">
        <v>25</v>
      </c>
      <c r="F614" t="s">
        <v>14</v>
      </c>
      <c r="H614" s="1">
        <v>45051</v>
      </c>
    </row>
    <row r="615" spans="1:8" x14ac:dyDescent="0.35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</row>
    <row r="619" spans="1:8" x14ac:dyDescent="0.35">
      <c r="A619" t="s">
        <v>638</v>
      </c>
      <c r="B619" t="s">
        <v>26</v>
      </c>
      <c r="C619">
        <v>2</v>
      </c>
      <c r="D619">
        <v>4</v>
      </c>
      <c r="E619">
        <v>8</v>
      </c>
      <c r="H619" s="1">
        <v>45254</v>
      </c>
    </row>
    <row r="620" spans="1:8" x14ac:dyDescent="0.35">
      <c r="A620" t="s">
        <v>639</v>
      </c>
      <c r="B620" t="s">
        <v>17</v>
      </c>
      <c r="C620">
        <v>5</v>
      </c>
      <c r="D620">
        <v>1</v>
      </c>
      <c r="E620">
        <v>5</v>
      </c>
      <c r="F620" t="s">
        <v>21</v>
      </c>
      <c r="G620" t="s">
        <v>11</v>
      </c>
      <c r="H620" s="1">
        <v>45045</v>
      </c>
    </row>
    <row r="621" spans="1:8" x14ac:dyDescent="0.35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</row>
    <row r="622" spans="1:8" x14ac:dyDescent="0.35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</row>
    <row r="623" spans="1:8" x14ac:dyDescent="0.35">
      <c r="A623" t="s">
        <v>642</v>
      </c>
      <c r="B623" t="s">
        <v>63</v>
      </c>
      <c r="C623">
        <v>4</v>
      </c>
      <c r="D623">
        <v>1.5</v>
      </c>
      <c r="E623">
        <v>6</v>
      </c>
      <c r="H623" s="1">
        <v>45262</v>
      </c>
    </row>
    <row r="624" spans="1:8" x14ac:dyDescent="0.35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</row>
    <row r="626" spans="1:8" x14ac:dyDescent="0.35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646</v>
      </c>
      <c r="B627" t="s">
        <v>19</v>
      </c>
      <c r="C627">
        <v>2</v>
      </c>
      <c r="D627">
        <v>5</v>
      </c>
      <c r="E627">
        <v>10</v>
      </c>
      <c r="F627" t="s">
        <v>10</v>
      </c>
      <c r="H627" s="1">
        <v>45206</v>
      </c>
    </row>
    <row r="628" spans="1:8" x14ac:dyDescent="0.35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</row>
    <row r="629" spans="1:8" x14ac:dyDescent="0.35">
      <c r="A629" t="s">
        <v>648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</row>
    <row r="630" spans="1:8" x14ac:dyDescent="0.35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H630" s="1">
        <v>45073</v>
      </c>
    </row>
    <row r="631" spans="1:8" x14ac:dyDescent="0.35">
      <c r="A631" t="s">
        <v>650</v>
      </c>
      <c r="B631" t="s">
        <v>13</v>
      </c>
      <c r="C631">
        <v>4</v>
      </c>
      <c r="D631">
        <v>3</v>
      </c>
      <c r="E631">
        <v>12</v>
      </c>
      <c r="F631" t="s">
        <v>21</v>
      </c>
      <c r="G631" t="s">
        <v>15</v>
      </c>
      <c r="H631" s="1">
        <v>45290</v>
      </c>
    </row>
    <row r="632" spans="1:8" x14ac:dyDescent="0.35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H632" s="1">
        <v>45128</v>
      </c>
    </row>
    <row r="633" spans="1:8" x14ac:dyDescent="0.35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654</v>
      </c>
      <c r="B635" t="s">
        <v>19</v>
      </c>
      <c r="C635">
        <v>1</v>
      </c>
      <c r="D635">
        <v>5</v>
      </c>
      <c r="E635">
        <v>5</v>
      </c>
      <c r="G635" t="s">
        <v>15</v>
      </c>
      <c r="H635" s="1">
        <v>45037</v>
      </c>
    </row>
    <row r="636" spans="1:8" x14ac:dyDescent="0.35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</row>
    <row r="640" spans="1:8" x14ac:dyDescent="0.35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</row>
    <row r="641" spans="1:8" x14ac:dyDescent="0.35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H642" s="1">
        <v>45276</v>
      </c>
    </row>
    <row r="643" spans="1:8" x14ac:dyDescent="0.35">
      <c r="A643" t="s">
        <v>662</v>
      </c>
      <c r="B643" t="s">
        <v>37</v>
      </c>
      <c r="D643">
        <v>3</v>
      </c>
      <c r="H643" s="1">
        <v>45002</v>
      </c>
    </row>
    <row r="644" spans="1:8" x14ac:dyDescent="0.35">
      <c r="A644" t="s">
        <v>663</v>
      </c>
      <c r="B644" t="s">
        <v>37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664</v>
      </c>
      <c r="B645" t="s">
        <v>37</v>
      </c>
      <c r="C645">
        <v>4</v>
      </c>
      <c r="D645">
        <v>3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</row>
    <row r="647" spans="1:8" x14ac:dyDescent="0.35">
      <c r="A647" t="s">
        <v>666</v>
      </c>
      <c r="B647" t="s">
        <v>37</v>
      </c>
      <c r="C647">
        <v>2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667</v>
      </c>
      <c r="B648" t="s">
        <v>23</v>
      </c>
      <c r="C648">
        <v>1</v>
      </c>
      <c r="D648">
        <v>4</v>
      </c>
      <c r="E648">
        <v>4</v>
      </c>
      <c r="G648" t="s">
        <v>11</v>
      </c>
      <c r="H648" s="1">
        <v>45030</v>
      </c>
    </row>
    <row r="649" spans="1:8" x14ac:dyDescent="0.35">
      <c r="A649" t="s">
        <v>668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669</v>
      </c>
      <c r="B650" t="s">
        <v>19</v>
      </c>
      <c r="C650">
        <v>4</v>
      </c>
      <c r="D650">
        <v>5</v>
      </c>
      <c r="E650">
        <v>20</v>
      </c>
      <c r="F650" t="s">
        <v>21</v>
      </c>
      <c r="H650" s="1">
        <v>45213</v>
      </c>
    </row>
    <row r="651" spans="1:8" x14ac:dyDescent="0.35">
      <c r="A651" t="s">
        <v>670</v>
      </c>
      <c r="B651" t="s">
        <v>63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</row>
    <row r="653" spans="1:8" x14ac:dyDescent="0.35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</row>
    <row r="654" spans="1:8" x14ac:dyDescent="0.35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H654" s="1">
        <v>44935</v>
      </c>
    </row>
    <row r="655" spans="1:8" x14ac:dyDescent="0.35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675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</row>
    <row r="658" spans="1:8" x14ac:dyDescent="0.35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681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682</v>
      </c>
      <c r="B663" t="s">
        <v>19</v>
      </c>
      <c r="C663">
        <v>3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</row>
    <row r="665" spans="1:8" x14ac:dyDescent="0.35">
      <c r="A665" t="s">
        <v>684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685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686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</row>
    <row r="673" spans="1:8" x14ac:dyDescent="0.35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694</v>
      </c>
      <c r="B675" t="s">
        <v>13</v>
      </c>
      <c r="C675">
        <v>3</v>
      </c>
      <c r="D675">
        <v>3</v>
      </c>
      <c r="E675">
        <v>9</v>
      </c>
      <c r="F675" t="s">
        <v>21</v>
      </c>
      <c r="G675" t="s">
        <v>15</v>
      </c>
      <c r="H675" s="1">
        <v>44956</v>
      </c>
    </row>
    <row r="676" spans="1:8" x14ac:dyDescent="0.35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</row>
    <row r="677" spans="1:8" x14ac:dyDescent="0.35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</row>
    <row r="678" spans="1:8" x14ac:dyDescent="0.35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</row>
    <row r="680" spans="1:8" x14ac:dyDescent="0.35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700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</row>
    <row r="682" spans="1:8" x14ac:dyDescent="0.35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702</v>
      </c>
      <c r="B683" t="s">
        <v>23</v>
      </c>
      <c r="C683">
        <v>1</v>
      </c>
      <c r="D683">
        <v>4</v>
      </c>
      <c r="E683">
        <v>4</v>
      </c>
      <c r="G683" t="s">
        <v>11</v>
      </c>
      <c r="H683" s="1">
        <v>44965</v>
      </c>
    </row>
    <row r="684" spans="1:8" x14ac:dyDescent="0.35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</row>
    <row r="687" spans="1:8" x14ac:dyDescent="0.35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707</v>
      </c>
      <c r="C688">
        <v>1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708</v>
      </c>
      <c r="B689" t="s">
        <v>37</v>
      </c>
      <c r="C689">
        <v>2</v>
      </c>
      <c r="D689">
        <v>3</v>
      </c>
      <c r="E689">
        <v>6</v>
      </c>
      <c r="G689" t="s">
        <v>11</v>
      </c>
      <c r="H689" s="1">
        <v>45166</v>
      </c>
    </row>
    <row r="690" spans="1:8" x14ac:dyDescent="0.35">
      <c r="A690" t="s">
        <v>709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</row>
    <row r="691" spans="1:8" x14ac:dyDescent="0.35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713</v>
      </c>
      <c r="B694" t="s">
        <v>13</v>
      </c>
      <c r="C694">
        <v>4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715</v>
      </c>
      <c r="B696" t="s">
        <v>63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718</v>
      </c>
      <c r="B699" t="s">
        <v>13</v>
      </c>
      <c r="C699">
        <v>4</v>
      </c>
      <c r="D699">
        <v>3</v>
      </c>
      <c r="E699">
        <v>12</v>
      </c>
      <c r="H699" s="1">
        <v>45086</v>
      </c>
    </row>
    <row r="700" spans="1:8" x14ac:dyDescent="0.35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720</v>
      </c>
      <c r="C701">
        <v>1</v>
      </c>
      <c r="D701">
        <v>2</v>
      </c>
      <c r="E701">
        <v>2</v>
      </c>
      <c r="F701" t="s">
        <v>21</v>
      </c>
      <c r="G701" t="s">
        <v>11</v>
      </c>
      <c r="H701" s="1">
        <v>44995</v>
      </c>
    </row>
    <row r="702" spans="1:8" x14ac:dyDescent="0.35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</row>
    <row r="704" spans="1:8" x14ac:dyDescent="0.35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H704" s="1">
        <v>44987</v>
      </c>
    </row>
    <row r="705" spans="1:8" x14ac:dyDescent="0.35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</row>
    <row r="708" spans="1:8" x14ac:dyDescent="0.35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H708" s="1">
        <v>45088</v>
      </c>
    </row>
    <row r="709" spans="1:8" x14ac:dyDescent="0.35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</row>
    <row r="710" spans="1:8" x14ac:dyDescent="0.35">
      <c r="A710" t="s">
        <v>729</v>
      </c>
      <c r="B710" t="s">
        <v>63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730</v>
      </c>
      <c r="B711" t="s">
        <v>19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731</v>
      </c>
      <c r="B712" t="s">
        <v>63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732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733</v>
      </c>
      <c r="B714" t="s">
        <v>9</v>
      </c>
      <c r="C714">
        <v>3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</row>
    <row r="717" spans="1:8" x14ac:dyDescent="0.35">
      <c r="A717" t="s">
        <v>736</v>
      </c>
      <c r="B717" t="s">
        <v>19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737</v>
      </c>
      <c r="B718" t="s">
        <v>26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738</v>
      </c>
      <c r="C719">
        <v>5</v>
      </c>
      <c r="D719">
        <v>1.5</v>
      </c>
      <c r="E719">
        <v>7.5</v>
      </c>
      <c r="H719" s="1">
        <v>45286</v>
      </c>
    </row>
    <row r="720" spans="1:8" x14ac:dyDescent="0.35">
      <c r="A720" t="s">
        <v>739</v>
      </c>
      <c r="B720" t="s">
        <v>17</v>
      </c>
      <c r="C720">
        <v>3</v>
      </c>
      <c r="D720">
        <v>1</v>
      </c>
      <c r="E720">
        <v>3</v>
      </c>
      <c r="F720" t="s">
        <v>21</v>
      </c>
    </row>
    <row r="721" spans="1:8" x14ac:dyDescent="0.35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</row>
    <row r="722" spans="1:8" x14ac:dyDescent="0.35">
      <c r="A722" t="s">
        <v>741</v>
      </c>
      <c r="B722" t="s">
        <v>23</v>
      </c>
      <c r="C722">
        <v>5</v>
      </c>
      <c r="D722">
        <v>4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743</v>
      </c>
      <c r="B724" t="s">
        <v>17</v>
      </c>
      <c r="C724">
        <v>1</v>
      </c>
      <c r="D724">
        <v>1</v>
      </c>
      <c r="E724">
        <v>1</v>
      </c>
      <c r="G724" t="s">
        <v>11</v>
      </c>
    </row>
    <row r="725" spans="1:8" x14ac:dyDescent="0.35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745</v>
      </c>
      <c r="C726">
        <v>3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746</v>
      </c>
      <c r="B727" t="s">
        <v>26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747</v>
      </c>
      <c r="B728" t="s">
        <v>9</v>
      </c>
      <c r="C728">
        <v>1</v>
      </c>
      <c r="D728">
        <v>2</v>
      </c>
      <c r="E728">
        <v>2</v>
      </c>
      <c r="H728" s="1">
        <v>45170</v>
      </c>
    </row>
    <row r="729" spans="1:8" x14ac:dyDescent="0.35">
      <c r="A729" t="s">
        <v>748</v>
      </c>
      <c r="C729">
        <v>2</v>
      </c>
      <c r="D729">
        <v>4</v>
      </c>
      <c r="E729">
        <v>8</v>
      </c>
      <c r="H729" s="1">
        <v>45185</v>
      </c>
    </row>
    <row r="730" spans="1:8" x14ac:dyDescent="0.35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</row>
    <row r="731" spans="1:8" x14ac:dyDescent="0.35">
      <c r="A731" t="s">
        <v>750</v>
      </c>
      <c r="B731" t="s">
        <v>17</v>
      </c>
      <c r="C731">
        <v>5</v>
      </c>
      <c r="D731">
        <v>1</v>
      </c>
      <c r="E731">
        <v>5</v>
      </c>
      <c r="G731" t="s">
        <v>15</v>
      </c>
      <c r="H731" s="1">
        <v>44976</v>
      </c>
    </row>
    <row r="732" spans="1:8" x14ac:dyDescent="0.35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</row>
    <row r="733" spans="1:8" x14ac:dyDescent="0.35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753</v>
      </c>
      <c r="B734" t="s">
        <v>63</v>
      </c>
      <c r="C734">
        <v>5</v>
      </c>
      <c r="D734">
        <v>1.5</v>
      </c>
      <c r="E734">
        <v>7.5</v>
      </c>
      <c r="H734" s="1">
        <v>45192</v>
      </c>
    </row>
    <row r="735" spans="1:8" x14ac:dyDescent="0.35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755</v>
      </c>
      <c r="B736" t="s">
        <v>26</v>
      </c>
      <c r="C736">
        <v>3</v>
      </c>
      <c r="D736">
        <v>4</v>
      </c>
      <c r="E736">
        <v>12</v>
      </c>
      <c r="F736" t="s">
        <v>14</v>
      </c>
      <c r="H736" s="1">
        <v>45011</v>
      </c>
    </row>
    <row r="737" spans="1:8" x14ac:dyDescent="0.35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</row>
    <row r="738" spans="1:8" x14ac:dyDescent="0.35">
      <c r="A738" t="s">
        <v>757</v>
      </c>
      <c r="B738" t="s">
        <v>9</v>
      </c>
      <c r="C738">
        <v>3</v>
      </c>
      <c r="D738">
        <v>2</v>
      </c>
      <c r="E738">
        <v>6</v>
      </c>
      <c r="F738" t="s">
        <v>21</v>
      </c>
      <c r="G738" t="s">
        <v>11</v>
      </c>
      <c r="H738" s="1">
        <v>45184</v>
      </c>
    </row>
    <row r="739" spans="1:8" x14ac:dyDescent="0.35">
      <c r="A739" t="s">
        <v>758</v>
      </c>
      <c r="B739" t="s">
        <v>19</v>
      </c>
      <c r="C739">
        <v>5</v>
      </c>
      <c r="D739">
        <v>5</v>
      </c>
      <c r="E739">
        <v>25</v>
      </c>
      <c r="G739" t="s">
        <v>15</v>
      </c>
    </row>
    <row r="740" spans="1:8" x14ac:dyDescent="0.35">
      <c r="A740" t="s">
        <v>759</v>
      </c>
      <c r="B740" t="s">
        <v>26</v>
      </c>
      <c r="D740">
        <v>4</v>
      </c>
      <c r="G740" t="s">
        <v>11</v>
      </c>
      <c r="H740" s="1">
        <v>45060</v>
      </c>
    </row>
    <row r="741" spans="1:8" x14ac:dyDescent="0.35">
      <c r="A741" t="s">
        <v>760</v>
      </c>
      <c r="B741" t="s">
        <v>37</v>
      </c>
      <c r="C741">
        <v>1</v>
      </c>
      <c r="D741">
        <v>3</v>
      </c>
      <c r="E741">
        <v>3</v>
      </c>
      <c r="H741" s="1">
        <v>44984</v>
      </c>
    </row>
    <row r="742" spans="1:8" x14ac:dyDescent="0.35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763</v>
      </c>
      <c r="B744" t="s">
        <v>23</v>
      </c>
      <c r="C744">
        <v>5</v>
      </c>
      <c r="D744">
        <v>4</v>
      </c>
      <c r="E744">
        <v>20</v>
      </c>
      <c r="G744" t="s">
        <v>11</v>
      </c>
      <c r="H744" s="1">
        <v>45082</v>
      </c>
    </row>
    <row r="745" spans="1:8" x14ac:dyDescent="0.35">
      <c r="A745" t="s">
        <v>764</v>
      </c>
      <c r="B745" t="s">
        <v>17</v>
      </c>
      <c r="C745">
        <v>3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</row>
    <row r="748" spans="1:8" x14ac:dyDescent="0.35">
      <c r="A748" t="s">
        <v>767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</row>
    <row r="750" spans="1:8" x14ac:dyDescent="0.35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H750" s="1">
        <v>45225</v>
      </c>
    </row>
    <row r="751" spans="1:8" x14ac:dyDescent="0.35">
      <c r="A751" t="s">
        <v>770</v>
      </c>
      <c r="B751" t="s">
        <v>9</v>
      </c>
      <c r="C751">
        <v>2</v>
      </c>
      <c r="D751">
        <v>2</v>
      </c>
      <c r="E751">
        <v>4</v>
      </c>
      <c r="F751" t="s">
        <v>21</v>
      </c>
      <c r="G751" t="s">
        <v>15</v>
      </c>
    </row>
    <row r="752" spans="1:8" x14ac:dyDescent="0.35">
      <c r="A752" t="s">
        <v>771</v>
      </c>
      <c r="C752">
        <v>3</v>
      </c>
      <c r="D752">
        <v>3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H754" s="1">
        <v>45018</v>
      </c>
    </row>
    <row r="755" spans="1:8" x14ac:dyDescent="0.35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H756" s="1">
        <v>45122</v>
      </c>
    </row>
    <row r="757" spans="1:8" x14ac:dyDescent="0.35">
      <c r="A757" t="s">
        <v>776</v>
      </c>
      <c r="B757" t="s">
        <v>19</v>
      </c>
      <c r="C757">
        <v>3</v>
      </c>
      <c r="D757">
        <v>5</v>
      </c>
      <c r="E757">
        <v>15</v>
      </c>
      <c r="F757" t="s">
        <v>10</v>
      </c>
      <c r="H757" s="1">
        <v>45025</v>
      </c>
    </row>
    <row r="758" spans="1:8" x14ac:dyDescent="0.35">
      <c r="A758" t="s">
        <v>777</v>
      </c>
      <c r="B758" t="s">
        <v>63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778</v>
      </c>
      <c r="B759" t="s">
        <v>63</v>
      </c>
      <c r="C759">
        <v>4</v>
      </c>
      <c r="D759">
        <v>1.5</v>
      </c>
      <c r="E759">
        <v>6</v>
      </c>
      <c r="F759" t="s">
        <v>14</v>
      </c>
      <c r="H759" s="1">
        <v>45280</v>
      </c>
    </row>
    <row r="760" spans="1:8" x14ac:dyDescent="0.35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780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781</v>
      </c>
      <c r="B762" t="s">
        <v>63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782</v>
      </c>
      <c r="B763" t="s">
        <v>63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783</v>
      </c>
      <c r="B764" t="s">
        <v>19</v>
      </c>
      <c r="C764">
        <v>2</v>
      </c>
      <c r="D764">
        <v>5</v>
      </c>
      <c r="E764">
        <v>10</v>
      </c>
      <c r="G764" t="s">
        <v>11</v>
      </c>
      <c r="H764" s="1">
        <v>44994</v>
      </c>
    </row>
    <row r="765" spans="1:8" x14ac:dyDescent="0.35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H765" s="1">
        <v>45152</v>
      </c>
    </row>
    <row r="766" spans="1:8" x14ac:dyDescent="0.35">
      <c r="A766" t="s">
        <v>785</v>
      </c>
      <c r="B766" t="s">
        <v>63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786</v>
      </c>
      <c r="B767" t="s">
        <v>19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788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789</v>
      </c>
      <c r="B770" t="s">
        <v>19</v>
      </c>
      <c r="C770">
        <v>2</v>
      </c>
      <c r="D770">
        <v>5</v>
      </c>
      <c r="E770">
        <v>10</v>
      </c>
      <c r="H770" s="1">
        <v>44927</v>
      </c>
    </row>
    <row r="771" spans="1:8" x14ac:dyDescent="0.35">
      <c r="A771" t="s">
        <v>790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</row>
    <row r="772" spans="1:8" x14ac:dyDescent="0.35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792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</row>
    <row r="775" spans="1:8" x14ac:dyDescent="0.35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H776" s="1">
        <v>45207</v>
      </c>
    </row>
    <row r="777" spans="1:8" x14ac:dyDescent="0.35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</row>
    <row r="779" spans="1:8" x14ac:dyDescent="0.35">
      <c r="A779" t="s">
        <v>798</v>
      </c>
      <c r="B779" t="s">
        <v>19</v>
      </c>
      <c r="C779">
        <v>5</v>
      </c>
      <c r="D779">
        <v>5</v>
      </c>
      <c r="E779">
        <v>25</v>
      </c>
      <c r="F779" t="s">
        <v>21</v>
      </c>
      <c r="H779" s="1">
        <v>45048</v>
      </c>
    </row>
    <row r="780" spans="1:8" x14ac:dyDescent="0.35">
      <c r="A780" t="s">
        <v>799</v>
      </c>
      <c r="B780" t="s">
        <v>23</v>
      </c>
      <c r="C780">
        <v>4</v>
      </c>
      <c r="D780">
        <v>4</v>
      </c>
      <c r="E780">
        <v>16</v>
      </c>
      <c r="H780" s="1">
        <v>45131</v>
      </c>
    </row>
    <row r="781" spans="1:8" x14ac:dyDescent="0.35">
      <c r="A781" t="s">
        <v>800</v>
      </c>
      <c r="B781" t="s">
        <v>37</v>
      </c>
      <c r="C781">
        <v>4</v>
      </c>
      <c r="D781">
        <v>3</v>
      </c>
      <c r="E781">
        <v>12</v>
      </c>
      <c r="F781" t="s">
        <v>14</v>
      </c>
      <c r="H781" s="1">
        <v>45064</v>
      </c>
    </row>
    <row r="782" spans="1:8" x14ac:dyDescent="0.35">
      <c r="A782" t="s">
        <v>801</v>
      </c>
      <c r="B782" t="s">
        <v>17</v>
      </c>
      <c r="C782">
        <v>2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</row>
    <row r="784" spans="1:8" x14ac:dyDescent="0.35">
      <c r="A784" t="s">
        <v>803</v>
      </c>
      <c r="B784" t="s">
        <v>23</v>
      </c>
      <c r="C784">
        <v>5</v>
      </c>
      <c r="D784">
        <v>4</v>
      </c>
      <c r="E784">
        <v>20</v>
      </c>
      <c r="H784" s="1">
        <v>45215</v>
      </c>
    </row>
    <row r="785" spans="1:8" x14ac:dyDescent="0.35">
      <c r="A785" t="s">
        <v>804</v>
      </c>
      <c r="B785" t="s">
        <v>37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805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807</v>
      </c>
      <c r="B788" t="s">
        <v>23</v>
      </c>
      <c r="C788">
        <v>1</v>
      </c>
      <c r="D788">
        <v>4</v>
      </c>
      <c r="E788">
        <v>4</v>
      </c>
      <c r="F788" t="s">
        <v>10</v>
      </c>
      <c r="H788" s="1">
        <v>45255</v>
      </c>
    </row>
    <row r="789" spans="1:8" x14ac:dyDescent="0.35">
      <c r="A789" t="s">
        <v>808</v>
      </c>
      <c r="B789" t="s">
        <v>63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809</v>
      </c>
      <c r="B790" t="s">
        <v>37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812</v>
      </c>
      <c r="B793" t="s">
        <v>17</v>
      </c>
      <c r="C793">
        <v>4</v>
      </c>
      <c r="D793">
        <v>1</v>
      </c>
      <c r="E793">
        <v>4</v>
      </c>
      <c r="G793" t="s">
        <v>15</v>
      </c>
      <c r="H793" s="1">
        <v>44995</v>
      </c>
    </row>
    <row r="794" spans="1:8" x14ac:dyDescent="0.35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</row>
    <row r="795" spans="1:8" x14ac:dyDescent="0.35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</row>
    <row r="796" spans="1:8" x14ac:dyDescent="0.35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816</v>
      </c>
      <c r="B797" t="s">
        <v>26</v>
      </c>
      <c r="C797">
        <v>1</v>
      </c>
      <c r="D797">
        <v>4</v>
      </c>
      <c r="E797">
        <v>4</v>
      </c>
      <c r="F797" t="s">
        <v>21</v>
      </c>
      <c r="G797" t="s">
        <v>15</v>
      </c>
      <c r="H797" s="1">
        <v>45221</v>
      </c>
    </row>
    <row r="798" spans="1:8" x14ac:dyDescent="0.35">
      <c r="A798" t="s">
        <v>817</v>
      </c>
      <c r="C798">
        <v>3</v>
      </c>
      <c r="D798">
        <v>2</v>
      </c>
      <c r="E798">
        <v>6</v>
      </c>
      <c r="F798" t="s">
        <v>10</v>
      </c>
      <c r="H798" s="1">
        <v>45289</v>
      </c>
    </row>
    <row r="799" spans="1:8" x14ac:dyDescent="0.35">
      <c r="A799" t="s">
        <v>818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819</v>
      </c>
      <c r="B800" t="s">
        <v>26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820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</row>
    <row r="802" spans="1:8" x14ac:dyDescent="0.35">
      <c r="A802" t="s">
        <v>821</v>
      </c>
      <c r="B802" t="s">
        <v>37</v>
      </c>
      <c r="C802">
        <v>3</v>
      </c>
      <c r="D802">
        <v>3</v>
      </c>
      <c r="E802">
        <v>9</v>
      </c>
      <c r="H802" s="1">
        <v>45005</v>
      </c>
    </row>
    <row r="803" spans="1:8" x14ac:dyDescent="0.35">
      <c r="A803" t="s">
        <v>822</v>
      </c>
      <c r="B803" t="s">
        <v>37</v>
      </c>
      <c r="C803">
        <v>1</v>
      </c>
      <c r="D803">
        <v>3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823</v>
      </c>
      <c r="B804" t="s">
        <v>9</v>
      </c>
      <c r="C804">
        <v>1</v>
      </c>
      <c r="D804">
        <v>2</v>
      </c>
      <c r="E804">
        <v>2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826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</row>
    <row r="808" spans="1:8" x14ac:dyDescent="0.35">
      <c r="A808" t="s">
        <v>827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</row>
    <row r="809" spans="1:8" x14ac:dyDescent="0.35">
      <c r="A809" t="s">
        <v>828</v>
      </c>
      <c r="B809" t="s">
        <v>17</v>
      </c>
      <c r="C809">
        <v>3</v>
      </c>
      <c r="D809">
        <v>1</v>
      </c>
      <c r="E809">
        <v>3</v>
      </c>
      <c r="F809" t="s">
        <v>21</v>
      </c>
      <c r="G809" t="s">
        <v>11</v>
      </c>
      <c r="H809" s="1">
        <v>45224</v>
      </c>
    </row>
    <row r="810" spans="1:8" x14ac:dyDescent="0.35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831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H813" s="1">
        <v>45053</v>
      </c>
    </row>
    <row r="814" spans="1:8" x14ac:dyDescent="0.35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834</v>
      </c>
      <c r="B815" t="s">
        <v>9</v>
      </c>
      <c r="C815">
        <v>3</v>
      </c>
      <c r="D815">
        <v>2</v>
      </c>
      <c r="E815">
        <v>6</v>
      </c>
      <c r="G815" t="s">
        <v>11</v>
      </c>
      <c r="H815" s="1">
        <v>45161</v>
      </c>
    </row>
    <row r="816" spans="1:8" x14ac:dyDescent="0.35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836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838</v>
      </c>
      <c r="B819" t="s">
        <v>63</v>
      </c>
      <c r="C819">
        <v>3</v>
      </c>
      <c r="D819">
        <v>1.5</v>
      </c>
      <c r="E819">
        <v>4.5</v>
      </c>
      <c r="H819" s="1">
        <v>44988</v>
      </c>
    </row>
    <row r="820" spans="1:8" x14ac:dyDescent="0.35">
      <c r="A820" t="s">
        <v>839</v>
      </c>
      <c r="C820">
        <v>1</v>
      </c>
      <c r="D820">
        <v>4</v>
      </c>
      <c r="E820">
        <v>4</v>
      </c>
      <c r="F820" t="s">
        <v>21</v>
      </c>
      <c r="H820" s="1">
        <v>45130</v>
      </c>
    </row>
    <row r="821" spans="1:8" x14ac:dyDescent="0.35">
      <c r="A821" t="s">
        <v>840</v>
      </c>
      <c r="B821" t="s">
        <v>17</v>
      </c>
      <c r="C821">
        <v>1</v>
      </c>
      <c r="D821">
        <v>1</v>
      </c>
      <c r="E821">
        <v>1</v>
      </c>
      <c r="G821" t="s">
        <v>15</v>
      </c>
      <c r="H821" s="1">
        <v>45048</v>
      </c>
    </row>
    <row r="822" spans="1:8" x14ac:dyDescent="0.35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842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</row>
    <row r="825" spans="1:8" x14ac:dyDescent="0.35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845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846</v>
      </c>
      <c r="B827" t="s">
        <v>19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848</v>
      </c>
      <c r="B829" t="s">
        <v>26</v>
      </c>
      <c r="C829">
        <v>2</v>
      </c>
      <c r="D829">
        <v>4</v>
      </c>
      <c r="E829">
        <v>8</v>
      </c>
      <c r="G829" t="s">
        <v>11</v>
      </c>
      <c r="H829" s="1">
        <v>44950</v>
      </c>
    </row>
    <row r="830" spans="1:8" x14ac:dyDescent="0.35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850</v>
      </c>
      <c r="B831" t="s">
        <v>17</v>
      </c>
      <c r="C831">
        <v>2</v>
      </c>
      <c r="D831">
        <v>1</v>
      </c>
      <c r="E831">
        <v>2</v>
      </c>
      <c r="F831" t="s">
        <v>21</v>
      </c>
      <c r="G831" t="s">
        <v>11</v>
      </c>
      <c r="H831" s="1">
        <v>45051</v>
      </c>
    </row>
    <row r="832" spans="1:8" x14ac:dyDescent="0.35">
      <c r="A832" t="s">
        <v>851</v>
      </c>
      <c r="B832" t="s">
        <v>26</v>
      </c>
      <c r="C832">
        <v>2</v>
      </c>
      <c r="D832">
        <v>4</v>
      </c>
      <c r="E832">
        <v>8</v>
      </c>
      <c r="H832" s="1">
        <v>45243</v>
      </c>
    </row>
    <row r="833" spans="1:8" x14ac:dyDescent="0.35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853</v>
      </c>
      <c r="B834" t="s">
        <v>13</v>
      </c>
      <c r="C834">
        <v>4</v>
      </c>
      <c r="D834">
        <v>3</v>
      </c>
      <c r="E834">
        <v>12</v>
      </c>
      <c r="F834" t="s">
        <v>14</v>
      </c>
      <c r="G834" t="s">
        <v>11</v>
      </c>
    </row>
    <row r="835" spans="1:8" x14ac:dyDescent="0.35">
      <c r="A835" t="s">
        <v>854</v>
      </c>
      <c r="B835" t="s">
        <v>63</v>
      </c>
      <c r="C835">
        <v>2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855</v>
      </c>
      <c r="B836" t="s">
        <v>37</v>
      </c>
      <c r="C836">
        <v>4</v>
      </c>
      <c r="D836">
        <v>3</v>
      </c>
      <c r="E836">
        <v>12</v>
      </c>
      <c r="F836" t="s">
        <v>21</v>
      </c>
      <c r="G836" t="s">
        <v>11</v>
      </c>
      <c r="H836" s="1">
        <v>44981</v>
      </c>
    </row>
    <row r="837" spans="1:8" x14ac:dyDescent="0.35">
      <c r="A837" t="s">
        <v>856</v>
      </c>
      <c r="B837" t="s">
        <v>26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857</v>
      </c>
      <c r="B838" t="s">
        <v>13</v>
      </c>
      <c r="C838">
        <v>4</v>
      </c>
      <c r="D838">
        <v>3</v>
      </c>
      <c r="E838">
        <v>12</v>
      </c>
      <c r="G838" t="s">
        <v>11</v>
      </c>
      <c r="H838" s="1">
        <v>45089</v>
      </c>
    </row>
    <row r="839" spans="1:8" x14ac:dyDescent="0.35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H840" s="1">
        <v>45222</v>
      </c>
    </row>
    <row r="841" spans="1:8" x14ac:dyDescent="0.35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861</v>
      </c>
      <c r="B842" t="s">
        <v>13</v>
      </c>
      <c r="C842">
        <v>3</v>
      </c>
      <c r="D842">
        <v>3</v>
      </c>
      <c r="E842">
        <v>9</v>
      </c>
      <c r="G842" t="s">
        <v>15</v>
      </c>
      <c r="H842" s="1">
        <v>44927</v>
      </c>
    </row>
    <row r="843" spans="1:8" x14ac:dyDescent="0.35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</row>
    <row r="844" spans="1:8" x14ac:dyDescent="0.35">
      <c r="A844" t="s">
        <v>863</v>
      </c>
      <c r="B844" t="s">
        <v>23</v>
      </c>
      <c r="C844">
        <v>3</v>
      </c>
      <c r="D844">
        <v>4</v>
      </c>
      <c r="E844">
        <v>12</v>
      </c>
      <c r="G844" t="s">
        <v>11</v>
      </c>
      <c r="H844" s="1">
        <v>45031</v>
      </c>
    </row>
    <row r="845" spans="1:8" x14ac:dyDescent="0.35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865</v>
      </c>
      <c r="B846" t="s">
        <v>19</v>
      </c>
      <c r="C846">
        <v>1</v>
      </c>
      <c r="D846">
        <v>5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867</v>
      </c>
      <c r="B848" t="s">
        <v>19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</row>
    <row r="850" spans="1:8" x14ac:dyDescent="0.35">
      <c r="A850" t="s">
        <v>869</v>
      </c>
      <c r="B850" t="s">
        <v>19</v>
      </c>
      <c r="C850">
        <v>4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</row>
    <row r="851" spans="1:8" x14ac:dyDescent="0.35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H852" s="1">
        <v>45216</v>
      </c>
    </row>
    <row r="853" spans="1:8" x14ac:dyDescent="0.35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873</v>
      </c>
      <c r="B854" t="s">
        <v>19</v>
      </c>
      <c r="C854">
        <v>2</v>
      </c>
      <c r="D854">
        <v>5</v>
      </c>
      <c r="E854">
        <v>10</v>
      </c>
      <c r="H854" s="1">
        <v>45192</v>
      </c>
    </row>
    <row r="855" spans="1:8" x14ac:dyDescent="0.35">
      <c r="A855" t="s">
        <v>874</v>
      </c>
      <c r="B855" t="s">
        <v>19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H856" s="1">
        <v>45056</v>
      </c>
    </row>
    <row r="857" spans="1:8" x14ac:dyDescent="0.35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H858" s="1">
        <v>45167</v>
      </c>
    </row>
    <row r="859" spans="1:8" x14ac:dyDescent="0.35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</row>
    <row r="861" spans="1:8" x14ac:dyDescent="0.35">
      <c r="A861" t="s">
        <v>880</v>
      </c>
      <c r="B861" t="s">
        <v>37</v>
      </c>
      <c r="C861">
        <v>5</v>
      </c>
      <c r="D861">
        <v>3</v>
      </c>
      <c r="E861">
        <v>15</v>
      </c>
      <c r="H861" s="1">
        <v>45094</v>
      </c>
    </row>
    <row r="862" spans="1:8" x14ac:dyDescent="0.35">
      <c r="A862" t="s">
        <v>881</v>
      </c>
      <c r="B862" t="s">
        <v>23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884</v>
      </c>
      <c r="C865">
        <v>2</v>
      </c>
      <c r="D865">
        <v>2</v>
      </c>
      <c r="E865">
        <v>4</v>
      </c>
      <c r="H865" s="1">
        <v>45075</v>
      </c>
    </row>
    <row r="866" spans="1:8" x14ac:dyDescent="0.35">
      <c r="A866" t="s">
        <v>885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887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890</v>
      </c>
      <c r="B871" t="s">
        <v>37</v>
      </c>
      <c r="C871">
        <v>3</v>
      </c>
      <c r="D871">
        <v>3</v>
      </c>
      <c r="E871">
        <v>9</v>
      </c>
      <c r="F871" t="s">
        <v>10</v>
      </c>
      <c r="H871" s="1">
        <v>45119</v>
      </c>
    </row>
    <row r="872" spans="1:8" x14ac:dyDescent="0.35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</row>
    <row r="873" spans="1:8" x14ac:dyDescent="0.35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H873" s="1">
        <v>45145</v>
      </c>
    </row>
    <row r="874" spans="1:8" x14ac:dyDescent="0.35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H874" s="1">
        <v>45202</v>
      </c>
    </row>
    <row r="875" spans="1:8" x14ac:dyDescent="0.35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895</v>
      </c>
      <c r="B876" t="s">
        <v>19</v>
      </c>
      <c r="C876">
        <v>5</v>
      </c>
      <c r="D876">
        <v>5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896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898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H880" s="1">
        <v>44972</v>
      </c>
    </row>
    <row r="881" spans="1:8" x14ac:dyDescent="0.35">
      <c r="A881" t="s">
        <v>900</v>
      </c>
      <c r="B881" t="s">
        <v>23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902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903</v>
      </c>
      <c r="B884" t="s">
        <v>37</v>
      </c>
      <c r="C884">
        <v>5</v>
      </c>
      <c r="D884">
        <v>3</v>
      </c>
      <c r="E884">
        <v>15</v>
      </c>
      <c r="H884" s="1">
        <v>45004</v>
      </c>
    </row>
    <row r="885" spans="1:8" x14ac:dyDescent="0.35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H885" s="1">
        <v>45027</v>
      </c>
    </row>
    <row r="886" spans="1:8" x14ac:dyDescent="0.35">
      <c r="A886" t="s">
        <v>905</v>
      </c>
      <c r="B886" t="s">
        <v>19</v>
      </c>
      <c r="C886">
        <v>3</v>
      </c>
      <c r="D886">
        <v>5</v>
      </c>
      <c r="E886">
        <v>15</v>
      </c>
      <c r="F886" t="s">
        <v>21</v>
      </c>
    </row>
    <row r="887" spans="1:8" x14ac:dyDescent="0.35">
      <c r="A887" t="s">
        <v>906</v>
      </c>
      <c r="B887" t="s">
        <v>19</v>
      </c>
      <c r="C887">
        <v>5</v>
      </c>
      <c r="D887">
        <v>5</v>
      </c>
      <c r="E887">
        <v>25</v>
      </c>
    </row>
    <row r="888" spans="1:8" x14ac:dyDescent="0.35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908</v>
      </c>
      <c r="B889" t="s">
        <v>23</v>
      </c>
      <c r="C889">
        <v>3</v>
      </c>
      <c r="D889">
        <v>4</v>
      </c>
      <c r="E889">
        <v>12</v>
      </c>
      <c r="F889" t="s">
        <v>14</v>
      </c>
      <c r="H889" s="1">
        <v>45284</v>
      </c>
    </row>
    <row r="890" spans="1:8" x14ac:dyDescent="0.35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</row>
    <row r="891" spans="1:8" x14ac:dyDescent="0.35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H893" s="1">
        <v>45174</v>
      </c>
    </row>
    <row r="894" spans="1:8" x14ac:dyDescent="0.35">
      <c r="A894" t="s">
        <v>913</v>
      </c>
      <c r="B894" t="s">
        <v>63</v>
      </c>
      <c r="C894">
        <v>5</v>
      </c>
      <c r="D894">
        <v>1.5</v>
      </c>
      <c r="E894">
        <v>7.5</v>
      </c>
    </row>
    <row r="895" spans="1:8" x14ac:dyDescent="0.35">
      <c r="A895" t="s">
        <v>914</v>
      </c>
      <c r="B895" t="s">
        <v>63</v>
      </c>
      <c r="C895">
        <v>5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</row>
    <row r="896" spans="1:8" x14ac:dyDescent="0.35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916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917</v>
      </c>
      <c r="B898" t="s">
        <v>37</v>
      </c>
      <c r="C898">
        <v>4</v>
      </c>
      <c r="D898">
        <v>3</v>
      </c>
      <c r="E898">
        <v>12</v>
      </c>
      <c r="H898" s="1">
        <v>45195</v>
      </c>
    </row>
    <row r="899" spans="1:8" x14ac:dyDescent="0.35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</row>
    <row r="900" spans="1:8" x14ac:dyDescent="0.35">
      <c r="A900" t="s">
        <v>919</v>
      </c>
      <c r="B900" t="s">
        <v>37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920</v>
      </c>
      <c r="B901" t="s">
        <v>37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921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922</v>
      </c>
      <c r="C903">
        <v>3</v>
      </c>
      <c r="D903">
        <v>4</v>
      </c>
      <c r="E903">
        <v>12</v>
      </c>
      <c r="F903" t="s">
        <v>21</v>
      </c>
      <c r="H903" s="1">
        <v>45228</v>
      </c>
    </row>
    <row r="904" spans="1:8" x14ac:dyDescent="0.35">
      <c r="A904" t="s">
        <v>923</v>
      </c>
      <c r="B904" t="s">
        <v>9</v>
      </c>
      <c r="C904">
        <v>5</v>
      </c>
      <c r="D904">
        <v>2</v>
      </c>
      <c r="E904">
        <v>10</v>
      </c>
      <c r="H904" s="1">
        <v>45276</v>
      </c>
    </row>
    <row r="905" spans="1:8" x14ac:dyDescent="0.35">
      <c r="A905" t="s">
        <v>924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925</v>
      </c>
      <c r="B906" t="s">
        <v>19</v>
      </c>
      <c r="C906">
        <v>3</v>
      </c>
      <c r="D906">
        <v>5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926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</row>
    <row r="909" spans="1:8" x14ac:dyDescent="0.35">
      <c r="A909" t="s">
        <v>928</v>
      </c>
      <c r="B909" t="s">
        <v>23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929</v>
      </c>
      <c r="B910" t="s">
        <v>23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930</v>
      </c>
      <c r="B911" t="s">
        <v>19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932</v>
      </c>
      <c r="B913" t="s">
        <v>23</v>
      </c>
      <c r="C913">
        <v>5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933</v>
      </c>
      <c r="B914" t="s">
        <v>26</v>
      </c>
      <c r="C914">
        <v>5</v>
      </c>
      <c r="D914">
        <v>4</v>
      </c>
      <c r="E914">
        <v>20</v>
      </c>
      <c r="G914" t="s">
        <v>11</v>
      </c>
      <c r="H914" s="1">
        <v>44931</v>
      </c>
    </row>
    <row r="915" spans="1:8" x14ac:dyDescent="0.35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H917" s="1">
        <v>44973</v>
      </c>
    </row>
    <row r="918" spans="1:8" x14ac:dyDescent="0.35">
      <c r="A918" t="s">
        <v>937</v>
      </c>
      <c r="B918" t="s">
        <v>26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</row>
    <row r="920" spans="1:8" x14ac:dyDescent="0.35">
      <c r="A920" t="s">
        <v>939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940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</row>
    <row r="922" spans="1:8" x14ac:dyDescent="0.35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</row>
    <row r="923" spans="1:8" x14ac:dyDescent="0.35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H924" s="1">
        <v>44988</v>
      </c>
    </row>
    <row r="925" spans="1:8" x14ac:dyDescent="0.35">
      <c r="A925" t="s">
        <v>944</v>
      </c>
      <c r="B925" t="s">
        <v>17</v>
      </c>
      <c r="C925">
        <v>2</v>
      </c>
      <c r="D925">
        <v>1</v>
      </c>
      <c r="E925">
        <v>2</v>
      </c>
      <c r="F925" t="s">
        <v>21</v>
      </c>
      <c r="G925" t="s">
        <v>11</v>
      </c>
      <c r="H925" s="1">
        <v>45223</v>
      </c>
    </row>
    <row r="926" spans="1:8" x14ac:dyDescent="0.35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H927" s="1">
        <v>45149</v>
      </c>
    </row>
    <row r="928" spans="1:8" x14ac:dyDescent="0.35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H929" s="1">
        <v>45106</v>
      </c>
    </row>
    <row r="930" spans="1:8" x14ac:dyDescent="0.35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H930" s="1">
        <v>45063</v>
      </c>
    </row>
    <row r="931" spans="1:8" x14ac:dyDescent="0.35">
      <c r="A931" t="s">
        <v>950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</row>
    <row r="932" spans="1:8" x14ac:dyDescent="0.35">
      <c r="A932" t="s">
        <v>951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954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</row>
    <row r="937" spans="1:8" x14ac:dyDescent="0.35">
      <c r="A937" t="s">
        <v>956</v>
      </c>
      <c r="B937" t="s">
        <v>23</v>
      </c>
      <c r="C937">
        <v>4</v>
      </c>
      <c r="D937">
        <v>4</v>
      </c>
      <c r="E937">
        <v>16</v>
      </c>
      <c r="H937" s="1">
        <v>45252</v>
      </c>
    </row>
    <row r="938" spans="1:8" x14ac:dyDescent="0.35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H938" s="1">
        <v>45050</v>
      </c>
    </row>
    <row r="939" spans="1:8" x14ac:dyDescent="0.35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959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963</v>
      </c>
      <c r="B944" t="s">
        <v>26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964</v>
      </c>
      <c r="B945" t="s">
        <v>26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965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</row>
    <row r="948" spans="1:8" x14ac:dyDescent="0.35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</row>
    <row r="949" spans="1:8" x14ac:dyDescent="0.35">
      <c r="A949" t="s">
        <v>968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</row>
    <row r="951" spans="1:8" x14ac:dyDescent="0.35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H951" s="1">
        <v>44981</v>
      </c>
    </row>
    <row r="952" spans="1:8" x14ac:dyDescent="0.35">
      <c r="A952" t="s">
        <v>971</v>
      </c>
      <c r="B952" t="s">
        <v>23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</row>
    <row r="955" spans="1:8" x14ac:dyDescent="0.35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975</v>
      </c>
      <c r="B956" t="s">
        <v>37</v>
      </c>
      <c r="C956">
        <v>5</v>
      </c>
      <c r="D956">
        <v>3</v>
      </c>
      <c r="E956">
        <v>15</v>
      </c>
      <c r="F956" t="s">
        <v>21</v>
      </c>
      <c r="G956" t="s">
        <v>15</v>
      </c>
      <c r="H956" s="1">
        <v>45236</v>
      </c>
    </row>
    <row r="957" spans="1:8" x14ac:dyDescent="0.35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H958" s="1">
        <v>44930</v>
      </c>
    </row>
    <row r="959" spans="1:8" x14ac:dyDescent="0.35">
      <c r="A959" t="s">
        <v>978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979</v>
      </c>
      <c r="B960" t="s">
        <v>23</v>
      </c>
      <c r="C960">
        <v>1</v>
      </c>
      <c r="D960">
        <v>4</v>
      </c>
      <c r="E960">
        <v>4</v>
      </c>
      <c r="F960" t="s">
        <v>21</v>
      </c>
      <c r="G960" t="s">
        <v>15</v>
      </c>
      <c r="H960" s="1">
        <v>45248</v>
      </c>
    </row>
    <row r="961" spans="1:8" x14ac:dyDescent="0.35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981</v>
      </c>
      <c r="B962" t="s">
        <v>37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</row>
    <row r="964" spans="1:8" x14ac:dyDescent="0.35">
      <c r="A964" t="s">
        <v>983</v>
      </c>
      <c r="B964" t="s">
        <v>23</v>
      </c>
      <c r="C964">
        <v>1</v>
      </c>
      <c r="D964">
        <v>4</v>
      </c>
      <c r="E964">
        <v>4</v>
      </c>
      <c r="F964" t="s">
        <v>14</v>
      </c>
      <c r="H964" s="1">
        <v>44964</v>
      </c>
    </row>
    <row r="965" spans="1:8" x14ac:dyDescent="0.35">
      <c r="A965" t="s">
        <v>984</v>
      </c>
      <c r="B965" t="s">
        <v>37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986</v>
      </c>
      <c r="B967" t="s">
        <v>19</v>
      </c>
      <c r="C967">
        <v>1</v>
      </c>
      <c r="D967">
        <v>5</v>
      </c>
      <c r="E967">
        <v>5</v>
      </c>
      <c r="G967" t="s">
        <v>15</v>
      </c>
      <c r="H967" s="1">
        <v>45200</v>
      </c>
    </row>
    <row r="968" spans="1:8" x14ac:dyDescent="0.35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</row>
    <row r="969" spans="1:8" x14ac:dyDescent="0.35">
      <c r="A969" t="s">
        <v>988</v>
      </c>
      <c r="C969">
        <v>1</v>
      </c>
      <c r="D969">
        <v>1</v>
      </c>
      <c r="E969">
        <v>1</v>
      </c>
      <c r="H969" s="1">
        <v>45191</v>
      </c>
    </row>
    <row r="970" spans="1:8" x14ac:dyDescent="0.35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990</v>
      </c>
      <c r="B971" t="s">
        <v>37</v>
      </c>
      <c r="C971">
        <v>4</v>
      </c>
      <c r="D971">
        <v>3</v>
      </c>
      <c r="E971">
        <v>12</v>
      </c>
      <c r="G971" t="s">
        <v>15</v>
      </c>
      <c r="H971" s="1">
        <v>45010</v>
      </c>
    </row>
    <row r="972" spans="1:8" x14ac:dyDescent="0.35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992</v>
      </c>
      <c r="B973" t="s">
        <v>63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993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994</v>
      </c>
      <c r="B975" t="s">
        <v>9</v>
      </c>
      <c r="C975">
        <v>2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995</v>
      </c>
      <c r="B976" t="s">
        <v>23</v>
      </c>
      <c r="C976">
        <v>1</v>
      </c>
      <c r="D976">
        <v>4</v>
      </c>
      <c r="E976">
        <v>4</v>
      </c>
      <c r="F976" t="s">
        <v>10</v>
      </c>
      <c r="G976" t="s">
        <v>15</v>
      </c>
    </row>
    <row r="977" spans="1:8" x14ac:dyDescent="0.35">
      <c r="A977" t="s">
        <v>996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</row>
    <row r="978" spans="1:8" x14ac:dyDescent="0.35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</row>
    <row r="979" spans="1:8" x14ac:dyDescent="0.35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999</v>
      </c>
      <c r="B980" t="s">
        <v>17</v>
      </c>
      <c r="C980">
        <v>1</v>
      </c>
      <c r="D980">
        <v>1</v>
      </c>
      <c r="E980">
        <v>1</v>
      </c>
      <c r="F980" t="s">
        <v>21</v>
      </c>
      <c r="H980" s="1">
        <v>45030</v>
      </c>
    </row>
    <row r="981" spans="1:8" x14ac:dyDescent="0.35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</row>
    <row r="982" spans="1:8" x14ac:dyDescent="0.35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</row>
    <row r="983" spans="1:8" x14ac:dyDescent="0.35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1003</v>
      </c>
      <c r="B984" t="s">
        <v>63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1004</v>
      </c>
      <c r="B985" t="s">
        <v>13</v>
      </c>
      <c r="C985">
        <v>1</v>
      </c>
      <c r="D985">
        <v>3</v>
      </c>
      <c r="E985">
        <v>3</v>
      </c>
      <c r="G985" t="s">
        <v>15</v>
      </c>
      <c r="H985" s="1">
        <v>45050</v>
      </c>
    </row>
    <row r="986" spans="1:8" x14ac:dyDescent="0.35">
      <c r="A986" t="s">
        <v>1005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1006</v>
      </c>
      <c r="B987" t="s">
        <v>37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1008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</row>
    <row r="990" spans="1:8" x14ac:dyDescent="0.35">
      <c r="A990" t="s">
        <v>1009</v>
      </c>
      <c r="B990" t="s">
        <v>26</v>
      </c>
      <c r="C990">
        <v>3</v>
      </c>
      <c r="D990">
        <v>4</v>
      </c>
      <c r="E990">
        <v>12</v>
      </c>
    </row>
    <row r="991" spans="1:8" x14ac:dyDescent="0.35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1011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1012</v>
      </c>
      <c r="C993">
        <v>3</v>
      </c>
      <c r="D993">
        <v>5</v>
      </c>
      <c r="E993">
        <v>15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H998" s="1">
        <v>45079</v>
      </c>
    </row>
    <row r="999" spans="1:8" x14ac:dyDescent="0.35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1019</v>
      </c>
      <c r="B1000" t="s">
        <v>13</v>
      </c>
      <c r="C1000">
        <v>1</v>
      </c>
      <c r="D1000">
        <v>3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1020</v>
      </c>
      <c r="B1001" t="s">
        <v>9</v>
      </c>
      <c r="C1001">
        <v>1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</row>
    <row r="1003" spans="1:8" x14ac:dyDescent="0.35">
      <c r="A1003" t="s">
        <v>1022</v>
      </c>
      <c r="B1003" t="s">
        <v>63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1025</v>
      </c>
      <c r="B1006" t="s">
        <v>9</v>
      </c>
      <c r="C1006">
        <v>1</v>
      </c>
      <c r="D1006">
        <v>2</v>
      </c>
      <c r="E1006">
        <v>2</v>
      </c>
      <c r="H1006" s="1">
        <v>45171</v>
      </c>
    </row>
    <row r="1007" spans="1:8" x14ac:dyDescent="0.35">
      <c r="A1007" t="s">
        <v>1026</v>
      </c>
      <c r="B1007" t="s">
        <v>23</v>
      </c>
      <c r="C1007">
        <v>1</v>
      </c>
      <c r="D1007">
        <v>4</v>
      </c>
      <c r="E1007">
        <v>4</v>
      </c>
      <c r="G1007" t="s">
        <v>15</v>
      </c>
      <c r="H1007" s="1">
        <v>45087</v>
      </c>
    </row>
    <row r="1008" spans="1:8" x14ac:dyDescent="0.35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1029</v>
      </c>
      <c r="B1010" t="s">
        <v>63</v>
      </c>
      <c r="C1010">
        <v>2</v>
      </c>
      <c r="D1010">
        <v>1.5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1033</v>
      </c>
      <c r="B1014" t="s">
        <v>19</v>
      </c>
      <c r="C1014">
        <v>1</v>
      </c>
      <c r="D1014">
        <v>5</v>
      </c>
      <c r="E1014">
        <v>5</v>
      </c>
      <c r="F1014" t="s">
        <v>21</v>
      </c>
      <c r="H1014" s="1">
        <v>45018</v>
      </c>
    </row>
    <row r="1015" spans="1:8" x14ac:dyDescent="0.35">
      <c r="A1015" t="s">
        <v>1034</v>
      </c>
      <c r="B1015" t="s">
        <v>26</v>
      </c>
      <c r="C1015">
        <v>2</v>
      </c>
      <c r="D1015">
        <v>4</v>
      </c>
      <c r="E1015">
        <v>8</v>
      </c>
      <c r="H1015" s="1">
        <v>45103</v>
      </c>
    </row>
    <row r="1016" spans="1:8" x14ac:dyDescent="0.35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</row>
    <row r="1017" spans="1:8" x14ac:dyDescent="0.35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</row>
    <row r="1018" spans="1:8" x14ac:dyDescent="0.35">
      <c r="A1018" t="s">
        <v>1037</v>
      </c>
      <c r="B1018" t="s">
        <v>37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1038</v>
      </c>
      <c r="B1019" t="s">
        <v>37</v>
      </c>
      <c r="C1019">
        <v>2</v>
      </c>
      <c r="D1019">
        <v>3</v>
      </c>
      <c r="E1019">
        <v>6</v>
      </c>
      <c r="F1019" t="s">
        <v>21</v>
      </c>
      <c r="G1019" t="s">
        <v>11</v>
      </c>
      <c r="H1019" s="1">
        <v>45259</v>
      </c>
    </row>
    <row r="1020" spans="1:8" x14ac:dyDescent="0.35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1040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1041</v>
      </c>
      <c r="B1022" t="s">
        <v>23</v>
      </c>
      <c r="C1022">
        <v>3</v>
      </c>
      <c r="D1022">
        <v>4</v>
      </c>
      <c r="E1022">
        <v>12</v>
      </c>
      <c r="H1022" s="1">
        <v>45102</v>
      </c>
    </row>
    <row r="1023" spans="1:8" x14ac:dyDescent="0.35">
      <c r="A1023" t="s">
        <v>1042</v>
      </c>
      <c r="B1023" t="s">
        <v>9</v>
      </c>
      <c r="C1023">
        <v>1</v>
      </c>
      <c r="D1023">
        <v>2</v>
      </c>
      <c r="E1023">
        <v>2</v>
      </c>
      <c r="H1023" s="1">
        <v>45174</v>
      </c>
    </row>
    <row r="1024" spans="1:8" x14ac:dyDescent="0.35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H1025" s="1">
        <v>44942</v>
      </c>
    </row>
    <row r="1026" spans="1:8" x14ac:dyDescent="0.35">
      <c r="A1026" t="s">
        <v>1045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H1028" s="1">
        <v>45195</v>
      </c>
    </row>
    <row r="1029" spans="1:8" x14ac:dyDescent="0.35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1049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1052</v>
      </c>
      <c r="B1033" t="s">
        <v>63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</row>
    <row r="1036" spans="1:8" x14ac:dyDescent="0.35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H1036" s="1">
        <v>45180</v>
      </c>
    </row>
    <row r="1037" spans="1:8" x14ac:dyDescent="0.35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1057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H1039" s="1">
        <v>45272</v>
      </c>
    </row>
    <row r="1040" spans="1:8" x14ac:dyDescent="0.35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</row>
    <row r="1041" spans="1:8" x14ac:dyDescent="0.35">
      <c r="A1041" t="s">
        <v>1060</v>
      </c>
      <c r="B1041" t="s">
        <v>23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1064</v>
      </c>
      <c r="B1045" t="s">
        <v>13</v>
      </c>
      <c r="C1045">
        <v>5</v>
      </c>
      <c r="D1045">
        <v>3</v>
      </c>
      <c r="E1045">
        <v>15</v>
      </c>
      <c r="G1045" t="s">
        <v>15</v>
      </c>
      <c r="H1045" s="1">
        <v>45079</v>
      </c>
    </row>
    <row r="1046" spans="1:8" x14ac:dyDescent="0.35">
      <c r="A1046" t="s">
        <v>1065</v>
      </c>
      <c r="B1046" t="s">
        <v>19</v>
      </c>
      <c r="C1046">
        <v>4</v>
      </c>
      <c r="D1046">
        <v>5</v>
      </c>
      <c r="E1046">
        <v>20</v>
      </c>
      <c r="H1046" s="1">
        <v>44954</v>
      </c>
    </row>
    <row r="1047" spans="1:8" x14ac:dyDescent="0.35">
      <c r="A1047" t="s">
        <v>1066</v>
      </c>
      <c r="C1047">
        <v>5</v>
      </c>
      <c r="D1047">
        <v>4</v>
      </c>
      <c r="E1047">
        <v>20</v>
      </c>
      <c r="F1047" t="s">
        <v>10</v>
      </c>
      <c r="H1047" s="1">
        <v>44928</v>
      </c>
    </row>
    <row r="1048" spans="1:8" x14ac:dyDescent="0.35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</row>
    <row r="1050" spans="1:8" x14ac:dyDescent="0.35">
      <c r="A1050" t="s">
        <v>1069</v>
      </c>
      <c r="B1050" t="s">
        <v>19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1071</v>
      </c>
      <c r="B1052" t="s">
        <v>23</v>
      </c>
      <c r="C1052">
        <v>1</v>
      </c>
      <c r="D1052">
        <v>4</v>
      </c>
      <c r="E1052">
        <v>4</v>
      </c>
      <c r="F1052" t="s">
        <v>21</v>
      </c>
      <c r="H1052" s="1">
        <v>44990</v>
      </c>
    </row>
    <row r="1053" spans="1:8" x14ac:dyDescent="0.35">
      <c r="A1053" t="s">
        <v>1072</v>
      </c>
      <c r="B1053" t="s">
        <v>23</v>
      </c>
      <c r="C1053">
        <v>5</v>
      </c>
      <c r="D1053">
        <v>4</v>
      </c>
      <c r="E1053">
        <v>20</v>
      </c>
      <c r="F1053" t="s">
        <v>21</v>
      </c>
      <c r="G1053" t="s">
        <v>15</v>
      </c>
      <c r="H1053" s="1">
        <v>45262</v>
      </c>
    </row>
    <row r="1054" spans="1:8" x14ac:dyDescent="0.35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1074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1075</v>
      </c>
      <c r="B1056" t="s">
        <v>63</v>
      </c>
      <c r="C1056">
        <v>2</v>
      </c>
      <c r="D1056">
        <v>1.5</v>
      </c>
      <c r="E1056">
        <v>3</v>
      </c>
      <c r="G1056" t="s">
        <v>15</v>
      </c>
      <c r="H1056" s="1">
        <v>45223</v>
      </c>
    </row>
    <row r="1057" spans="1:8" x14ac:dyDescent="0.35">
      <c r="A1057" t="s">
        <v>1076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1077</v>
      </c>
      <c r="B1058" t="s">
        <v>26</v>
      </c>
      <c r="C1058">
        <v>2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</row>
    <row r="1059" spans="1:8" x14ac:dyDescent="0.35">
      <c r="A1059" t="s">
        <v>1078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1080</v>
      </c>
      <c r="B1061" t="s">
        <v>26</v>
      </c>
      <c r="C1061">
        <v>2</v>
      </c>
      <c r="D1061">
        <v>4</v>
      </c>
      <c r="E1061">
        <v>8</v>
      </c>
      <c r="G1061" t="s">
        <v>11</v>
      </c>
      <c r="H1061" s="1">
        <v>45081</v>
      </c>
    </row>
    <row r="1062" spans="1:8" x14ac:dyDescent="0.35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1082</v>
      </c>
      <c r="B1063" t="s">
        <v>37</v>
      </c>
      <c r="C1063">
        <v>2</v>
      </c>
      <c r="D1063">
        <v>3</v>
      </c>
      <c r="E1063">
        <v>6</v>
      </c>
      <c r="G1063" t="s">
        <v>11</v>
      </c>
      <c r="H1063" s="1">
        <v>45270</v>
      </c>
    </row>
    <row r="1064" spans="1:8" x14ac:dyDescent="0.35">
      <c r="A1064" t="s">
        <v>1083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</row>
    <row r="1065" spans="1:8" x14ac:dyDescent="0.35">
      <c r="A1065" t="s">
        <v>1084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</row>
    <row r="1066" spans="1:8" x14ac:dyDescent="0.35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1086</v>
      </c>
      <c r="B1067" t="s">
        <v>26</v>
      </c>
      <c r="C1067">
        <v>5</v>
      </c>
      <c r="D1067">
        <v>4</v>
      </c>
      <c r="E1067">
        <v>20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1087</v>
      </c>
      <c r="B1068" t="s">
        <v>63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1088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</row>
    <row r="1071" spans="1:8" x14ac:dyDescent="0.35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</row>
    <row r="1076" spans="1:8" x14ac:dyDescent="0.35">
      <c r="A1076" t="s">
        <v>1095</v>
      </c>
      <c r="C1076">
        <v>1</v>
      </c>
      <c r="D1076">
        <v>1.5</v>
      </c>
      <c r="E1076">
        <v>1.5</v>
      </c>
      <c r="F1076" t="s">
        <v>21</v>
      </c>
      <c r="H1076" s="1">
        <v>44965</v>
      </c>
    </row>
    <row r="1077" spans="1:8" x14ac:dyDescent="0.35">
      <c r="A1077" t="s">
        <v>1096</v>
      </c>
      <c r="B1077" t="s">
        <v>63</v>
      </c>
      <c r="C1077">
        <v>1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1098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1099</v>
      </c>
      <c r="B1080" t="s">
        <v>26</v>
      </c>
      <c r="C1080">
        <v>2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1100</v>
      </c>
      <c r="B1081" t="s">
        <v>23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H1082" s="1">
        <v>45166</v>
      </c>
    </row>
    <row r="1083" spans="1:8" x14ac:dyDescent="0.35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1104</v>
      </c>
      <c r="B1085" t="s">
        <v>63</v>
      </c>
      <c r="C1085">
        <v>5</v>
      </c>
      <c r="D1085">
        <v>1.5</v>
      </c>
      <c r="E1085">
        <v>7.5</v>
      </c>
      <c r="H1085" s="1">
        <v>45175</v>
      </c>
    </row>
    <row r="1086" spans="1:8" x14ac:dyDescent="0.35">
      <c r="A1086" t="s">
        <v>1105</v>
      </c>
      <c r="B1086" t="s">
        <v>17</v>
      </c>
      <c r="C1086">
        <v>5</v>
      </c>
      <c r="D1086">
        <v>1</v>
      </c>
      <c r="E1086">
        <v>5</v>
      </c>
      <c r="G1086" t="s">
        <v>15</v>
      </c>
      <c r="H1086" s="1">
        <v>45142</v>
      </c>
    </row>
    <row r="1087" spans="1:8" x14ac:dyDescent="0.35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1107</v>
      </c>
      <c r="B1088" t="s">
        <v>19</v>
      </c>
      <c r="C1088">
        <v>1</v>
      </c>
      <c r="D1088">
        <v>5</v>
      </c>
      <c r="E1088">
        <v>5</v>
      </c>
      <c r="H1088" s="1">
        <v>45219</v>
      </c>
    </row>
    <row r="1089" spans="1:8" x14ac:dyDescent="0.35">
      <c r="A1089" t="s">
        <v>1108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1110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1111</v>
      </c>
      <c r="B1092" t="s">
        <v>17</v>
      </c>
      <c r="C1092">
        <v>3</v>
      </c>
      <c r="D1092">
        <v>1</v>
      </c>
      <c r="E1092">
        <v>3</v>
      </c>
      <c r="H1092" s="1">
        <v>45266</v>
      </c>
    </row>
    <row r="1093" spans="1:8" x14ac:dyDescent="0.35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H1094" s="1">
        <v>45075</v>
      </c>
    </row>
    <row r="1095" spans="1:8" x14ac:dyDescent="0.35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</row>
    <row r="1097" spans="1:8" x14ac:dyDescent="0.35">
      <c r="A1097" t="s">
        <v>1116</v>
      </c>
      <c r="B1097" t="s">
        <v>23</v>
      </c>
      <c r="C1097">
        <v>3</v>
      </c>
      <c r="D1097">
        <v>4</v>
      </c>
      <c r="E1097">
        <v>12</v>
      </c>
      <c r="H1097" s="1">
        <v>45266</v>
      </c>
    </row>
    <row r="1098" spans="1:8" x14ac:dyDescent="0.35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</row>
    <row r="1099" spans="1:8" x14ac:dyDescent="0.35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1119</v>
      </c>
      <c r="B1100" t="s">
        <v>23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1120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H1102" s="1">
        <v>45223</v>
      </c>
    </row>
    <row r="1103" spans="1:8" x14ac:dyDescent="0.35">
      <c r="A1103" t="s">
        <v>1122</v>
      </c>
      <c r="B1103" t="s">
        <v>63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1123</v>
      </c>
      <c r="B1104" t="s">
        <v>37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</row>
    <row r="1106" spans="1:8" x14ac:dyDescent="0.35">
      <c r="A1106" t="s">
        <v>1125</v>
      </c>
      <c r="B1106" t="s">
        <v>63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H1108" s="1">
        <v>45254</v>
      </c>
    </row>
    <row r="1109" spans="1:8" x14ac:dyDescent="0.35">
      <c r="A1109" t="s">
        <v>1128</v>
      </c>
      <c r="B1109" t="s">
        <v>26</v>
      </c>
      <c r="C1109">
        <v>5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H1110" s="1">
        <v>45037</v>
      </c>
    </row>
    <row r="1111" spans="1:8" x14ac:dyDescent="0.35">
      <c r="A1111" t="s">
        <v>1130</v>
      </c>
      <c r="B1111" t="s">
        <v>63</v>
      </c>
      <c r="C1111">
        <v>3</v>
      </c>
      <c r="D1111">
        <v>1.5</v>
      </c>
      <c r="E1111">
        <v>4.5</v>
      </c>
      <c r="G1111" t="s">
        <v>11</v>
      </c>
      <c r="H1111" s="1">
        <v>45014</v>
      </c>
    </row>
    <row r="1112" spans="1:8" x14ac:dyDescent="0.35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</row>
    <row r="1113" spans="1:8" x14ac:dyDescent="0.35">
      <c r="A1113" t="s">
        <v>1132</v>
      </c>
      <c r="B1113" t="s">
        <v>37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1133</v>
      </c>
      <c r="B1114" t="s">
        <v>9</v>
      </c>
      <c r="C1114">
        <v>3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1135</v>
      </c>
      <c r="B1116" t="s">
        <v>23</v>
      </c>
      <c r="C1116">
        <v>3</v>
      </c>
      <c r="D1116">
        <v>4</v>
      </c>
      <c r="E1116">
        <v>12</v>
      </c>
      <c r="H1116" s="1">
        <v>45209</v>
      </c>
    </row>
    <row r="1117" spans="1:8" x14ac:dyDescent="0.35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</row>
    <row r="1118" spans="1:8" x14ac:dyDescent="0.35">
      <c r="A1118" t="s">
        <v>1137</v>
      </c>
      <c r="B1118" t="s">
        <v>23</v>
      </c>
      <c r="C1118">
        <v>4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1138</v>
      </c>
      <c r="B1119" t="s">
        <v>37</v>
      </c>
      <c r="C1119">
        <v>5</v>
      </c>
      <c r="D1119">
        <v>3</v>
      </c>
      <c r="E1119">
        <v>15</v>
      </c>
      <c r="H1119" s="1">
        <v>45103</v>
      </c>
    </row>
    <row r="1120" spans="1:8" x14ac:dyDescent="0.35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H1121" s="1">
        <v>45128</v>
      </c>
    </row>
    <row r="1122" spans="1:8" x14ac:dyDescent="0.35">
      <c r="A1122" t="s">
        <v>1141</v>
      </c>
      <c r="B1122" t="s">
        <v>13</v>
      </c>
      <c r="C1122">
        <v>2</v>
      </c>
      <c r="D1122">
        <v>3</v>
      </c>
      <c r="E1122">
        <v>6</v>
      </c>
    </row>
    <row r="1123" spans="1:8" x14ac:dyDescent="0.35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1144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1145</v>
      </c>
      <c r="B1126" t="s">
        <v>37</v>
      </c>
      <c r="C1126">
        <v>2</v>
      </c>
      <c r="D1126">
        <v>3</v>
      </c>
      <c r="E1126">
        <v>6</v>
      </c>
      <c r="F1126" t="s">
        <v>21</v>
      </c>
      <c r="H1126" s="1">
        <v>44954</v>
      </c>
    </row>
    <row r="1127" spans="1:8" x14ac:dyDescent="0.35">
      <c r="A1127" t="s">
        <v>1146</v>
      </c>
      <c r="B1127" t="s">
        <v>23</v>
      </c>
      <c r="C1127">
        <v>5</v>
      </c>
      <c r="D1127">
        <v>4</v>
      </c>
      <c r="E1127">
        <v>20</v>
      </c>
      <c r="H1127" s="1">
        <v>45157</v>
      </c>
    </row>
    <row r="1128" spans="1:8" x14ac:dyDescent="0.35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1148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1150</v>
      </c>
      <c r="B1131" t="s">
        <v>9</v>
      </c>
      <c r="C1131">
        <v>2</v>
      </c>
      <c r="D1131">
        <v>2</v>
      </c>
      <c r="E1131">
        <v>4</v>
      </c>
      <c r="F1131" t="s">
        <v>14</v>
      </c>
    </row>
    <row r="1132" spans="1:8" x14ac:dyDescent="0.35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1155</v>
      </c>
      <c r="B1136" t="s">
        <v>9</v>
      </c>
      <c r="C1136">
        <v>5</v>
      </c>
      <c r="D1136">
        <v>2</v>
      </c>
      <c r="E1136">
        <v>10</v>
      </c>
      <c r="G1136" t="s">
        <v>11</v>
      </c>
      <c r="H1136" s="1">
        <v>45174</v>
      </c>
    </row>
    <row r="1137" spans="1:8" x14ac:dyDescent="0.35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</row>
    <row r="1139" spans="1:8" x14ac:dyDescent="0.35">
      <c r="A1139" t="s">
        <v>1158</v>
      </c>
      <c r="B1139" t="s">
        <v>13</v>
      </c>
      <c r="C1139">
        <v>5</v>
      </c>
      <c r="D1139">
        <v>3</v>
      </c>
      <c r="E1139">
        <v>15</v>
      </c>
      <c r="G1139" t="s">
        <v>15</v>
      </c>
    </row>
    <row r="1140" spans="1:8" x14ac:dyDescent="0.35">
      <c r="A1140" t="s">
        <v>1159</v>
      </c>
      <c r="B1140" t="s">
        <v>19</v>
      </c>
      <c r="C1140">
        <v>4</v>
      </c>
      <c r="D1140">
        <v>5</v>
      </c>
      <c r="E1140">
        <v>20</v>
      </c>
      <c r="F1140" t="s">
        <v>21</v>
      </c>
      <c r="H1140" s="1">
        <v>44934</v>
      </c>
    </row>
    <row r="1141" spans="1:8" x14ac:dyDescent="0.35">
      <c r="A1141" t="s">
        <v>1160</v>
      </c>
      <c r="B1141" t="s">
        <v>23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1161</v>
      </c>
      <c r="B1142" t="s">
        <v>63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1163</v>
      </c>
      <c r="C1144">
        <v>2</v>
      </c>
      <c r="D1144">
        <v>1.5</v>
      </c>
      <c r="E1144">
        <v>3</v>
      </c>
      <c r="F1144" t="s">
        <v>21</v>
      </c>
      <c r="H1144" s="1">
        <v>45026</v>
      </c>
    </row>
    <row r="1145" spans="1:8" x14ac:dyDescent="0.35">
      <c r="A1145" t="s">
        <v>1164</v>
      </c>
      <c r="B1145" t="s">
        <v>19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</row>
    <row r="1149" spans="1:8" x14ac:dyDescent="0.35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H1149" s="1">
        <v>45128</v>
      </c>
    </row>
    <row r="1150" spans="1:8" x14ac:dyDescent="0.35">
      <c r="A1150" t="s">
        <v>1169</v>
      </c>
      <c r="B1150" t="s">
        <v>19</v>
      </c>
      <c r="C1150">
        <v>3</v>
      </c>
      <c r="D1150">
        <v>5</v>
      </c>
      <c r="E1150">
        <v>15</v>
      </c>
      <c r="F1150" t="s">
        <v>21</v>
      </c>
      <c r="H1150" s="1">
        <v>45074</v>
      </c>
    </row>
    <row r="1151" spans="1:8" x14ac:dyDescent="0.35">
      <c r="A1151" t="s">
        <v>1170</v>
      </c>
      <c r="C1151">
        <v>5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</row>
    <row r="1152" spans="1:8" x14ac:dyDescent="0.35">
      <c r="A1152" t="s">
        <v>1171</v>
      </c>
      <c r="B1152" t="s">
        <v>13</v>
      </c>
      <c r="C1152">
        <v>1</v>
      </c>
      <c r="D1152">
        <v>3</v>
      </c>
      <c r="E1152">
        <v>3</v>
      </c>
      <c r="F1152" t="s">
        <v>21</v>
      </c>
      <c r="G1152" t="s">
        <v>15</v>
      </c>
      <c r="H1152" s="1">
        <v>45007</v>
      </c>
    </row>
    <row r="1153" spans="1:8" x14ac:dyDescent="0.35">
      <c r="A1153" t="s">
        <v>1172</v>
      </c>
      <c r="B1153" t="s">
        <v>23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1174</v>
      </c>
      <c r="B1155" t="s">
        <v>23</v>
      </c>
      <c r="C1155">
        <v>3</v>
      </c>
      <c r="D1155">
        <v>4</v>
      </c>
      <c r="E1155">
        <v>12</v>
      </c>
      <c r="H1155" s="1">
        <v>45057</v>
      </c>
    </row>
    <row r="1156" spans="1:8" x14ac:dyDescent="0.35">
      <c r="A1156" t="s">
        <v>1175</v>
      </c>
      <c r="C1156">
        <v>2</v>
      </c>
      <c r="D1156">
        <v>1.5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1176</v>
      </c>
      <c r="B1157" t="s">
        <v>26</v>
      </c>
      <c r="C1157">
        <v>5</v>
      </c>
      <c r="D1157">
        <v>4</v>
      </c>
      <c r="E1157">
        <v>20</v>
      </c>
      <c r="G1157" t="s">
        <v>11</v>
      </c>
      <c r="H1157" s="1">
        <v>45011</v>
      </c>
    </row>
    <row r="1158" spans="1:8" x14ac:dyDescent="0.35">
      <c r="A1158" t="s">
        <v>1177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</row>
    <row r="1161" spans="1:8" x14ac:dyDescent="0.35">
      <c r="A1161" t="s">
        <v>1180</v>
      </c>
      <c r="C1161">
        <v>4</v>
      </c>
      <c r="D1161">
        <v>1.5</v>
      </c>
      <c r="E1161">
        <v>6</v>
      </c>
      <c r="F1161" t="s">
        <v>21</v>
      </c>
      <c r="H1161" s="1">
        <v>45164</v>
      </c>
    </row>
    <row r="1162" spans="1:8" x14ac:dyDescent="0.35">
      <c r="A1162" t="s">
        <v>1181</v>
      </c>
      <c r="B1162" t="s">
        <v>63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1183</v>
      </c>
      <c r="B1164" t="s">
        <v>26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1185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1186</v>
      </c>
      <c r="B1167" t="s">
        <v>19</v>
      </c>
      <c r="C1167">
        <v>5</v>
      </c>
      <c r="D1167">
        <v>5</v>
      </c>
      <c r="E1167">
        <v>25</v>
      </c>
      <c r="G1167" t="s">
        <v>11</v>
      </c>
      <c r="H1167" s="1">
        <v>45125</v>
      </c>
    </row>
    <row r="1168" spans="1:8" x14ac:dyDescent="0.35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1188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1189</v>
      </c>
      <c r="B1170" t="s">
        <v>26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1191</v>
      </c>
      <c r="B1172" t="s">
        <v>9</v>
      </c>
      <c r="C1172">
        <v>5</v>
      </c>
      <c r="D1172">
        <v>2</v>
      </c>
      <c r="E1172">
        <v>10</v>
      </c>
    </row>
    <row r="1173" spans="1:8" x14ac:dyDescent="0.35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</row>
    <row r="1174" spans="1:8" x14ac:dyDescent="0.35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H1174" s="1">
        <v>45115</v>
      </c>
    </row>
    <row r="1175" spans="1:8" x14ac:dyDescent="0.35">
      <c r="A1175" t="s">
        <v>1194</v>
      </c>
      <c r="B1175" t="s">
        <v>37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</row>
    <row r="1177" spans="1:8" x14ac:dyDescent="0.35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</row>
    <row r="1178" spans="1:8" x14ac:dyDescent="0.35">
      <c r="A1178" t="s">
        <v>1197</v>
      </c>
      <c r="B1178" t="s">
        <v>13</v>
      </c>
      <c r="C1178">
        <v>3</v>
      </c>
      <c r="D1178">
        <v>3</v>
      </c>
      <c r="E1178">
        <v>9</v>
      </c>
      <c r="H1178" s="1">
        <v>45263</v>
      </c>
    </row>
    <row r="1179" spans="1:8" x14ac:dyDescent="0.35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H1179" s="1">
        <v>45010</v>
      </c>
    </row>
    <row r="1180" spans="1:8" x14ac:dyDescent="0.35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1203</v>
      </c>
      <c r="B1184" t="s">
        <v>19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H1186" s="1">
        <v>45250</v>
      </c>
    </row>
    <row r="1187" spans="1:8" x14ac:dyDescent="0.35">
      <c r="A1187" t="s">
        <v>1206</v>
      </c>
      <c r="B1187" t="s">
        <v>19</v>
      </c>
      <c r="C1187">
        <v>3</v>
      </c>
      <c r="D1187">
        <v>5</v>
      </c>
      <c r="E1187">
        <v>15</v>
      </c>
      <c r="H1187" s="1">
        <v>45048</v>
      </c>
    </row>
    <row r="1188" spans="1:8" x14ac:dyDescent="0.35">
      <c r="A1188" t="s">
        <v>1207</v>
      </c>
      <c r="C1188">
        <v>2</v>
      </c>
      <c r="D1188">
        <v>1</v>
      </c>
      <c r="E1188">
        <v>2</v>
      </c>
      <c r="F1188" t="s">
        <v>21</v>
      </c>
      <c r="G1188" t="s">
        <v>11</v>
      </c>
      <c r="H1188" s="1">
        <v>44986</v>
      </c>
    </row>
    <row r="1189" spans="1:8" x14ac:dyDescent="0.35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</row>
    <row r="1190" spans="1:8" x14ac:dyDescent="0.35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1210</v>
      </c>
      <c r="B1191" t="s">
        <v>37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1211</v>
      </c>
      <c r="B1192" t="s">
        <v>23</v>
      </c>
      <c r="C1192">
        <v>3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</row>
    <row r="1193" spans="1:8" x14ac:dyDescent="0.35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</row>
    <row r="1195" spans="1:8" x14ac:dyDescent="0.35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1217</v>
      </c>
      <c r="B1198" t="s">
        <v>13</v>
      </c>
      <c r="C1198">
        <v>1</v>
      </c>
      <c r="D1198">
        <v>3</v>
      </c>
      <c r="E1198">
        <v>3</v>
      </c>
      <c r="H1198" s="1">
        <v>44986</v>
      </c>
    </row>
    <row r="1199" spans="1:8" x14ac:dyDescent="0.35">
      <c r="A1199" t="s">
        <v>1218</v>
      </c>
      <c r="B1199" t="s">
        <v>37</v>
      </c>
      <c r="C1199">
        <v>3</v>
      </c>
      <c r="D1199">
        <v>3</v>
      </c>
      <c r="E1199">
        <v>9</v>
      </c>
      <c r="H1199" s="1">
        <v>45264</v>
      </c>
    </row>
    <row r="1200" spans="1:8" x14ac:dyDescent="0.35">
      <c r="A1200" t="s">
        <v>1219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1220</v>
      </c>
      <c r="B1201" t="s">
        <v>19</v>
      </c>
      <c r="C1201">
        <v>5</v>
      </c>
      <c r="D1201">
        <v>5</v>
      </c>
      <c r="E1201">
        <v>25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1221</v>
      </c>
      <c r="B1202" t="s">
        <v>17</v>
      </c>
      <c r="C1202">
        <v>5</v>
      </c>
      <c r="D1202">
        <v>1</v>
      </c>
      <c r="E1202">
        <v>5</v>
      </c>
      <c r="G1202" t="s">
        <v>15</v>
      </c>
      <c r="H1202" s="1">
        <v>45248</v>
      </c>
    </row>
    <row r="1203" spans="1:8" x14ac:dyDescent="0.35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1224</v>
      </c>
      <c r="B1205" t="s">
        <v>13</v>
      </c>
      <c r="C1205">
        <v>3</v>
      </c>
      <c r="D1205">
        <v>3</v>
      </c>
      <c r="E1205">
        <v>9</v>
      </c>
      <c r="H1205" s="1">
        <v>45057</v>
      </c>
    </row>
    <row r="1206" spans="1:8" x14ac:dyDescent="0.35">
      <c r="A1206" t="s">
        <v>1225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</row>
    <row r="1208" spans="1:8" x14ac:dyDescent="0.35">
      <c r="A1208" t="s">
        <v>1227</v>
      </c>
      <c r="B1208" t="s">
        <v>26</v>
      </c>
      <c r="C1208">
        <v>2</v>
      </c>
      <c r="D1208">
        <v>4</v>
      </c>
      <c r="E1208">
        <v>8</v>
      </c>
      <c r="H1208" s="1">
        <v>45074</v>
      </c>
    </row>
    <row r="1209" spans="1:8" x14ac:dyDescent="0.35">
      <c r="A1209" t="s">
        <v>1228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</row>
    <row r="1213" spans="1:8" x14ac:dyDescent="0.35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</row>
    <row r="1214" spans="1:8" x14ac:dyDescent="0.35">
      <c r="A1214" t="s">
        <v>1233</v>
      </c>
      <c r="B1214" t="s">
        <v>17</v>
      </c>
      <c r="C1214">
        <v>1</v>
      </c>
      <c r="D1214">
        <v>1</v>
      </c>
      <c r="E1214">
        <v>1</v>
      </c>
      <c r="G1214" t="s">
        <v>15</v>
      </c>
    </row>
    <row r="1215" spans="1:8" x14ac:dyDescent="0.35">
      <c r="A1215" t="s">
        <v>1234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1235</v>
      </c>
      <c r="B1216" t="s">
        <v>17</v>
      </c>
      <c r="C1216">
        <v>5</v>
      </c>
      <c r="D1216">
        <v>1</v>
      </c>
      <c r="E1216">
        <v>5</v>
      </c>
      <c r="H1216" s="1">
        <v>45114</v>
      </c>
    </row>
    <row r="1217" spans="1:8" x14ac:dyDescent="0.35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</row>
    <row r="1219" spans="1:8" x14ac:dyDescent="0.35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1239</v>
      </c>
      <c r="B1220" t="s">
        <v>13</v>
      </c>
      <c r="C1220">
        <v>2</v>
      </c>
      <c r="D1220">
        <v>3</v>
      </c>
      <c r="E1220">
        <v>6</v>
      </c>
      <c r="H1220" s="1">
        <v>45046</v>
      </c>
    </row>
    <row r="1221" spans="1:8" x14ac:dyDescent="0.35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</row>
    <row r="1222" spans="1:8" x14ac:dyDescent="0.35">
      <c r="A1222" t="s">
        <v>1241</v>
      </c>
      <c r="B1222" t="s">
        <v>26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1242</v>
      </c>
      <c r="B1223" t="s">
        <v>23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1243</v>
      </c>
      <c r="B1224" t="s">
        <v>19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</row>
    <row r="1226" spans="1:8" x14ac:dyDescent="0.35">
      <c r="A1226" t="s">
        <v>1245</v>
      </c>
      <c r="B1226" t="s">
        <v>26</v>
      </c>
      <c r="C1226">
        <v>2</v>
      </c>
      <c r="D1226">
        <v>4</v>
      </c>
      <c r="E1226">
        <v>8</v>
      </c>
      <c r="G1226" t="s">
        <v>11</v>
      </c>
      <c r="H1226" s="1">
        <v>45004</v>
      </c>
    </row>
    <row r="1227" spans="1:8" x14ac:dyDescent="0.35">
      <c r="A1227" t="s">
        <v>1246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H1229" s="1">
        <v>45143</v>
      </c>
    </row>
    <row r="1230" spans="1:8" x14ac:dyDescent="0.35">
      <c r="A1230" t="s">
        <v>1249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1250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</row>
    <row r="1232" spans="1:8" x14ac:dyDescent="0.35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</row>
    <row r="1234" spans="1:8" x14ac:dyDescent="0.35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1254</v>
      </c>
      <c r="B1235" t="s">
        <v>26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1255</v>
      </c>
      <c r="B1236" t="s">
        <v>23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1258</v>
      </c>
      <c r="B1239" t="s">
        <v>17</v>
      </c>
      <c r="C1239">
        <v>2</v>
      </c>
      <c r="D1239">
        <v>1</v>
      </c>
      <c r="E1239">
        <v>2</v>
      </c>
      <c r="F1239" t="s">
        <v>21</v>
      </c>
      <c r="G1239" t="s">
        <v>15</v>
      </c>
      <c r="H1239" s="1">
        <v>45249</v>
      </c>
    </row>
    <row r="1240" spans="1:8" x14ac:dyDescent="0.35">
      <c r="A1240" t="s">
        <v>1259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</row>
    <row r="1241" spans="1:8" x14ac:dyDescent="0.35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1262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</row>
    <row r="1245" spans="1:8" x14ac:dyDescent="0.35">
      <c r="A1245" t="s">
        <v>1264</v>
      </c>
      <c r="B1245" t="s">
        <v>17</v>
      </c>
      <c r="C1245">
        <v>4</v>
      </c>
      <c r="D1245">
        <v>1</v>
      </c>
      <c r="E1245">
        <v>4</v>
      </c>
      <c r="H1245" s="1">
        <v>44963</v>
      </c>
    </row>
    <row r="1246" spans="1:8" x14ac:dyDescent="0.35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1273</v>
      </c>
      <c r="B1254" t="s">
        <v>23</v>
      </c>
      <c r="C1254">
        <v>5</v>
      </c>
      <c r="D1254">
        <v>4</v>
      </c>
      <c r="E1254">
        <v>20</v>
      </c>
      <c r="F1254" t="s">
        <v>10</v>
      </c>
      <c r="H1254" s="1">
        <v>45208</v>
      </c>
    </row>
    <row r="1255" spans="1:8" x14ac:dyDescent="0.35">
      <c r="A1255" t="s">
        <v>1274</v>
      </c>
      <c r="B1255" t="s">
        <v>26</v>
      </c>
      <c r="C1255">
        <v>2</v>
      </c>
      <c r="D1255">
        <v>4</v>
      </c>
      <c r="E1255">
        <v>8</v>
      </c>
      <c r="H1255" s="1">
        <v>45065</v>
      </c>
    </row>
    <row r="1256" spans="1:8" x14ac:dyDescent="0.35">
      <c r="A1256" t="s">
        <v>1275</v>
      </c>
      <c r="C1256">
        <v>1</v>
      </c>
      <c r="D1256">
        <v>2</v>
      </c>
      <c r="E1256">
        <v>2</v>
      </c>
      <c r="F1256" t="s">
        <v>21</v>
      </c>
      <c r="H1256" s="1">
        <v>45125</v>
      </c>
    </row>
    <row r="1257" spans="1:8" x14ac:dyDescent="0.35">
      <c r="A1257" t="s">
        <v>1276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1277</v>
      </c>
      <c r="B1258" t="s">
        <v>37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1278</v>
      </c>
      <c r="B1259" t="s">
        <v>23</v>
      </c>
      <c r="C1259">
        <v>2</v>
      </c>
      <c r="D1259">
        <v>4</v>
      </c>
      <c r="E1259">
        <v>8</v>
      </c>
      <c r="G1259" t="s">
        <v>11</v>
      </c>
      <c r="H1259" s="1">
        <v>45218</v>
      </c>
    </row>
    <row r="1260" spans="1:8" x14ac:dyDescent="0.35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</row>
    <row r="1261" spans="1:8" x14ac:dyDescent="0.35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</row>
    <row r="1263" spans="1:8" x14ac:dyDescent="0.35">
      <c r="A1263" t="s">
        <v>1282</v>
      </c>
      <c r="B1263" t="s">
        <v>37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</row>
    <row r="1265" spans="1:8" x14ac:dyDescent="0.35">
      <c r="A1265" t="s">
        <v>1284</v>
      </c>
      <c r="B1265" t="s">
        <v>19</v>
      </c>
      <c r="C1265">
        <v>4</v>
      </c>
      <c r="D1265">
        <v>5</v>
      </c>
      <c r="E1265">
        <v>20</v>
      </c>
      <c r="F1265" t="s">
        <v>14</v>
      </c>
    </row>
    <row r="1266" spans="1:8" x14ac:dyDescent="0.35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1286</v>
      </c>
      <c r="B1267" t="s">
        <v>26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1288</v>
      </c>
      <c r="B1269" t="s">
        <v>19</v>
      </c>
      <c r="C1269">
        <v>1</v>
      </c>
      <c r="D1269">
        <v>5</v>
      </c>
      <c r="E1269">
        <v>5</v>
      </c>
      <c r="H1269" s="1">
        <v>45222</v>
      </c>
    </row>
    <row r="1270" spans="1:8" x14ac:dyDescent="0.35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1291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1292</v>
      </c>
      <c r="B1273" t="s">
        <v>37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1293</v>
      </c>
      <c r="B1274" t="s">
        <v>17</v>
      </c>
      <c r="C1274">
        <v>5</v>
      </c>
      <c r="D1274">
        <v>1</v>
      </c>
      <c r="E1274">
        <v>5</v>
      </c>
      <c r="H1274" s="1">
        <v>45209</v>
      </c>
    </row>
    <row r="1275" spans="1:8" x14ac:dyDescent="0.35">
      <c r="A1275" t="s">
        <v>1294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1295</v>
      </c>
      <c r="B1276" t="s">
        <v>13</v>
      </c>
      <c r="C1276">
        <v>4</v>
      </c>
      <c r="D1276">
        <v>3</v>
      </c>
      <c r="E1276">
        <v>12</v>
      </c>
      <c r="H1276" s="1">
        <v>45210</v>
      </c>
    </row>
    <row r="1277" spans="1:8" x14ac:dyDescent="0.35">
      <c r="A1277" t="s">
        <v>1296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H1278" s="1">
        <v>45004</v>
      </c>
    </row>
    <row r="1279" spans="1:8" x14ac:dyDescent="0.35">
      <c r="A1279" t="s">
        <v>1298</v>
      </c>
      <c r="B1279" t="s">
        <v>63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1299</v>
      </c>
      <c r="B1280" t="s">
        <v>9</v>
      </c>
      <c r="C1280">
        <v>4</v>
      </c>
      <c r="D1280">
        <v>2</v>
      </c>
      <c r="E1280">
        <v>8</v>
      </c>
      <c r="G1280" t="s">
        <v>15</v>
      </c>
      <c r="H1280" s="1">
        <v>45269</v>
      </c>
    </row>
    <row r="1281" spans="1:8" x14ac:dyDescent="0.35">
      <c r="A1281" t="s">
        <v>1300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</row>
    <row r="1283" spans="1:8" x14ac:dyDescent="0.35">
      <c r="A1283" t="s">
        <v>1302</v>
      </c>
      <c r="B1283" t="s">
        <v>23</v>
      </c>
      <c r="C1283">
        <v>5</v>
      </c>
      <c r="D1283">
        <v>4</v>
      </c>
      <c r="E1283">
        <v>20</v>
      </c>
      <c r="G1283" t="s">
        <v>15</v>
      </c>
      <c r="H1283" s="1">
        <v>44968</v>
      </c>
    </row>
    <row r="1284" spans="1:8" x14ac:dyDescent="0.35">
      <c r="A1284" t="s">
        <v>1303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H1286" s="1">
        <v>45144</v>
      </c>
    </row>
    <row r="1287" spans="1:8" x14ac:dyDescent="0.35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1309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H1291" s="1">
        <v>45283</v>
      </c>
    </row>
    <row r="1292" spans="1:8" x14ac:dyDescent="0.35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1312</v>
      </c>
      <c r="B1293" t="s">
        <v>26</v>
      </c>
      <c r="C1293">
        <v>3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1314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1315</v>
      </c>
      <c r="B1296" t="s">
        <v>23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H1297" s="1">
        <v>45016</v>
      </c>
    </row>
    <row r="1298" spans="1:8" x14ac:dyDescent="0.35">
      <c r="A1298" t="s">
        <v>1317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1318</v>
      </c>
      <c r="B1299" t="s">
        <v>13</v>
      </c>
      <c r="C1299">
        <v>2</v>
      </c>
      <c r="D1299">
        <v>3</v>
      </c>
      <c r="E1299">
        <v>6</v>
      </c>
      <c r="G1299" t="s">
        <v>15</v>
      </c>
      <c r="H1299" s="1">
        <v>45031</v>
      </c>
    </row>
    <row r="1300" spans="1:8" x14ac:dyDescent="0.35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H1301" s="1">
        <v>45149</v>
      </c>
    </row>
    <row r="1302" spans="1:8" x14ac:dyDescent="0.35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1322</v>
      </c>
      <c r="B1303" t="s">
        <v>37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1324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1326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1328</v>
      </c>
      <c r="B1309" t="s">
        <v>13</v>
      </c>
      <c r="C1309">
        <v>3</v>
      </c>
      <c r="D1309">
        <v>3</v>
      </c>
      <c r="E1309">
        <v>9</v>
      </c>
      <c r="H1309" s="1">
        <v>45058</v>
      </c>
    </row>
    <row r="1310" spans="1:8" x14ac:dyDescent="0.35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1330</v>
      </c>
      <c r="B1311" t="s">
        <v>63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1331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1332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1335</v>
      </c>
      <c r="B1316" t="s">
        <v>37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1336</v>
      </c>
      <c r="B1317" t="s">
        <v>17</v>
      </c>
      <c r="C1317">
        <v>1</v>
      </c>
      <c r="D1317">
        <v>1</v>
      </c>
      <c r="E1317">
        <v>1</v>
      </c>
      <c r="F1317" t="s">
        <v>21</v>
      </c>
      <c r="G1317" t="s">
        <v>15</v>
      </c>
      <c r="H1317" s="1">
        <v>44932</v>
      </c>
    </row>
    <row r="1318" spans="1:8" x14ac:dyDescent="0.35">
      <c r="A1318" t="s">
        <v>1337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1338</v>
      </c>
      <c r="B1319" t="s">
        <v>9</v>
      </c>
      <c r="C1319">
        <v>3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1339</v>
      </c>
      <c r="B1320" t="s">
        <v>17</v>
      </c>
      <c r="C1320">
        <v>4</v>
      </c>
      <c r="D1320">
        <v>1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H1321" s="1">
        <v>45193</v>
      </c>
    </row>
    <row r="1322" spans="1:8" x14ac:dyDescent="0.35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</row>
    <row r="1323" spans="1:8" x14ac:dyDescent="0.35">
      <c r="A1323" t="s">
        <v>1342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H1324" s="1">
        <v>45113</v>
      </c>
    </row>
    <row r="1325" spans="1:8" x14ac:dyDescent="0.35">
      <c r="A1325" t="s">
        <v>1344</v>
      </c>
      <c r="B1325" t="s">
        <v>9</v>
      </c>
      <c r="C1325">
        <v>2</v>
      </c>
      <c r="D1325">
        <v>2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1346</v>
      </c>
      <c r="B1327" t="s">
        <v>23</v>
      </c>
      <c r="C1327">
        <v>4</v>
      </c>
      <c r="D1327">
        <v>4</v>
      </c>
      <c r="E1327">
        <v>16</v>
      </c>
      <c r="G1327" t="s">
        <v>15</v>
      </c>
      <c r="H1327" s="1">
        <v>45291</v>
      </c>
    </row>
    <row r="1328" spans="1:8" x14ac:dyDescent="0.35">
      <c r="A1328" t="s">
        <v>1347</v>
      </c>
      <c r="B1328" t="s">
        <v>13</v>
      </c>
      <c r="C1328">
        <v>2</v>
      </c>
      <c r="D1328">
        <v>3</v>
      </c>
      <c r="E1328">
        <v>6</v>
      </c>
      <c r="G1328" t="s">
        <v>15</v>
      </c>
      <c r="H1328" s="1">
        <v>45176</v>
      </c>
    </row>
    <row r="1329" spans="1:8" x14ac:dyDescent="0.35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1349</v>
      </c>
      <c r="B1330" t="s">
        <v>9</v>
      </c>
      <c r="C1330">
        <v>2</v>
      </c>
      <c r="D1330">
        <v>2</v>
      </c>
      <c r="E1330">
        <v>4</v>
      </c>
      <c r="H1330" s="1">
        <v>44961</v>
      </c>
    </row>
    <row r="1331" spans="1:8" x14ac:dyDescent="0.35">
      <c r="A1331" t="s">
        <v>1350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1351</v>
      </c>
      <c r="B1332" t="s">
        <v>19</v>
      </c>
      <c r="C1332">
        <v>5</v>
      </c>
      <c r="D1332">
        <v>5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H1334" s="1">
        <v>44964</v>
      </c>
    </row>
    <row r="1335" spans="1:8" x14ac:dyDescent="0.35">
      <c r="A1335" t="s">
        <v>1354</v>
      </c>
      <c r="B1335" t="s">
        <v>63</v>
      </c>
      <c r="C1335">
        <v>2</v>
      </c>
      <c r="D1335">
        <v>1.5</v>
      </c>
      <c r="E1335">
        <v>3</v>
      </c>
      <c r="F1335" t="s">
        <v>21</v>
      </c>
      <c r="G1335" t="s">
        <v>15</v>
      </c>
      <c r="H1335" s="1">
        <v>45013</v>
      </c>
    </row>
    <row r="1336" spans="1:8" x14ac:dyDescent="0.35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</row>
    <row r="1337" spans="1:8" x14ac:dyDescent="0.35">
      <c r="A1337" t="s">
        <v>1356</v>
      </c>
      <c r="B1337" t="s">
        <v>26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1358</v>
      </c>
      <c r="C1339">
        <v>5</v>
      </c>
      <c r="D1339">
        <v>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1359</v>
      </c>
      <c r="B1340" t="s">
        <v>23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1360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1361</v>
      </c>
      <c r="B1342" t="s">
        <v>37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</row>
    <row r="1345" spans="1:8" x14ac:dyDescent="0.35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</row>
    <row r="1346" spans="1:8" x14ac:dyDescent="0.35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1366</v>
      </c>
      <c r="C1347">
        <v>4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1367</v>
      </c>
      <c r="B1348" t="s">
        <v>23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H1349" s="1">
        <v>45217</v>
      </c>
    </row>
    <row r="1350" spans="1:8" x14ac:dyDescent="0.35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H1350" s="1">
        <v>45279</v>
      </c>
    </row>
    <row r="1351" spans="1:8" x14ac:dyDescent="0.35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</row>
    <row r="1353" spans="1:8" x14ac:dyDescent="0.35">
      <c r="A1353" t="s">
        <v>1372</v>
      </c>
      <c r="C1353">
        <v>5</v>
      </c>
      <c r="D1353">
        <v>3</v>
      </c>
      <c r="E1353">
        <v>15</v>
      </c>
      <c r="H1353" s="1">
        <v>45114</v>
      </c>
    </row>
    <row r="1354" spans="1:8" x14ac:dyDescent="0.35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1375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</row>
    <row r="1358" spans="1:8" x14ac:dyDescent="0.35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</row>
    <row r="1360" spans="1:8" x14ac:dyDescent="0.35">
      <c r="A1360" t="s">
        <v>1379</v>
      </c>
      <c r="B1360" t="s">
        <v>13</v>
      </c>
      <c r="C1360">
        <v>3</v>
      </c>
      <c r="D1360">
        <v>3</v>
      </c>
      <c r="E1360">
        <v>9</v>
      </c>
      <c r="F1360" t="s">
        <v>21</v>
      </c>
      <c r="G1360" t="s">
        <v>15</v>
      </c>
      <c r="H1360" s="1">
        <v>45267</v>
      </c>
    </row>
    <row r="1361" spans="1:8" x14ac:dyDescent="0.35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</row>
    <row r="1362" spans="1:8" x14ac:dyDescent="0.35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</row>
    <row r="1364" spans="1:8" x14ac:dyDescent="0.35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H1364" s="1">
        <v>45282</v>
      </c>
    </row>
    <row r="1365" spans="1:8" x14ac:dyDescent="0.35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H1365" s="1">
        <v>45280</v>
      </c>
    </row>
    <row r="1366" spans="1:8" x14ac:dyDescent="0.35">
      <c r="A1366" t="s">
        <v>1385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</row>
    <row r="1367" spans="1:8" x14ac:dyDescent="0.35">
      <c r="A1367" t="s">
        <v>1386</v>
      </c>
      <c r="B1367" t="s">
        <v>26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</row>
    <row r="1369" spans="1:8" x14ac:dyDescent="0.35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</row>
    <row r="1371" spans="1:8" x14ac:dyDescent="0.35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H1371" s="1">
        <v>45212</v>
      </c>
    </row>
    <row r="1372" spans="1:8" x14ac:dyDescent="0.35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H1372" s="1">
        <v>45054</v>
      </c>
    </row>
    <row r="1373" spans="1:8" x14ac:dyDescent="0.35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H1373" s="1">
        <v>45177</v>
      </c>
    </row>
    <row r="1374" spans="1:8" x14ac:dyDescent="0.35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</row>
    <row r="1375" spans="1:8" x14ac:dyDescent="0.35">
      <c r="A1375" t="s">
        <v>1394</v>
      </c>
      <c r="B1375" t="s">
        <v>23</v>
      </c>
      <c r="C1375">
        <v>3</v>
      </c>
      <c r="D1375">
        <v>4</v>
      </c>
      <c r="E1375">
        <v>12</v>
      </c>
      <c r="G1375" t="s">
        <v>15</v>
      </c>
    </row>
    <row r="1376" spans="1:8" x14ac:dyDescent="0.35">
      <c r="A1376" t="s">
        <v>1395</v>
      </c>
      <c r="B1376" t="s">
        <v>9</v>
      </c>
      <c r="C1376">
        <v>5</v>
      </c>
      <c r="D1376">
        <v>2</v>
      </c>
      <c r="E1376">
        <v>10</v>
      </c>
      <c r="H1376" s="1">
        <v>45152</v>
      </c>
    </row>
    <row r="1377" spans="1:8" x14ac:dyDescent="0.35">
      <c r="A1377" t="s">
        <v>1396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1397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1398</v>
      </c>
      <c r="C1379">
        <v>2</v>
      </c>
      <c r="D1379">
        <v>1</v>
      </c>
      <c r="E1379">
        <v>2</v>
      </c>
      <c r="H1379" s="1">
        <v>45181</v>
      </c>
    </row>
    <row r="1380" spans="1:8" x14ac:dyDescent="0.35">
      <c r="A1380" t="s">
        <v>1399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1400</v>
      </c>
      <c r="B1381" t="s">
        <v>63</v>
      </c>
      <c r="C1381">
        <v>3</v>
      </c>
      <c r="D1381">
        <v>1.5</v>
      </c>
      <c r="E1381">
        <v>4.5</v>
      </c>
    </row>
    <row r="1382" spans="1:8" x14ac:dyDescent="0.35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H1383" s="1">
        <v>45139</v>
      </c>
    </row>
    <row r="1384" spans="1:8" x14ac:dyDescent="0.35">
      <c r="A1384" t="s">
        <v>1403</v>
      </c>
      <c r="B1384" t="s">
        <v>63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1404</v>
      </c>
      <c r="B1385" t="s">
        <v>23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1405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</row>
    <row r="1387" spans="1:8" x14ac:dyDescent="0.35">
      <c r="A1387" t="s">
        <v>1406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1407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1408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1409</v>
      </c>
      <c r="B1390" t="s">
        <v>26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1410</v>
      </c>
      <c r="B1391" t="s">
        <v>26</v>
      </c>
      <c r="C1391">
        <v>1</v>
      </c>
      <c r="D1391">
        <v>4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1411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</row>
    <row r="1394" spans="1:8" x14ac:dyDescent="0.35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1414</v>
      </c>
      <c r="B1395" t="s">
        <v>26</v>
      </c>
      <c r="C1395">
        <v>5</v>
      </c>
      <c r="D1395">
        <v>4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H1396" s="1">
        <v>44941</v>
      </c>
    </row>
    <row r="1397" spans="1:8" x14ac:dyDescent="0.35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1417</v>
      </c>
      <c r="B1398" t="s">
        <v>13</v>
      </c>
      <c r="C1398">
        <v>4</v>
      </c>
      <c r="D1398">
        <v>3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1418</v>
      </c>
      <c r="B1399" t="s">
        <v>23</v>
      </c>
      <c r="C1399">
        <v>2</v>
      </c>
      <c r="D1399">
        <v>4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H1400" s="1">
        <v>44946</v>
      </c>
    </row>
    <row r="1401" spans="1:8" x14ac:dyDescent="0.35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1422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</row>
    <row r="1405" spans="1:8" x14ac:dyDescent="0.35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1425</v>
      </c>
      <c r="B1406" t="s">
        <v>37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H1407" s="1">
        <v>45222</v>
      </c>
    </row>
    <row r="1408" spans="1:8" x14ac:dyDescent="0.35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1428</v>
      </c>
      <c r="B1409" t="s">
        <v>26</v>
      </c>
      <c r="C1409">
        <v>2</v>
      </c>
      <c r="D1409">
        <v>4</v>
      </c>
      <c r="E1409">
        <v>8</v>
      </c>
      <c r="G1409" t="s">
        <v>11</v>
      </c>
      <c r="H1409" s="1">
        <v>45006</v>
      </c>
    </row>
    <row r="1410" spans="1:8" x14ac:dyDescent="0.35">
      <c r="A1410" t="s">
        <v>1429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1431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1434</v>
      </c>
      <c r="B1415" t="s">
        <v>63</v>
      </c>
      <c r="C1415">
        <v>5</v>
      </c>
      <c r="D1415">
        <v>1.5</v>
      </c>
      <c r="E1415">
        <v>7.5</v>
      </c>
      <c r="H1415" s="1">
        <v>45285</v>
      </c>
    </row>
    <row r="1416" spans="1:8" x14ac:dyDescent="0.35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</row>
    <row r="1417" spans="1:8" x14ac:dyDescent="0.35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</row>
    <row r="1418" spans="1:8" x14ac:dyDescent="0.35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H1418" s="1">
        <v>44984</v>
      </c>
    </row>
    <row r="1419" spans="1:8" x14ac:dyDescent="0.35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1439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</row>
    <row r="1423" spans="1:8" x14ac:dyDescent="0.35">
      <c r="A1423" t="s">
        <v>1442</v>
      </c>
      <c r="B1423" t="s">
        <v>26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1443</v>
      </c>
      <c r="B1424" t="s">
        <v>17</v>
      </c>
      <c r="C1424">
        <v>4</v>
      </c>
      <c r="D1424">
        <v>1</v>
      </c>
      <c r="E1424">
        <v>4</v>
      </c>
      <c r="H1424" s="1">
        <v>45248</v>
      </c>
    </row>
    <row r="1425" spans="1:8" x14ac:dyDescent="0.35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H1425" s="1">
        <v>45152</v>
      </c>
    </row>
    <row r="1426" spans="1:8" x14ac:dyDescent="0.35">
      <c r="A1426" t="s">
        <v>1445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1446</v>
      </c>
      <c r="B1427" t="s">
        <v>26</v>
      </c>
      <c r="C1427">
        <v>5</v>
      </c>
      <c r="D1427">
        <v>4</v>
      </c>
      <c r="E1427">
        <v>20</v>
      </c>
      <c r="F1427" t="s">
        <v>21</v>
      </c>
      <c r="G1427" t="s">
        <v>15</v>
      </c>
      <c r="H1427" s="1">
        <v>44927</v>
      </c>
    </row>
    <row r="1428" spans="1:8" x14ac:dyDescent="0.35">
      <c r="A1428" t="s">
        <v>1447</v>
      </c>
      <c r="B1428" t="s">
        <v>26</v>
      </c>
      <c r="C1428">
        <v>3</v>
      </c>
      <c r="D1428">
        <v>4</v>
      </c>
      <c r="E1428">
        <v>12</v>
      </c>
      <c r="G1428" t="s">
        <v>15</v>
      </c>
      <c r="H1428" s="1">
        <v>45277</v>
      </c>
    </row>
    <row r="1429" spans="1:8" x14ac:dyDescent="0.35">
      <c r="A1429" t="s">
        <v>1448</v>
      </c>
      <c r="B1429" t="s">
        <v>26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</row>
    <row r="1431" spans="1:8" x14ac:dyDescent="0.35">
      <c r="A1431" t="s">
        <v>1450</v>
      </c>
      <c r="B1431" t="s">
        <v>9</v>
      </c>
      <c r="C1431">
        <v>3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1451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1453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1454</v>
      </c>
      <c r="B1435" t="s">
        <v>13</v>
      </c>
      <c r="C1435">
        <v>5</v>
      </c>
      <c r="D1435">
        <v>3</v>
      </c>
      <c r="E1435">
        <v>15</v>
      </c>
      <c r="F1435" t="s">
        <v>21</v>
      </c>
      <c r="H1435" s="1">
        <v>45026</v>
      </c>
    </row>
    <row r="1436" spans="1:8" x14ac:dyDescent="0.35">
      <c r="A1436" t="s">
        <v>1455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1456</v>
      </c>
      <c r="B1437" t="s">
        <v>17</v>
      </c>
      <c r="C1437">
        <v>5</v>
      </c>
      <c r="D1437">
        <v>1</v>
      </c>
      <c r="E1437">
        <v>5</v>
      </c>
      <c r="H1437" s="1">
        <v>45039</v>
      </c>
    </row>
    <row r="1438" spans="1:8" x14ac:dyDescent="0.35">
      <c r="A1438" t="s">
        <v>1457</v>
      </c>
      <c r="B1438" t="s">
        <v>63</v>
      </c>
      <c r="C1438">
        <v>4</v>
      </c>
      <c r="D1438">
        <v>1.5</v>
      </c>
      <c r="E1438">
        <v>6</v>
      </c>
      <c r="F1438" t="s">
        <v>14</v>
      </c>
      <c r="G1438" t="s">
        <v>11</v>
      </c>
    </row>
    <row r="1439" spans="1:8" x14ac:dyDescent="0.35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</row>
    <row r="1440" spans="1:8" x14ac:dyDescent="0.35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H1440" s="1">
        <v>45205</v>
      </c>
    </row>
    <row r="1441" spans="1:8" x14ac:dyDescent="0.35">
      <c r="A1441" t="s">
        <v>1460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1461</v>
      </c>
      <c r="B1442" t="s">
        <v>9</v>
      </c>
      <c r="C1442">
        <v>4</v>
      </c>
      <c r="D1442">
        <v>2</v>
      </c>
      <c r="E1442">
        <v>8</v>
      </c>
      <c r="G1442" t="s">
        <v>11</v>
      </c>
      <c r="H1442" s="1">
        <v>45283</v>
      </c>
    </row>
    <row r="1443" spans="1:8" x14ac:dyDescent="0.35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H1443" s="1">
        <v>44956</v>
      </c>
    </row>
    <row r="1444" spans="1:8" x14ac:dyDescent="0.35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H1444" s="1">
        <v>45104</v>
      </c>
    </row>
    <row r="1445" spans="1:8" x14ac:dyDescent="0.35">
      <c r="A1445" t="s">
        <v>1464</v>
      </c>
      <c r="B1445" t="s">
        <v>26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H1446" s="1">
        <v>45076</v>
      </c>
    </row>
    <row r="1447" spans="1:8" x14ac:dyDescent="0.35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1467</v>
      </c>
      <c r="B1448" t="s">
        <v>13</v>
      </c>
      <c r="C1448">
        <v>2</v>
      </c>
      <c r="D1448">
        <v>3</v>
      </c>
      <c r="E1448">
        <v>6</v>
      </c>
      <c r="F1448" t="s">
        <v>14</v>
      </c>
      <c r="H1448" s="1">
        <v>44976</v>
      </c>
    </row>
    <row r="1449" spans="1:8" x14ac:dyDescent="0.35">
      <c r="A1449" t="s">
        <v>1468</v>
      </c>
      <c r="B1449" t="s">
        <v>17</v>
      </c>
      <c r="C1449">
        <v>1</v>
      </c>
      <c r="D1449">
        <v>1</v>
      </c>
      <c r="E1449">
        <v>1</v>
      </c>
      <c r="G1449" t="s">
        <v>11</v>
      </c>
    </row>
    <row r="1450" spans="1:8" x14ac:dyDescent="0.35">
      <c r="A1450" t="s">
        <v>1469</v>
      </c>
      <c r="B1450" t="s">
        <v>37</v>
      </c>
      <c r="C1450">
        <v>5</v>
      </c>
      <c r="D1450">
        <v>3</v>
      </c>
      <c r="E1450">
        <v>15</v>
      </c>
      <c r="G1450" t="s">
        <v>15</v>
      </c>
      <c r="H1450" s="1">
        <v>45257</v>
      </c>
    </row>
    <row r="1451" spans="1:8" x14ac:dyDescent="0.35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H1451" s="1">
        <v>45053</v>
      </c>
    </row>
    <row r="1452" spans="1:8" x14ac:dyDescent="0.35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1472</v>
      </c>
      <c r="C1453">
        <v>1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H1454" s="1">
        <v>45015</v>
      </c>
    </row>
    <row r="1455" spans="1:8" x14ac:dyDescent="0.35">
      <c r="A1455" t="s">
        <v>1474</v>
      </c>
      <c r="B1455" t="s">
        <v>37</v>
      </c>
      <c r="C1455">
        <v>4</v>
      </c>
      <c r="D1455">
        <v>3</v>
      </c>
      <c r="E1455">
        <v>12</v>
      </c>
      <c r="F1455" t="s">
        <v>21</v>
      </c>
      <c r="G1455" t="s">
        <v>11</v>
      </c>
      <c r="H1455" s="1">
        <v>44929</v>
      </c>
    </row>
    <row r="1456" spans="1:8" x14ac:dyDescent="0.35">
      <c r="A1456" t="s">
        <v>1475</v>
      </c>
      <c r="B1456" t="s">
        <v>37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1477</v>
      </c>
      <c r="B1458" t="s">
        <v>19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1478</v>
      </c>
      <c r="B1459" t="s">
        <v>9</v>
      </c>
      <c r="C1459">
        <v>1</v>
      </c>
      <c r="D1459">
        <v>2</v>
      </c>
      <c r="E1459">
        <v>2</v>
      </c>
      <c r="H1459" s="1">
        <v>45064</v>
      </c>
    </row>
    <row r="1460" spans="1:8" x14ac:dyDescent="0.35">
      <c r="A1460" t="s">
        <v>1479</v>
      </c>
      <c r="B1460" t="s">
        <v>19</v>
      </c>
      <c r="C1460">
        <v>3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1480</v>
      </c>
      <c r="B1461" t="s">
        <v>37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1481</v>
      </c>
      <c r="B1462" t="s">
        <v>13</v>
      </c>
      <c r="C1462">
        <v>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1482</v>
      </c>
      <c r="B1463" t="s">
        <v>13</v>
      </c>
      <c r="C1463">
        <v>4</v>
      </c>
      <c r="D1463">
        <v>3</v>
      </c>
      <c r="E1463">
        <v>12</v>
      </c>
      <c r="F1463" t="s">
        <v>21</v>
      </c>
      <c r="H1463" s="1">
        <v>45151</v>
      </c>
    </row>
    <row r="1464" spans="1:8" x14ac:dyDescent="0.35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</row>
    <row r="1465" spans="1:8" x14ac:dyDescent="0.35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1485</v>
      </c>
      <c r="B1466" t="s">
        <v>63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1486</v>
      </c>
      <c r="B1467" t="s">
        <v>19</v>
      </c>
      <c r="C1467">
        <v>5</v>
      </c>
      <c r="D1467">
        <v>5</v>
      </c>
      <c r="E1467">
        <v>25</v>
      </c>
      <c r="H1467" s="1">
        <v>45042</v>
      </c>
    </row>
    <row r="1468" spans="1:8" x14ac:dyDescent="0.35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</row>
    <row r="1469" spans="1:8" x14ac:dyDescent="0.35">
      <c r="A1469" t="s">
        <v>1488</v>
      </c>
      <c r="B1469" t="s">
        <v>13</v>
      </c>
      <c r="C1469">
        <v>3</v>
      </c>
      <c r="D1469">
        <v>3</v>
      </c>
      <c r="E1469">
        <v>9</v>
      </c>
    </row>
    <row r="1470" spans="1:8" x14ac:dyDescent="0.35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</row>
    <row r="1471" spans="1:8" x14ac:dyDescent="0.35">
      <c r="A1471" t="s">
        <v>1490</v>
      </c>
      <c r="B1471" t="s">
        <v>9</v>
      </c>
      <c r="C1471">
        <v>5</v>
      </c>
      <c r="D1471">
        <v>2</v>
      </c>
      <c r="E1471">
        <v>10</v>
      </c>
      <c r="F1471" t="s">
        <v>21</v>
      </c>
      <c r="G1471" t="s">
        <v>11</v>
      </c>
      <c r="H1471" s="1">
        <v>45258</v>
      </c>
    </row>
    <row r="1472" spans="1:8" x14ac:dyDescent="0.35">
      <c r="A1472" t="s">
        <v>1491</v>
      </c>
      <c r="B1472" t="s">
        <v>63</v>
      </c>
      <c r="C1472">
        <v>5</v>
      </c>
      <c r="D1472">
        <v>1.5</v>
      </c>
      <c r="E1472">
        <v>7.5</v>
      </c>
      <c r="F1472" t="s">
        <v>14</v>
      </c>
      <c r="H1472" s="1">
        <v>45136</v>
      </c>
    </row>
    <row r="1473" spans="1:8" x14ac:dyDescent="0.35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H1474" s="1">
        <v>45010</v>
      </c>
    </row>
    <row r="1475" spans="1:8" x14ac:dyDescent="0.35">
      <c r="A1475" t="s">
        <v>1494</v>
      </c>
      <c r="B1475" t="s">
        <v>63</v>
      </c>
      <c r="C1475">
        <v>1</v>
      </c>
      <c r="D1475">
        <v>1.5</v>
      </c>
      <c r="E1475">
        <v>1.5</v>
      </c>
      <c r="G1475" t="s">
        <v>15</v>
      </c>
    </row>
    <row r="1476" spans="1:8" x14ac:dyDescent="0.35">
      <c r="A1476" t="s">
        <v>1495</v>
      </c>
      <c r="B1476" t="s">
        <v>13</v>
      </c>
      <c r="C1476">
        <v>3</v>
      </c>
      <c r="D1476">
        <v>3</v>
      </c>
      <c r="E1476">
        <v>9</v>
      </c>
      <c r="H1476" s="1">
        <v>45008</v>
      </c>
    </row>
    <row r="1477" spans="1:8" x14ac:dyDescent="0.35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H1480" s="1">
        <v>45282</v>
      </c>
    </row>
    <row r="1481" spans="1:8" x14ac:dyDescent="0.35">
      <c r="A1481" t="s">
        <v>1500</v>
      </c>
      <c r="B1481" t="s">
        <v>19</v>
      </c>
      <c r="C1481">
        <v>5</v>
      </c>
      <c r="D1481">
        <v>5</v>
      </c>
      <c r="E1481">
        <v>25</v>
      </c>
      <c r="F1481" t="s">
        <v>14</v>
      </c>
      <c r="H1481" s="1">
        <v>45031</v>
      </c>
    </row>
    <row r="1482" spans="1:8" x14ac:dyDescent="0.35">
      <c r="A1482" t="s">
        <v>1501</v>
      </c>
      <c r="B1482" t="s">
        <v>13</v>
      </c>
      <c r="C1482">
        <v>1</v>
      </c>
      <c r="D1482">
        <v>3</v>
      </c>
      <c r="E1482">
        <v>3</v>
      </c>
      <c r="G1482" t="s">
        <v>15</v>
      </c>
      <c r="H1482" s="1">
        <v>45125</v>
      </c>
    </row>
    <row r="1483" spans="1:8" x14ac:dyDescent="0.35">
      <c r="A1483" t="s">
        <v>1502</v>
      </c>
      <c r="C1483">
        <v>5</v>
      </c>
      <c r="D1483">
        <v>1</v>
      </c>
      <c r="E1483">
        <v>5</v>
      </c>
      <c r="H1483" s="1">
        <v>45194</v>
      </c>
    </row>
    <row r="1484" spans="1:8" x14ac:dyDescent="0.35">
      <c r="A1484" t="s">
        <v>1503</v>
      </c>
      <c r="B1484" t="s">
        <v>23</v>
      </c>
      <c r="C1484">
        <v>4</v>
      </c>
      <c r="D1484">
        <v>4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</row>
    <row r="1487" spans="1:8" x14ac:dyDescent="0.35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1507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</row>
    <row r="1490" spans="1:8" x14ac:dyDescent="0.35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H1491" s="1">
        <v>45179</v>
      </c>
    </row>
    <row r="1492" spans="1:8" x14ac:dyDescent="0.35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H1493" s="1">
        <v>45084</v>
      </c>
    </row>
    <row r="1494" spans="1:8" x14ac:dyDescent="0.35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1515</v>
      </c>
      <c r="B1496" t="s">
        <v>9</v>
      </c>
      <c r="C1496">
        <v>4</v>
      </c>
      <c r="D1496">
        <v>2</v>
      </c>
      <c r="E1496">
        <v>8</v>
      </c>
      <c r="H1496" s="1">
        <v>45281</v>
      </c>
    </row>
    <row r="1497" spans="1:8" x14ac:dyDescent="0.35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H1498" s="1">
        <v>45232</v>
      </c>
    </row>
    <row r="1499" spans="1:8" x14ac:dyDescent="0.35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</row>
    <row r="1500" spans="1:8" x14ac:dyDescent="0.35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</row>
    <row r="1501" spans="1:8" x14ac:dyDescent="0.35">
      <c r="A1501" t="s">
        <v>1520</v>
      </c>
      <c r="B1501" t="s">
        <v>37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1521</v>
      </c>
      <c r="B1502" t="s">
        <v>37</v>
      </c>
      <c r="C1502">
        <v>3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</row>
    <row r="1505" spans="1:8" x14ac:dyDescent="0.35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H1507" s="1">
        <v>45018</v>
      </c>
    </row>
    <row r="1508" spans="1:8" x14ac:dyDescent="0.35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1528</v>
      </c>
      <c r="B1509" t="s">
        <v>9</v>
      </c>
      <c r="C1509">
        <v>3</v>
      </c>
      <c r="D1509">
        <v>2</v>
      </c>
      <c r="E1509">
        <v>6</v>
      </c>
      <c r="H1509" s="1">
        <v>45143</v>
      </c>
    </row>
    <row r="1510" spans="1:8" x14ac:dyDescent="0.35">
      <c r="A1510" t="s">
        <v>1529</v>
      </c>
      <c r="C1510">
        <v>1</v>
      </c>
      <c r="D1510">
        <v>1</v>
      </c>
      <c r="E1510">
        <v>1</v>
      </c>
      <c r="F1510" t="s">
        <v>14</v>
      </c>
      <c r="H1510" s="1">
        <v>44989</v>
      </c>
    </row>
    <row r="1511" spans="1:8" x14ac:dyDescent="0.35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</row>
    <row r="1512" spans="1:8" x14ac:dyDescent="0.35">
      <c r="A1512" t="s">
        <v>1531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1534</v>
      </c>
      <c r="C1515">
        <v>5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H1516" s="1">
        <v>44978</v>
      </c>
    </row>
    <row r="1517" spans="1:8" x14ac:dyDescent="0.35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1537</v>
      </c>
      <c r="B1518" t="s">
        <v>23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1539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1540</v>
      </c>
      <c r="B1521" t="s">
        <v>13</v>
      </c>
      <c r="C1521">
        <v>5</v>
      </c>
      <c r="D1521">
        <v>3</v>
      </c>
      <c r="E1521">
        <v>15</v>
      </c>
      <c r="G1521" t="s">
        <v>15</v>
      </c>
      <c r="H1521" s="1">
        <v>45200</v>
      </c>
    </row>
    <row r="1522" spans="1:8" x14ac:dyDescent="0.35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1543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</row>
    <row r="1525" spans="1:8" x14ac:dyDescent="0.35">
      <c r="A1525" t="s">
        <v>1544</v>
      </c>
      <c r="B1525" t="s">
        <v>63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</row>
    <row r="1531" spans="1:8" x14ac:dyDescent="0.35">
      <c r="A1531" t="s">
        <v>1550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1551</v>
      </c>
      <c r="B1532" t="s">
        <v>19</v>
      </c>
      <c r="C1532">
        <v>1</v>
      </c>
      <c r="D1532">
        <v>5</v>
      </c>
      <c r="E1532">
        <v>5</v>
      </c>
      <c r="G1532" t="s">
        <v>11</v>
      </c>
      <c r="H1532" s="1">
        <v>45043</v>
      </c>
    </row>
    <row r="1533" spans="1:8" x14ac:dyDescent="0.35">
      <c r="A1533" t="s">
        <v>1552</v>
      </c>
      <c r="B1533" t="s">
        <v>19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1553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H1535" s="1">
        <v>44968</v>
      </c>
    </row>
    <row r="1536" spans="1:8" x14ac:dyDescent="0.35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</row>
    <row r="1537" spans="1:8" x14ac:dyDescent="0.35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</row>
    <row r="1540" spans="1:8" x14ac:dyDescent="0.35">
      <c r="A1540" t="s">
        <v>1559</v>
      </c>
      <c r="B1540" t="s">
        <v>37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1561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</row>
    <row r="1544" spans="1:8" x14ac:dyDescent="0.35">
      <c r="A1544" t="s">
        <v>1563</v>
      </c>
      <c r="B1544" t="s">
        <v>19</v>
      </c>
      <c r="C1544">
        <v>5</v>
      </c>
      <c r="D1544">
        <v>5</v>
      </c>
      <c r="E1544">
        <v>25</v>
      </c>
      <c r="H1544" s="1">
        <v>45023</v>
      </c>
    </row>
    <row r="1545" spans="1:8" x14ac:dyDescent="0.35">
      <c r="A1545" t="s">
        <v>1564</v>
      </c>
      <c r="B1545" t="s">
        <v>19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</row>
    <row r="1547" spans="1:8" x14ac:dyDescent="0.35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1567</v>
      </c>
      <c r="B1548" t="s">
        <v>63</v>
      </c>
      <c r="C1548">
        <v>2</v>
      </c>
      <c r="D1548">
        <v>1.5</v>
      </c>
      <c r="E1548">
        <v>3</v>
      </c>
      <c r="G1548" t="s">
        <v>15</v>
      </c>
      <c r="H1548" s="1">
        <v>45234</v>
      </c>
    </row>
    <row r="1549" spans="1:8" x14ac:dyDescent="0.35">
      <c r="A1549" t="s">
        <v>1568</v>
      </c>
      <c r="B1549" t="s">
        <v>17</v>
      </c>
      <c r="C1549">
        <v>3</v>
      </c>
      <c r="D1549">
        <v>1</v>
      </c>
      <c r="E1549">
        <v>3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1571</v>
      </c>
      <c r="B1552" t="s">
        <v>63</v>
      </c>
      <c r="C1552">
        <v>1</v>
      </c>
      <c r="D1552">
        <v>1.5</v>
      </c>
      <c r="E1552">
        <v>1.5</v>
      </c>
      <c r="F1552" t="s">
        <v>14</v>
      </c>
      <c r="H1552" s="1">
        <v>44970</v>
      </c>
    </row>
    <row r="1553" spans="1:8" x14ac:dyDescent="0.35">
      <c r="A1553" t="s">
        <v>1572</v>
      </c>
      <c r="C1553">
        <v>1</v>
      </c>
      <c r="D1553">
        <v>2</v>
      </c>
      <c r="E1553">
        <v>2</v>
      </c>
      <c r="F1553" t="s">
        <v>21</v>
      </c>
    </row>
    <row r="1554" spans="1:8" x14ac:dyDescent="0.35">
      <c r="A1554" t="s">
        <v>1573</v>
      </c>
      <c r="B1554" t="s">
        <v>23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1575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H1557" s="1">
        <v>45236</v>
      </c>
    </row>
    <row r="1558" spans="1:8" x14ac:dyDescent="0.35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</row>
    <row r="1559" spans="1:8" x14ac:dyDescent="0.35">
      <c r="A1559" t="s">
        <v>1578</v>
      </c>
      <c r="B1559" t="s">
        <v>37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H1560" s="1">
        <v>45229</v>
      </c>
    </row>
    <row r="1561" spans="1:8" x14ac:dyDescent="0.35">
      <c r="A1561" t="s">
        <v>1580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1581</v>
      </c>
      <c r="B1562" t="s">
        <v>19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H1563" s="1">
        <v>44972</v>
      </c>
    </row>
    <row r="1564" spans="1:8" x14ac:dyDescent="0.35">
      <c r="A1564" t="s">
        <v>1583</v>
      </c>
      <c r="B1564" t="s">
        <v>19</v>
      </c>
      <c r="C1564">
        <v>5</v>
      </c>
      <c r="D1564">
        <v>5</v>
      </c>
      <c r="E1564">
        <v>25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1584</v>
      </c>
      <c r="B1565" t="s">
        <v>19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1585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H1567" s="1">
        <v>45099</v>
      </c>
    </row>
    <row r="1568" spans="1:8" x14ac:dyDescent="0.35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</row>
    <row r="1569" spans="1:8" x14ac:dyDescent="0.35">
      <c r="A1569" t="s">
        <v>1588</v>
      </c>
      <c r="B1569" t="s">
        <v>26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1589</v>
      </c>
      <c r="B1570" t="s">
        <v>26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1590</v>
      </c>
      <c r="B1571" t="s">
        <v>26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H1572" s="1">
        <v>45225</v>
      </c>
    </row>
    <row r="1573" spans="1:8" x14ac:dyDescent="0.35">
      <c r="A1573" t="s">
        <v>1592</v>
      </c>
      <c r="C1573">
        <v>2</v>
      </c>
      <c r="D1573">
        <v>1.5</v>
      </c>
      <c r="E1573">
        <v>3</v>
      </c>
      <c r="H1573" s="1">
        <v>45103</v>
      </c>
    </row>
    <row r="1574" spans="1:8" x14ac:dyDescent="0.35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1594</v>
      </c>
      <c r="B1575" t="s">
        <v>23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1595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1597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1598</v>
      </c>
      <c r="B1579" t="s">
        <v>9</v>
      </c>
      <c r="C1579">
        <v>1</v>
      </c>
      <c r="D1579">
        <v>2</v>
      </c>
      <c r="E1579">
        <v>2</v>
      </c>
      <c r="G1579" t="s">
        <v>15</v>
      </c>
      <c r="H1579" s="1">
        <v>45159</v>
      </c>
    </row>
    <row r="1580" spans="1:8" x14ac:dyDescent="0.35">
      <c r="A1580" t="s">
        <v>1599</v>
      </c>
      <c r="B1580" t="s">
        <v>63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1601</v>
      </c>
      <c r="B1582" t="s">
        <v>9</v>
      </c>
      <c r="C1582">
        <v>4</v>
      </c>
      <c r="D1582">
        <v>2</v>
      </c>
      <c r="E1582">
        <v>8</v>
      </c>
      <c r="H1582" s="1">
        <v>44931</v>
      </c>
    </row>
    <row r="1583" spans="1:8" x14ac:dyDescent="0.35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1603</v>
      </c>
      <c r="B1584" t="s">
        <v>26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1604</v>
      </c>
      <c r="B1585" t="s">
        <v>13</v>
      </c>
      <c r="C1585">
        <v>2</v>
      </c>
      <c r="D1585">
        <v>3</v>
      </c>
      <c r="E1585">
        <v>6</v>
      </c>
    </row>
    <row r="1586" spans="1:8" x14ac:dyDescent="0.35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1606</v>
      </c>
      <c r="B1587" t="s">
        <v>9</v>
      </c>
      <c r="C1587">
        <v>5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1608</v>
      </c>
      <c r="B1589" t="s">
        <v>26</v>
      </c>
      <c r="C1589">
        <v>4</v>
      </c>
      <c r="D1589">
        <v>4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1610</v>
      </c>
      <c r="C1591">
        <v>5</v>
      </c>
      <c r="D1591">
        <v>2</v>
      </c>
      <c r="E1591">
        <v>10</v>
      </c>
      <c r="H1591" s="1">
        <v>45285</v>
      </c>
    </row>
    <row r="1592" spans="1:8" x14ac:dyDescent="0.35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1612</v>
      </c>
      <c r="B1593" t="s">
        <v>23</v>
      </c>
      <c r="C1593">
        <v>5</v>
      </c>
      <c r="D1593">
        <v>4</v>
      </c>
      <c r="E1593">
        <v>20</v>
      </c>
      <c r="H1593" s="1">
        <v>45068</v>
      </c>
    </row>
    <row r="1594" spans="1:8" x14ac:dyDescent="0.35">
      <c r="A1594" t="s">
        <v>1613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</row>
    <row r="1598" spans="1:8" x14ac:dyDescent="0.35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</row>
    <row r="1599" spans="1:8" x14ac:dyDescent="0.35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</row>
    <row r="1600" spans="1:8" x14ac:dyDescent="0.35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1621</v>
      </c>
      <c r="B1602" t="s">
        <v>37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1622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1623</v>
      </c>
      <c r="B1604" t="s">
        <v>37</v>
      </c>
      <c r="C1604">
        <v>2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1626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1627</v>
      </c>
      <c r="B1608" t="s">
        <v>23</v>
      </c>
      <c r="C1608">
        <v>3</v>
      </c>
      <c r="D1608">
        <v>4</v>
      </c>
      <c r="E1608">
        <v>12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</row>
    <row r="1614" spans="1:8" x14ac:dyDescent="0.35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1634</v>
      </c>
      <c r="B1615" t="s">
        <v>9</v>
      </c>
      <c r="C1615">
        <v>2</v>
      </c>
      <c r="D1615">
        <v>2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1635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1636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</row>
    <row r="1620" spans="1:8" x14ac:dyDescent="0.35">
      <c r="A1620" t="s">
        <v>1639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1640</v>
      </c>
      <c r="B1621" t="s">
        <v>23</v>
      </c>
      <c r="C1621">
        <v>5</v>
      </c>
      <c r="D1621">
        <v>4</v>
      </c>
      <c r="E1621">
        <v>20</v>
      </c>
      <c r="F1621" t="s">
        <v>10</v>
      </c>
      <c r="G1621" t="s">
        <v>11</v>
      </c>
    </row>
    <row r="1622" spans="1:8" x14ac:dyDescent="0.35">
      <c r="A1622" t="s">
        <v>1641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1643</v>
      </c>
      <c r="B1624" t="s">
        <v>19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1646</v>
      </c>
      <c r="B1627" t="s">
        <v>63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</row>
    <row r="1629" spans="1:8" x14ac:dyDescent="0.35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H1629" s="1">
        <v>45269</v>
      </c>
    </row>
    <row r="1630" spans="1:8" x14ac:dyDescent="0.35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1650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H1632" s="1">
        <v>45022</v>
      </c>
    </row>
    <row r="1633" spans="1:8" x14ac:dyDescent="0.35">
      <c r="A1633" t="s">
        <v>1652</v>
      </c>
      <c r="B1633" t="s">
        <v>23</v>
      </c>
      <c r="C1633">
        <v>5</v>
      </c>
      <c r="D1633">
        <v>4</v>
      </c>
      <c r="E1633">
        <v>20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1654</v>
      </c>
      <c r="B1635" t="s">
        <v>19</v>
      </c>
      <c r="C1635">
        <v>5</v>
      </c>
      <c r="D1635">
        <v>5</v>
      </c>
      <c r="E1635">
        <v>25</v>
      </c>
      <c r="H1635" s="1">
        <v>44946</v>
      </c>
    </row>
    <row r="1636" spans="1:8" x14ac:dyDescent="0.35">
      <c r="A1636" t="s">
        <v>1655</v>
      </c>
      <c r="B1636" t="s">
        <v>19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1659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</row>
    <row r="1641" spans="1:8" x14ac:dyDescent="0.35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</row>
    <row r="1642" spans="1:8" x14ac:dyDescent="0.35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1662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1667</v>
      </c>
      <c r="B1648" t="s">
        <v>9</v>
      </c>
      <c r="C1648">
        <v>1</v>
      </c>
      <c r="D1648">
        <v>2</v>
      </c>
      <c r="E1648">
        <v>2</v>
      </c>
      <c r="G1648" t="s">
        <v>11</v>
      </c>
      <c r="H1648" s="1">
        <v>44942</v>
      </c>
    </row>
    <row r="1649" spans="1:8" x14ac:dyDescent="0.35">
      <c r="A1649" t="s">
        <v>1668</v>
      </c>
      <c r="B1649" t="s">
        <v>13</v>
      </c>
      <c r="C1649">
        <v>5</v>
      </c>
      <c r="D1649">
        <v>3</v>
      </c>
      <c r="E1649">
        <v>15</v>
      </c>
      <c r="G1649" t="s">
        <v>11</v>
      </c>
      <c r="H1649" s="1">
        <v>45175</v>
      </c>
    </row>
    <row r="1650" spans="1:8" x14ac:dyDescent="0.35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</row>
    <row r="1652" spans="1:8" x14ac:dyDescent="0.35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</row>
    <row r="1653" spans="1:8" x14ac:dyDescent="0.35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1673</v>
      </c>
      <c r="B1654" t="s">
        <v>26</v>
      </c>
      <c r="C1654">
        <v>2</v>
      </c>
      <c r="D1654">
        <v>4</v>
      </c>
      <c r="E1654">
        <v>8</v>
      </c>
      <c r="G1654" t="s">
        <v>11</v>
      </c>
      <c r="H1654" s="1">
        <v>45223</v>
      </c>
    </row>
    <row r="1655" spans="1:8" x14ac:dyDescent="0.35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H1655" s="1">
        <v>44955</v>
      </c>
    </row>
    <row r="1656" spans="1:8" x14ac:dyDescent="0.35">
      <c r="A1656" t="s">
        <v>1675</v>
      </c>
      <c r="B1656" t="s">
        <v>13</v>
      </c>
      <c r="C1656">
        <v>4</v>
      </c>
      <c r="D1656">
        <v>3</v>
      </c>
      <c r="E1656">
        <v>12</v>
      </c>
      <c r="G1656" t="s">
        <v>11</v>
      </c>
      <c r="H1656" s="1">
        <v>45137</v>
      </c>
    </row>
    <row r="1657" spans="1:8" x14ac:dyDescent="0.35">
      <c r="A1657" t="s">
        <v>1676</v>
      </c>
      <c r="B1657" t="s">
        <v>63</v>
      </c>
      <c r="C1657">
        <v>2</v>
      </c>
      <c r="D1657">
        <v>1.5</v>
      </c>
      <c r="E1657">
        <v>3</v>
      </c>
      <c r="F1657" t="s">
        <v>14</v>
      </c>
      <c r="H1657" s="1">
        <v>45094</v>
      </c>
    </row>
    <row r="1658" spans="1:8" x14ac:dyDescent="0.35">
      <c r="A1658" t="s">
        <v>1677</v>
      </c>
      <c r="B1658" t="s">
        <v>26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</row>
    <row r="1660" spans="1:8" x14ac:dyDescent="0.35">
      <c r="A1660" t="s">
        <v>1679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H1661" s="1">
        <v>44961</v>
      </c>
    </row>
    <row r="1662" spans="1:8" x14ac:dyDescent="0.35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H1664" s="1">
        <v>45203</v>
      </c>
    </row>
    <row r="1665" spans="1:8" x14ac:dyDescent="0.35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</row>
    <row r="1666" spans="1:8" x14ac:dyDescent="0.35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</row>
    <row r="1667" spans="1:8" x14ac:dyDescent="0.35">
      <c r="A1667" t="s">
        <v>1686</v>
      </c>
      <c r="B1667" t="s">
        <v>23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1687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1692</v>
      </c>
      <c r="B1673" t="s">
        <v>17</v>
      </c>
      <c r="C1673">
        <v>3</v>
      </c>
      <c r="D1673">
        <v>1</v>
      </c>
      <c r="E1673">
        <v>3</v>
      </c>
      <c r="H1673" s="1">
        <v>45220</v>
      </c>
    </row>
    <row r="1674" spans="1:8" x14ac:dyDescent="0.35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H1674" s="1">
        <v>45201</v>
      </c>
    </row>
    <row r="1675" spans="1:8" x14ac:dyDescent="0.35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H1675" s="1">
        <v>45093</v>
      </c>
    </row>
    <row r="1676" spans="1:8" x14ac:dyDescent="0.35">
      <c r="A1676" t="s">
        <v>1695</v>
      </c>
      <c r="B1676" t="s">
        <v>63</v>
      </c>
      <c r="C1676">
        <v>2</v>
      </c>
      <c r="D1676">
        <v>1.5</v>
      </c>
      <c r="E1676">
        <v>3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1696</v>
      </c>
      <c r="B1677" t="s">
        <v>19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</row>
    <row r="1679" spans="1:8" x14ac:dyDescent="0.35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</row>
    <row r="1680" spans="1:8" x14ac:dyDescent="0.35">
      <c r="A1680" t="s">
        <v>1699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</row>
    <row r="1683" spans="1:8" x14ac:dyDescent="0.35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</row>
    <row r="1685" spans="1:8" x14ac:dyDescent="0.35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</row>
    <row r="1689" spans="1:8" x14ac:dyDescent="0.35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H1689" s="1">
        <v>45170</v>
      </c>
    </row>
    <row r="1690" spans="1:8" x14ac:dyDescent="0.35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</row>
    <row r="1691" spans="1:8" x14ac:dyDescent="0.35">
      <c r="A1691" t="s">
        <v>1710</v>
      </c>
      <c r="B1691" t="s">
        <v>37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</row>
    <row r="1693" spans="1:8" x14ac:dyDescent="0.35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1713</v>
      </c>
      <c r="C1694">
        <v>3</v>
      </c>
      <c r="D1694">
        <v>2</v>
      </c>
      <c r="E1694">
        <v>6</v>
      </c>
      <c r="F1694" t="s">
        <v>21</v>
      </c>
      <c r="G1694" t="s">
        <v>11</v>
      </c>
      <c r="H1694" s="1">
        <v>45177</v>
      </c>
    </row>
    <row r="1695" spans="1:8" x14ac:dyDescent="0.35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1715</v>
      </c>
      <c r="B1696" t="s">
        <v>9</v>
      </c>
      <c r="C1696">
        <v>5</v>
      </c>
      <c r="D1696">
        <v>2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H1697" s="1">
        <v>45162</v>
      </c>
    </row>
    <row r="1698" spans="1:8" x14ac:dyDescent="0.35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1718</v>
      </c>
      <c r="B1699" t="s">
        <v>19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1719</v>
      </c>
      <c r="B1700" t="s">
        <v>26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1720</v>
      </c>
      <c r="B1701" t="s">
        <v>13</v>
      </c>
      <c r="C1701">
        <v>1</v>
      </c>
      <c r="D1701">
        <v>3</v>
      </c>
      <c r="E1701">
        <v>3</v>
      </c>
      <c r="G1701" t="s">
        <v>15</v>
      </c>
      <c r="H1701" s="1">
        <v>45289</v>
      </c>
    </row>
    <row r="1702" spans="1:8" x14ac:dyDescent="0.35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</row>
    <row r="1703" spans="1:8" x14ac:dyDescent="0.35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H1704" s="1">
        <v>45206</v>
      </c>
    </row>
    <row r="1705" spans="1:8" x14ac:dyDescent="0.35">
      <c r="A1705" t="s">
        <v>1724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1725</v>
      </c>
      <c r="B1706" t="s">
        <v>37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1727</v>
      </c>
      <c r="B1708" t="s">
        <v>19</v>
      </c>
      <c r="C1708">
        <v>2</v>
      </c>
      <c r="D1708">
        <v>5</v>
      </c>
      <c r="E1708">
        <v>10</v>
      </c>
      <c r="H1708" s="1">
        <v>45065</v>
      </c>
    </row>
    <row r="1709" spans="1:8" x14ac:dyDescent="0.35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</row>
    <row r="1712" spans="1:8" x14ac:dyDescent="0.35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</row>
    <row r="1714" spans="1:8" x14ac:dyDescent="0.35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H1714" s="1">
        <v>45036</v>
      </c>
    </row>
    <row r="1715" spans="1:8" x14ac:dyDescent="0.35">
      <c r="A1715" t="s">
        <v>1734</v>
      </c>
      <c r="B1715" t="s">
        <v>26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1735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1736</v>
      </c>
      <c r="B1717" t="s">
        <v>26</v>
      </c>
      <c r="C1717">
        <v>5</v>
      </c>
      <c r="D1717">
        <v>4</v>
      </c>
      <c r="E1717">
        <v>20</v>
      </c>
      <c r="H1717" s="1">
        <v>45210</v>
      </c>
    </row>
    <row r="1718" spans="1:8" x14ac:dyDescent="0.35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1739</v>
      </c>
      <c r="B1720" t="s">
        <v>37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1740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1741</v>
      </c>
      <c r="B1722" t="s">
        <v>13</v>
      </c>
      <c r="C1722">
        <v>5</v>
      </c>
      <c r="D1722">
        <v>3</v>
      </c>
      <c r="E1722">
        <v>15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1743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1744</v>
      </c>
      <c r="B1725" t="s">
        <v>23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1746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H1731" s="1">
        <v>45094</v>
      </c>
    </row>
    <row r="1732" spans="1:8" x14ac:dyDescent="0.35">
      <c r="A1732" t="s">
        <v>1751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1753</v>
      </c>
      <c r="B1734" t="s">
        <v>13</v>
      </c>
      <c r="C1734">
        <v>3</v>
      </c>
      <c r="D1734">
        <v>3</v>
      </c>
      <c r="E1734">
        <v>9</v>
      </c>
      <c r="G1734" t="s">
        <v>11</v>
      </c>
      <c r="H1734" s="1">
        <v>45251</v>
      </c>
    </row>
    <row r="1735" spans="1:8" x14ac:dyDescent="0.35">
      <c r="A1735" t="s">
        <v>1754</v>
      </c>
      <c r="C1735">
        <v>2</v>
      </c>
      <c r="D1735">
        <v>1.5</v>
      </c>
      <c r="E1735">
        <v>3</v>
      </c>
      <c r="F1735" t="s">
        <v>21</v>
      </c>
      <c r="H1735" s="1">
        <v>45290</v>
      </c>
    </row>
    <row r="1736" spans="1:8" x14ac:dyDescent="0.35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H1736" s="1">
        <v>45077</v>
      </c>
    </row>
    <row r="1737" spans="1:8" x14ac:dyDescent="0.35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1758</v>
      </c>
      <c r="B1739" t="s">
        <v>23</v>
      </c>
      <c r="C1739">
        <v>1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1759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1760</v>
      </c>
      <c r="B1741" t="s">
        <v>23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1762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H1746" s="1">
        <v>45161</v>
      </c>
    </row>
    <row r="1747" spans="1:8" x14ac:dyDescent="0.35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</row>
    <row r="1748" spans="1:8" x14ac:dyDescent="0.35">
      <c r="A1748" t="s">
        <v>1767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1769</v>
      </c>
      <c r="B1750" t="s">
        <v>26</v>
      </c>
      <c r="C1750">
        <v>5</v>
      </c>
      <c r="D1750">
        <v>4</v>
      </c>
      <c r="E1750">
        <v>20</v>
      </c>
      <c r="F1750" t="s">
        <v>21</v>
      </c>
      <c r="G1750" t="s">
        <v>15</v>
      </c>
      <c r="H1750" s="1">
        <v>45199</v>
      </c>
    </row>
    <row r="1751" spans="1:8" x14ac:dyDescent="0.35">
      <c r="A1751" t="s">
        <v>1770</v>
      </c>
      <c r="B1751" t="s">
        <v>63</v>
      </c>
      <c r="C1751">
        <v>2</v>
      </c>
      <c r="D1751">
        <v>1.5</v>
      </c>
      <c r="E1751">
        <v>3</v>
      </c>
      <c r="F1751" t="s">
        <v>21</v>
      </c>
      <c r="G1751" t="s">
        <v>11</v>
      </c>
      <c r="H1751" s="1">
        <v>45252</v>
      </c>
    </row>
    <row r="1752" spans="1:8" x14ac:dyDescent="0.35">
      <c r="A1752" t="s">
        <v>1771</v>
      </c>
      <c r="B1752" t="s">
        <v>37</v>
      </c>
      <c r="C1752">
        <v>1</v>
      </c>
      <c r="D1752">
        <v>3</v>
      </c>
      <c r="E1752">
        <v>3</v>
      </c>
      <c r="H1752" s="1">
        <v>44951</v>
      </c>
    </row>
    <row r="1753" spans="1:8" x14ac:dyDescent="0.35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1774</v>
      </c>
      <c r="C1755">
        <v>4</v>
      </c>
      <c r="D1755">
        <v>1</v>
      </c>
      <c r="E1755">
        <v>4</v>
      </c>
      <c r="F1755" t="s">
        <v>21</v>
      </c>
      <c r="G1755" t="s">
        <v>11</v>
      </c>
      <c r="H1755" s="1">
        <v>44948</v>
      </c>
    </row>
    <row r="1756" spans="1:8" x14ac:dyDescent="0.35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</row>
    <row r="1757" spans="1:8" x14ac:dyDescent="0.35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1777</v>
      </c>
      <c r="B1758" t="s">
        <v>13</v>
      </c>
      <c r="C1758">
        <v>1</v>
      </c>
      <c r="D1758">
        <v>3</v>
      </c>
      <c r="E1758">
        <v>3</v>
      </c>
      <c r="F1758" t="s">
        <v>21</v>
      </c>
      <c r="H1758" s="1">
        <v>44965</v>
      </c>
    </row>
    <row r="1759" spans="1:8" x14ac:dyDescent="0.35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H1760" s="1">
        <v>45048</v>
      </c>
    </row>
    <row r="1761" spans="1:8" x14ac:dyDescent="0.35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1781</v>
      </c>
      <c r="B1762" t="s">
        <v>37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1782</v>
      </c>
      <c r="C1763">
        <v>4</v>
      </c>
      <c r="F1763" t="s">
        <v>10</v>
      </c>
      <c r="H1763" s="1">
        <v>44966</v>
      </c>
    </row>
    <row r="1764" spans="1:8" x14ac:dyDescent="0.35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H1765" s="1">
        <v>44949</v>
      </c>
    </row>
    <row r="1766" spans="1:8" x14ac:dyDescent="0.35">
      <c r="A1766" t="s">
        <v>1785</v>
      </c>
      <c r="B1766" t="s">
        <v>37</v>
      </c>
      <c r="C1766">
        <v>4</v>
      </c>
      <c r="D1766">
        <v>3</v>
      </c>
      <c r="E1766">
        <v>12</v>
      </c>
      <c r="H1766" s="1">
        <v>45042</v>
      </c>
    </row>
    <row r="1767" spans="1:8" x14ac:dyDescent="0.35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1787</v>
      </c>
      <c r="B1768" t="s">
        <v>26</v>
      </c>
      <c r="C1768">
        <v>5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</row>
    <row r="1771" spans="1:8" x14ac:dyDescent="0.35">
      <c r="A1771" t="s">
        <v>1790</v>
      </c>
      <c r="C1771">
        <v>2</v>
      </c>
      <c r="D1771">
        <v>1.5</v>
      </c>
      <c r="E1771">
        <v>3</v>
      </c>
      <c r="F1771" t="s">
        <v>14</v>
      </c>
      <c r="H1771" s="1">
        <v>45050</v>
      </c>
    </row>
    <row r="1772" spans="1:8" x14ac:dyDescent="0.35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</row>
    <row r="1774" spans="1:8" x14ac:dyDescent="0.35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H1774" s="1">
        <v>45030</v>
      </c>
    </row>
    <row r="1775" spans="1:8" x14ac:dyDescent="0.35">
      <c r="A1775" t="s">
        <v>1794</v>
      </c>
      <c r="B1775" t="s">
        <v>17</v>
      </c>
      <c r="C1775">
        <v>2</v>
      </c>
      <c r="D1775">
        <v>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1795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1796</v>
      </c>
      <c r="B1777" t="s">
        <v>63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1797</v>
      </c>
      <c r="B1778" t="s">
        <v>37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</row>
    <row r="1780" spans="1:8" x14ac:dyDescent="0.35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H1780" s="1">
        <v>45089</v>
      </c>
    </row>
    <row r="1781" spans="1:8" x14ac:dyDescent="0.35">
      <c r="A1781" t="s">
        <v>1800</v>
      </c>
      <c r="B1781" t="s">
        <v>9</v>
      </c>
      <c r="C1781">
        <v>5</v>
      </c>
      <c r="D1781">
        <v>2</v>
      </c>
      <c r="E1781">
        <v>10</v>
      </c>
      <c r="G1781" t="s">
        <v>11</v>
      </c>
      <c r="H1781" s="1">
        <v>44991</v>
      </c>
    </row>
    <row r="1782" spans="1:8" x14ac:dyDescent="0.35">
      <c r="A1782" t="s">
        <v>1801</v>
      </c>
      <c r="B1782" t="s">
        <v>26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1802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1803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1804</v>
      </c>
      <c r="B1785" t="s">
        <v>26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</row>
    <row r="1788" spans="1:8" x14ac:dyDescent="0.35">
      <c r="A1788" t="s">
        <v>1807</v>
      </c>
      <c r="C1788">
        <v>4</v>
      </c>
      <c r="D1788">
        <v>1.5</v>
      </c>
      <c r="E1788">
        <v>6</v>
      </c>
      <c r="H1788" s="1">
        <v>45113</v>
      </c>
    </row>
    <row r="1789" spans="1:8" x14ac:dyDescent="0.35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H1789" s="1">
        <v>45179</v>
      </c>
    </row>
    <row r="1790" spans="1:8" x14ac:dyDescent="0.35">
      <c r="A1790" t="s">
        <v>1809</v>
      </c>
      <c r="B1790" t="s">
        <v>19</v>
      </c>
      <c r="C1790">
        <v>4</v>
      </c>
      <c r="D1790">
        <v>5</v>
      </c>
      <c r="E1790">
        <v>20</v>
      </c>
      <c r="F1790" t="s">
        <v>10</v>
      </c>
      <c r="H1790" s="1">
        <v>45164</v>
      </c>
    </row>
    <row r="1791" spans="1:8" x14ac:dyDescent="0.35">
      <c r="A1791" t="s">
        <v>1810</v>
      </c>
      <c r="B1791" t="s">
        <v>9</v>
      </c>
      <c r="C1791">
        <v>2</v>
      </c>
      <c r="D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</row>
    <row r="1794" spans="1:8" x14ac:dyDescent="0.35">
      <c r="A1794" t="s">
        <v>1813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1814</v>
      </c>
      <c r="B1795" t="s">
        <v>63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1817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</row>
    <row r="1799" spans="1:8" x14ac:dyDescent="0.35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</row>
    <row r="1800" spans="1:8" x14ac:dyDescent="0.35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1820</v>
      </c>
      <c r="B1801" t="s">
        <v>19</v>
      </c>
      <c r="C1801">
        <v>5</v>
      </c>
      <c r="D1801">
        <v>5</v>
      </c>
      <c r="E1801">
        <v>25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1824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</row>
    <row r="1806" spans="1:8" x14ac:dyDescent="0.35">
      <c r="A1806" t="s">
        <v>1825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1829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H1811" s="1">
        <v>45096</v>
      </c>
    </row>
    <row r="1812" spans="1:8" x14ac:dyDescent="0.35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</row>
    <row r="1813" spans="1:8" x14ac:dyDescent="0.35">
      <c r="A1813" t="s">
        <v>1832</v>
      </c>
      <c r="B1813" t="s">
        <v>63</v>
      </c>
      <c r="C1813">
        <v>2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</row>
    <row r="1814" spans="1:8" x14ac:dyDescent="0.35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</row>
    <row r="1818" spans="1:8" x14ac:dyDescent="0.35">
      <c r="A1818" t="s">
        <v>1837</v>
      </c>
      <c r="B1818" t="s">
        <v>23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1838</v>
      </c>
      <c r="B1819" t="s">
        <v>23</v>
      </c>
      <c r="C1819">
        <v>4</v>
      </c>
      <c r="D1819">
        <v>4</v>
      </c>
      <c r="E1819">
        <v>16</v>
      </c>
      <c r="F1819" t="s">
        <v>10</v>
      </c>
      <c r="H1819" s="1">
        <v>44967</v>
      </c>
    </row>
    <row r="1820" spans="1:8" x14ac:dyDescent="0.35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</row>
    <row r="1821" spans="1:8" x14ac:dyDescent="0.35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1842</v>
      </c>
      <c r="B1823" t="s">
        <v>13</v>
      </c>
      <c r="C1823">
        <v>3</v>
      </c>
      <c r="D1823">
        <v>3</v>
      </c>
      <c r="E1823">
        <v>9</v>
      </c>
      <c r="F1823" t="s">
        <v>14</v>
      </c>
      <c r="H1823" s="1">
        <v>45263</v>
      </c>
    </row>
    <row r="1824" spans="1:8" x14ac:dyDescent="0.35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1845</v>
      </c>
      <c r="B1826" t="s">
        <v>23</v>
      </c>
      <c r="C1826">
        <v>2</v>
      </c>
      <c r="D1826">
        <v>4</v>
      </c>
      <c r="E1826">
        <v>8</v>
      </c>
      <c r="G1826" t="s">
        <v>11</v>
      </c>
    </row>
    <row r="1827" spans="1:8" x14ac:dyDescent="0.35">
      <c r="A1827" t="s">
        <v>1846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1851</v>
      </c>
      <c r="B1832" t="s">
        <v>37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</row>
    <row r="1834" spans="1:8" x14ac:dyDescent="0.35">
      <c r="A1834" t="s">
        <v>1853</v>
      </c>
      <c r="B1834" t="s">
        <v>9</v>
      </c>
      <c r="C1834">
        <v>3</v>
      </c>
      <c r="D1834">
        <v>2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1855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1856</v>
      </c>
      <c r="B1837" t="s">
        <v>37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H1838" s="1">
        <v>45022</v>
      </c>
    </row>
    <row r="1839" spans="1:8" x14ac:dyDescent="0.35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</row>
    <row r="1842" spans="1:8" x14ac:dyDescent="0.35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</row>
    <row r="1843" spans="1:8" x14ac:dyDescent="0.35">
      <c r="A1843" t="s">
        <v>1862</v>
      </c>
      <c r="B1843" t="s">
        <v>19</v>
      </c>
      <c r="C1843">
        <v>3</v>
      </c>
      <c r="D1843">
        <v>5</v>
      </c>
      <c r="E1843">
        <v>15</v>
      </c>
      <c r="G1843" t="s">
        <v>11</v>
      </c>
      <c r="H1843" s="1">
        <v>45209</v>
      </c>
    </row>
    <row r="1844" spans="1:8" x14ac:dyDescent="0.35">
      <c r="A1844" t="s">
        <v>1863</v>
      </c>
      <c r="B1844" t="s">
        <v>19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1864</v>
      </c>
      <c r="C1845">
        <v>2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H1847" s="1">
        <v>44997</v>
      </c>
    </row>
    <row r="1848" spans="1:8" x14ac:dyDescent="0.35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H1850" s="1">
        <v>44963</v>
      </c>
    </row>
    <row r="1851" spans="1:8" x14ac:dyDescent="0.35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</row>
    <row r="1853" spans="1:8" x14ac:dyDescent="0.35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H1853" s="1">
        <v>45065</v>
      </c>
    </row>
    <row r="1854" spans="1:8" x14ac:dyDescent="0.35">
      <c r="A1854" t="s">
        <v>1873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H1855" s="1">
        <v>45164</v>
      </c>
    </row>
    <row r="1856" spans="1:8" x14ac:dyDescent="0.35">
      <c r="A1856" t="s">
        <v>1875</v>
      </c>
      <c r="C1856">
        <v>1</v>
      </c>
      <c r="D1856">
        <v>5</v>
      </c>
      <c r="E1856">
        <v>5</v>
      </c>
      <c r="H1856" s="1">
        <v>45086</v>
      </c>
    </row>
    <row r="1857" spans="1:8" x14ac:dyDescent="0.35">
      <c r="A1857" t="s">
        <v>1876</v>
      </c>
      <c r="B1857" t="s">
        <v>26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1877</v>
      </c>
      <c r="B1858" t="s">
        <v>23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1878</v>
      </c>
      <c r="B1859" t="s">
        <v>19</v>
      </c>
      <c r="C1859">
        <v>1</v>
      </c>
      <c r="D1859">
        <v>5</v>
      </c>
      <c r="E1859">
        <v>5</v>
      </c>
      <c r="H1859" s="1">
        <v>45255</v>
      </c>
    </row>
    <row r="1860" spans="1:8" x14ac:dyDescent="0.35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1880</v>
      </c>
      <c r="B1861" t="s">
        <v>63</v>
      </c>
      <c r="C1861">
        <v>4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1883</v>
      </c>
      <c r="B1864" t="s">
        <v>19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H1865" s="1">
        <v>45046</v>
      </c>
    </row>
    <row r="1866" spans="1:8" x14ac:dyDescent="0.35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1888</v>
      </c>
      <c r="B1869" t="s">
        <v>17</v>
      </c>
      <c r="C1869">
        <v>5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1889</v>
      </c>
      <c r="B1870" t="s">
        <v>37</v>
      </c>
      <c r="C1870">
        <v>1</v>
      </c>
      <c r="D1870">
        <v>3</v>
      </c>
      <c r="E1870">
        <v>3</v>
      </c>
      <c r="F1870" t="s">
        <v>21</v>
      </c>
      <c r="G1870" t="s">
        <v>15</v>
      </c>
      <c r="H1870" s="1">
        <v>45195</v>
      </c>
    </row>
    <row r="1871" spans="1:8" x14ac:dyDescent="0.35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</row>
    <row r="1872" spans="1:8" x14ac:dyDescent="0.35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1892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</row>
    <row r="1875" spans="1:8" x14ac:dyDescent="0.35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</row>
    <row r="1877" spans="1:8" x14ac:dyDescent="0.35">
      <c r="A1877" t="s">
        <v>1896</v>
      </c>
      <c r="B1877" t="s">
        <v>13</v>
      </c>
      <c r="C1877">
        <v>2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</row>
    <row r="1878" spans="1:8" x14ac:dyDescent="0.35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1898</v>
      </c>
      <c r="B1879" t="s">
        <v>63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H1880" s="1">
        <v>45184</v>
      </c>
    </row>
    <row r="1881" spans="1:8" x14ac:dyDescent="0.35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</row>
    <row r="1882" spans="1:8" x14ac:dyDescent="0.35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H1883" s="1">
        <v>45038</v>
      </c>
    </row>
    <row r="1884" spans="1:8" x14ac:dyDescent="0.35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</row>
    <row r="1886" spans="1:8" x14ac:dyDescent="0.35">
      <c r="A1886" t="s">
        <v>1905</v>
      </c>
      <c r="B1886" t="s">
        <v>19</v>
      </c>
      <c r="C1886">
        <v>3</v>
      </c>
      <c r="D1886">
        <v>5</v>
      </c>
      <c r="E1886">
        <v>15</v>
      </c>
      <c r="H1886" s="1">
        <v>44966</v>
      </c>
    </row>
    <row r="1887" spans="1:8" x14ac:dyDescent="0.35">
      <c r="A1887" t="s">
        <v>1906</v>
      </c>
      <c r="B1887" t="s">
        <v>13</v>
      </c>
      <c r="C1887">
        <v>1</v>
      </c>
      <c r="D1887">
        <v>3</v>
      </c>
      <c r="E1887">
        <v>3</v>
      </c>
      <c r="G1887" t="s">
        <v>15</v>
      </c>
    </row>
    <row r="1888" spans="1:8" x14ac:dyDescent="0.35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</row>
    <row r="1889" spans="1:8" x14ac:dyDescent="0.35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1909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1910</v>
      </c>
      <c r="C1891">
        <v>5</v>
      </c>
      <c r="D1891">
        <v>3</v>
      </c>
      <c r="E1891">
        <v>15</v>
      </c>
    </row>
    <row r="1892" spans="1:8" x14ac:dyDescent="0.35">
      <c r="A1892" t="s">
        <v>1911</v>
      </c>
      <c r="C1892">
        <v>4</v>
      </c>
      <c r="D1892">
        <v>1.5</v>
      </c>
      <c r="E1892">
        <v>6</v>
      </c>
      <c r="F1892" t="s">
        <v>21</v>
      </c>
      <c r="H1892" s="1">
        <v>45019</v>
      </c>
    </row>
    <row r="1893" spans="1:8" x14ac:dyDescent="0.35">
      <c r="A1893" t="s">
        <v>1912</v>
      </c>
      <c r="B1893" t="s">
        <v>63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1913</v>
      </c>
      <c r="B1894" t="s">
        <v>37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H1895" s="1">
        <v>44967</v>
      </c>
    </row>
    <row r="1896" spans="1:8" x14ac:dyDescent="0.35">
      <c r="A1896" t="s">
        <v>1915</v>
      </c>
      <c r="B1896" t="s">
        <v>23</v>
      </c>
      <c r="C1896">
        <v>2</v>
      </c>
      <c r="D1896">
        <v>4</v>
      </c>
      <c r="E1896">
        <v>8</v>
      </c>
      <c r="G1896" t="s">
        <v>15</v>
      </c>
    </row>
    <row r="1897" spans="1:8" x14ac:dyDescent="0.35">
      <c r="A1897" t="s">
        <v>1916</v>
      </c>
      <c r="B1897" t="s">
        <v>26</v>
      </c>
      <c r="C1897">
        <v>5</v>
      </c>
      <c r="D1897">
        <v>4</v>
      </c>
      <c r="E1897">
        <v>20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1917</v>
      </c>
      <c r="B1898" t="s">
        <v>23</v>
      </c>
      <c r="C1898">
        <v>4</v>
      </c>
      <c r="D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1919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1920</v>
      </c>
      <c r="B1901" t="s">
        <v>17</v>
      </c>
      <c r="C1901">
        <v>3</v>
      </c>
      <c r="D1901">
        <v>1</v>
      </c>
      <c r="E1901">
        <v>3</v>
      </c>
      <c r="F1901" t="s">
        <v>21</v>
      </c>
      <c r="G1901" t="s">
        <v>11</v>
      </c>
      <c r="H1901" s="1">
        <v>45254</v>
      </c>
    </row>
    <row r="1902" spans="1:8" x14ac:dyDescent="0.35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1922</v>
      </c>
      <c r="B1903" t="s">
        <v>63</v>
      </c>
      <c r="C1903">
        <v>1</v>
      </c>
      <c r="D1903">
        <v>1.5</v>
      </c>
      <c r="E1903">
        <v>1.5</v>
      </c>
      <c r="G1903" t="s">
        <v>15</v>
      </c>
      <c r="H1903" s="1">
        <v>45148</v>
      </c>
    </row>
    <row r="1904" spans="1:8" x14ac:dyDescent="0.35">
      <c r="A1904" t="s">
        <v>1923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</row>
    <row r="1906" spans="1:8" x14ac:dyDescent="0.35">
      <c r="A1906" t="s">
        <v>1925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1929</v>
      </c>
      <c r="B1910" t="s">
        <v>37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H1911" s="1">
        <v>45012</v>
      </c>
    </row>
    <row r="1912" spans="1:8" x14ac:dyDescent="0.35">
      <c r="A1912" t="s">
        <v>1931</v>
      </c>
      <c r="B1912" t="s">
        <v>13</v>
      </c>
      <c r="C1912">
        <v>4</v>
      </c>
      <c r="D1912">
        <v>3</v>
      </c>
      <c r="E1912">
        <v>12</v>
      </c>
      <c r="H1912" s="1">
        <v>45269</v>
      </c>
    </row>
    <row r="1913" spans="1:8" x14ac:dyDescent="0.35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</row>
    <row r="1915" spans="1:8" x14ac:dyDescent="0.35">
      <c r="A1915" t="s">
        <v>1934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1935</v>
      </c>
      <c r="B1916" t="s">
        <v>63</v>
      </c>
      <c r="C1916">
        <v>5</v>
      </c>
      <c r="D1916">
        <v>1.5</v>
      </c>
      <c r="E1916">
        <v>7.5</v>
      </c>
    </row>
    <row r="1917" spans="1:8" x14ac:dyDescent="0.35">
      <c r="A1917" t="s">
        <v>1936</v>
      </c>
      <c r="B1917" t="s">
        <v>19</v>
      </c>
      <c r="C1917">
        <v>2</v>
      </c>
      <c r="D1917">
        <v>5</v>
      </c>
      <c r="E1917">
        <v>10</v>
      </c>
      <c r="H1917" s="1">
        <v>44932</v>
      </c>
    </row>
    <row r="1918" spans="1:8" x14ac:dyDescent="0.35">
      <c r="A1918" t="s">
        <v>1937</v>
      </c>
      <c r="B1918" t="s">
        <v>26</v>
      </c>
      <c r="C1918">
        <v>3</v>
      </c>
      <c r="D1918">
        <v>4</v>
      </c>
      <c r="E1918">
        <v>12</v>
      </c>
      <c r="F1918" t="s">
        <v>21</v>
      </c>
      <c r="H1918" s="1">
        <v>45139</v>
      </c>
    </row>
    <row r="1919" spans="1:8" x14ac:dyDescent="0.35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</row>
    <row r="1920" spans="1:8" x14ac:dyDescent="0.35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</row>
    <row r="1921" spans="1:8" x14ac:dyDescent="0.35">
      <c r="A1921" t="s">
        <v>1940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</row>
    <row r="1922" spans="1:8" x14ac:dyDescent="0.35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H1922" s="1">
        <v>45106</v>
      </c>
    </row>
    <row r="1923" spans="1:8" x14ac:dyDescent="0.35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</row>
    <row r="1927" spans="1:8" x14ac:dyDescent="0.35">
      <c r="A1927" t="s">
        <v>1946</v>
      </c>
      <c r="B1927" t="s">
        <v>23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1947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</row>
    <row r="1929" spans="1:8" x14ac:dyDescent="0.35">
      <c r="A1929" t="s">
        <v>1948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1955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1956</v>
      </c>
      <c r="B1937" t="s">
        <v>63</v>
      </c>
      <c r="C1937">
        <v>5</v>
      </c>
      <c r="D1937">
        <v>1.5</v>
      </c>
      <c r="E1937">
        <v>7.5</v>
      </c>
      <c r="H1937" s="1">
        <v>45089</v>
      </c>
    </row>
    <row r="1938" spans="1:8" x14ac:dyDescent="0.35">
      <c r="A1938" t="s">
        <v>1957</v>
      </c>
      <c r="B1938" t="s">
        <v>13</v>
      </c>
      <c r="C1938">
        <v>2</v>
      </c>
      <c r="D1938">
        <v>3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H1939" s="1">
        <v>45048</v>
      </c>
    </row>
    <row r="1940" spans="1:8" x14ac:dyDescent="0.35">
      <c r="A1940" t="s">
        <v>1959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1960</v>
      </c>
      <c r="B1941" t="s">
        <v>63</v>
      </c>
      <c r="C1941">
        <v>5</v>
      </c>
      <c r="D1941">
        <v>1.5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1961</v>
      </c>
      <c r="B1942" t="s">
        <v>26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1962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H1944" s="1">
        <v>45153</v>
      </c>
    </row>
    <row r="1945" spans="1:8" x14ac:dyDescent="0.35">
      <c r="A1945" t="s">
        <v>1964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1965</v>
      </c>
      <c r="B1946" t="s">
        <v>19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H1947" s="1">
        <v>45011</v>
      </c>
    </row>
    <row r="1948" spans="1:8" x14ac:dyDescent="0.35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1968</v>
      </c>
      <c r="B1949" t="s">
        <v>19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</row>
    <row r="1951" spans="1:8" x14ac:dyDescent="0.35">
      <c r="A1951" t="s">
        <v>1970</v>
      </c>
      <c r="B1951" t="s">
        <v>37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</row>
    <row r="1954" spans="1:8" x14ac:dyDescent="0.35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</row>
    <row r="1957" spans="1:8" x14ac:dyDescent="0.35">
      <c r="A1957" t="s">
        <v>1976</v>
      </c>
      <c r="B1957" t="s">
        <v>23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1977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</row>
    <row r="1959" spans="1:8" x14ac:dyDescent="0.35">
      <c r="A1959" t="s">
        <v>1978</v>
      </c>
      <c r="B1959" t="s">
        <v>26</v>
      </c>
      <c r="C1959">
        <v>2</v>
      </c>
      <c r="D1959">
        <v>4</v>
      </c>
      <c r="E1959">
        <v>8</v>
      </c>
      <c r="H1959" s="1">
        <v>44953</v>
      </c>
    </row>
    <row r="1960" spans="1:8" x14ac:dyDescent="0.35">
      <c r="A1960" t="s">
        <v>1979</v>
      </c>
      <c r="B1960" t="s">
        <v>37</v>
      </c>
      <c r="C1960">
        <v>4</v>
      </c>
      <c r="D1960">
        <v>3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1980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1983</v>
      </c>
      <c r="C1964">
        <v>3</v>
      </c>
      <c r="D1964">
        <v>4</v>
      </c>
      <c r="E1964">
        <v>12</v>
      </c>
      <c r="F1964" t="s">
        <v>21</v>
      </c>
      <c r="G1964" t="s">
        <v>15</v>
      </c>
      <c r="H1964" s="1">
        <v>45069</v>
      </c>
    </row>
    <row r="1965" spans="1:8" x14ac:dyDescent="0.35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H1965" s="1">
        <v>45237</v>
      </c>
    </row>
    <row r="1966" spans="1:8" x14ac:dyDescent="0.35">
      <c r="A1966" t="s">
        <v>1985</v>
      </c>
      <c r="B1966" t="s">
        <v>37</v>
      </c>
      <c r="C1966">
        <v>5</v>
      </c>
      <c r="D1966">
        <v>3</v>
      </c>
      <c r="E1966">
        <v>15</v>
      </c>
      <c r="G1966" t="s">
        <v>15</v>
      </c>
      <c r="H1966" s="1">
        <v>45017</v>
      </c>
    </row>
    <row r="1967" spans="1:8" x14ac:dyDescent="0.35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</row>
    <row r="1968" spans="1:8" x14ac:dyDescent="0.35">
      <c r="A1968" t="s">
        <v>1987</v>
      </c>
      <c r="B1968" t="s">
        <v>23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</row>
    <row r="1970" spans="1:8" x14ac:dyDescent="0.35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</row>
    <row r="1972" spans="1:8" x14ac:dyDescent="0.35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H1972" s="1">
        <v>45165</v>
      </c>
    </row>
    <row r="1973" spans="1:8" x14ac:dyDescent="0.35">
      <c r="A1973" t="s">
        <v>1992</v>
      </c>
      <c r="B1973" t="s">
        <v>63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1995</v>
      </c>
      <c r="B1976" t="s">
        <v>23</v>
      </c>
      <c r="C1976">
        <v>3</v>
      </c>
      <c r="D1976">
        <v>4</v>
      </c>
      <c r="E1976">
        <v>12</v>
      </c>
      <c r="H1976" s="1">
        <v>45036</v>
      </c>
    </row>
    <row r="1977" spans="1:8" x14ac:dyDescent="0.35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1997</v>
      </c>
      <c r="B1978" t="s">
        <v>23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H1979" s="1">
        <v>45121</v>
      </c>
    </row>
    <row r="1980" spans="1:8" x14ac:dyDescent="0.35">
      <c r="A1980" t="s">
        <v>1999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</row>
    <row r="1981" spans="1:8" x14ac:dyDescent="0.35">
      <c r="A1981" t="s">
        <v>2000</v>
      </c>
      <c r="B1981" t="s">
        <v>19</v>
      </c>
      <c r="C1981">
        <v>4</v>
      </c>
      <c r="D1981">
        <v>5</v>
      </c>
      <c r="E1981">
        <v>20</v>
      </c>
      <c r="G1981" t="s">
        <v>11</v>
      </c>
      <c r="H1981" s="1">
        <v>45096</v>
      </c>
    </row>
    <row r="1982" spans="1:8" x14ac:dyDescent="0.35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H1982" s="1">
        <v>44946</v>
      </c>
    </row>
    <row r="1983" spans="1:8" x14ac:dyDescent="0.35">
      <c r="A1983" t="s">
        <v>2002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</row>
    <row r="1985" spans="1:8" x14ac:dyDescent="0.35">
      <c r="A1985" t="s">
        <v>2004</v>
      </c>
      <c r="B1985" t="s">
        <v>13</v>
      </c>
      <c r="C1985">
        <v>2</v>
      </c>
      <c r="D1985">
        <v>3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H1986" s="1">
        <v>45151</v>
      </c>
    </row>
    <row r="1987" spans="1:8" x14ac:dyDescent="0.35">
      <c r="A1987" t="s">
        <v>2006</v>
      </c>
      <c r="B1987" t="s">
        <v>23</v>
      </c>
      <c r="C1987">
        <v>1</v>
      </c>
      <c r="D1987">
        <v>4</v>
      </c>
      <c r="E1987">
        <v>4</v>
      </c>
      <c r="G1987" t="s">
        <v>11</v>
      </c>
      <c r="H1987" s="1">
        <v>44931</v>
      </c>
    </row>
    <row r="1988" spans="1:8" x14ac:dyDescent="0.35">
      <c r="A1988" t="s">
        <v>2007</v>
      </c>
      <c r="B1988" t="s">
        <v>17</v>
      </c>
      <c r="C1988">
        <v>1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2009</v>
      </c>
      <c r="B1990" t="s">
        <v>63</v>
      </c>
      <c r="C1990">
        <v>4</v>
      </c>
      <c r="D1990">
        <v>1.5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H1991" s="1">
        <v>44985</v>
      </c>
    </row>
    <row r="1992" spans="1:8" x14ac:dyDescent="0.35">
      <c r="A1992" t="s">
        <v>2011</v>
      </c>
      <c r="B1992" t="s">
        <v>37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2012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2013</v>
      </c>
      <c r="B1994" t="s">
        <v>19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2015</v>
      </c>
      <c r="B1996" t="s">
        <v>23</v>
      </c>
      <c r="C1996">
        <v>4</v>
      </c>
      <c r="D1996">
        <v>4</v>
      </c>
      <c r="E1996">
        <v>16</v>
      </c>
      <c r="F1996" t="s">
        <v>21</v>
      </c>
      <c r="G1996" t="s">
        <v>15</v>
      </c>
      <c r="H1996" s="1">
        <v>45240</v>
      </c>
    </row>
    <row r="1997" spans="1:8" x14ac:dyDescent="0.35">
      <c r="A1997" t="s">
        <v>2016</v>
      </c>
      <c r="B1997" t="s">
        <v>37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2017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</row>
    <row r="2000" spans="1:8" x14ac:dyDescent="0.35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2020</v>
      </c>
      <c r="B2001" t="s">
        <v>19</v>
      </c>
      <c r="C2001">
        <v>3</v>
      </c>
      <c r="D2001">
        <v>5</v>
      </c>
      <c r="E2001">
        <v>15</v>
      </c>
      <c r="G2001" t="s">
        <v>11</v>
      </c>
      <c r="H2001" s="1">
        <v>45042</v>
      </c>
    </row>
    <row r="2002" spans="1:8" x14ac:dyDescent="0.35">
      <c r="A2002" t="s">
        <v>2021</v>
      </c>
      <c r="B2002" t="s">
        <v>26</v>
      </c>
      <c r="C2002">
        <v>5</v>
      </c>
      <c r="D2002">
        <v>4</v>
      </c>
      <c r="E2002">
        <v>20</v>
      </c>
    </row>
    <row r="2003" spans="1:8" x14ac:dyDescent="0.35">
      <c r="A2003" t="s">
        <v>2022</v>
      </c>
      <c r="B2003" t="s">
        <v>23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2023</v>
      </c>
      <c r="C2004">
        <v>3</v>
      </c>
      <c r="D2004">
        <v>1</v>
      </c>
      <c r="E2004">
        <v>3</v>
      </c>
      <c r="F2004" t="s">
        <v>21</v>
      </c>
      <c r="H2004" s="1">
        <v>45101</v>
      </c>
    </row>
    <row r="2005" spans="1:8" x14ac:dyDescent="0.35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</row>
    <row r="2007" spans="1:8" x14ac:dyDescent="0.35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2027</v>
      </c>
      <c r="B2008" t="s">
        <v>13</v>
      </c>
      <c r="C2008">
        <v>1</v>
      </c>
      <c r="D2008">
        <v>3</v>
      </c>
      <c r="E2008">
        <v>3</v>
      </c>
      <c r="H2008" s="1">
        <v>45033</v>
      </c>
    </row>
    <row r="2009" spans="1:8" x14ac:dyDescent="0.35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2029</v>
      </c>
      <c r="B2010" t="s">
        <v>19</v>
      </c>
      <c r="C2010">
        <v>3</v>
      </c>
      <c r="D2010">
        <v>5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2030</v>
      </c>
      <c r="B2011" t="s">
        <v>63</v>
      </c>
      <c r="C2011">
        <v>5</v>
      </c>
      <c r="D2011">
        <v>1.5</v>
      </c>
      <c r="E2011">
        <v>7.5</v>
      </c>
      <c r="H2011" s="1">
        <v>45256</v>
      </c>
    </row>
    <row r="2012" spans="1:8" x14ac:dyDescent="0.35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</row>
    <row r="2013" spans="1:8" x14ac:dyDescent="0.35">
      <c r="A2013" t="s">
        <v>2032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H2015" s="1">
        <v>45101</v>
      </c>
    </row>
    <row r="2016" spans="1:8" x14ac:dyDescent="0.35">
      <c r="A2016" t="s">
        <v>2035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2036</v>
      </c>
      <c r="C2017">
        <v>1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</row>
    <row r="2018" spans="1:8" x14ac:dyDescent="0.35">
      <c r="A2018" t="s">
        <v>2037</v>
      </c>
      <c r="C2018">
        <v>5</v>
      </c>
      <c r="D2018">
        <v>4</v>
      </c>
      <c r="E2018">
        <v>20</v>
      </c>
      <c r="F2018" t="s">
        <v>21</v>
      </c>
      <c r="H2018" s="1">
        <v>45251</v>
      </c>
    </row>
    <row r="2019" spans="1:8" x14ac:dyDescent="0.35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H2019" s="1">
        <v>45108</v>
      </c>
    </row>
    <row r="2020" spans="1:8" x14ac:dyDescent="0.35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</row>
    <row r="2021" spans="1:8" x14ac:dyDescent="0.35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H2022" s="1">
        <v>45178</v>
      </c>
    </row>
    <row r="2023" spans="1:8" x14ac:dyDescent="0.35">
      <c r="A2023" t="s">
        <v>2042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</row>
    <row r="2026" spans="1:8" x14ac:dyDescent="0.35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H2028" s="1">
        <v>45069</v>
      </c>
    </row>
    <row r="2029" spans="1:8" x14ac:dyDescent="0.35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2049</v>
      </c>
      <c r="B2030" t="s">
        <v>37</v>
      </c>
      <c r="C2030">
        <v>4</v>
      </c>
      <c r="D2030">
        <v>3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</row>
    <row r="2032" spans="1:8" x14ac:dyDescent="0.35">
      <c r="A2032" t="s">
        <v>2051</v>
      </c>
      <c r="B2032" t="s">
        <v>63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</row>
    <row r="2034" spans="1:8" x14ac:dyDescent="0.35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H2037" s="1">
        <v>45260</v>
      </c>
    </row>
    <row r="2038" spans="1:8" x14ac:dyDescent="0.35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2058</v>
      </c>
      <c r="B2039" t="s">
        <v>23</v>
      </c>
      <c r="C2039">
        <v>3</v>
      </c>
      <c r="D2039">
        <v>4</v>
      </c>
      <c r="E2039">
        <v>12</v>
      </c>
      <c r="H2039" s="1">
        <v>45051</v>
      </c>
    </row>
    <row r="2040" spans="1:8" x14ac:dyDescent="0.35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</row>
    <row r="2041" spans="1:8" x14ac:dyDescent="0.35">
      <c r="A2041" t="s">
        <v>2060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2061</v>
      </c>
      <c r="B2042" t="s">
        <v>17</v>
      </c>
      <c r="C2042">
        <v>4</v>
      </c>
      <c r="D2042">
        <v>1</v>
      </c>
      <c r="E2042">
        <v>4</v>
      </c>
      <c r="F2042" t="s">
        <v>21</v>
      </c>
      <c r="G2042" t="s">
        <v>11</v>
      </c>
      <c r="H2042" s="1">
        <v>45112</v>
      </c>
    </row>
    <row r="2043" spans="1:8" x14ac:dyDescent="0.35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</row>
    <row r="2044" spans="1:8" x14ac:dyDescent="0.35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H2044" s="1">
        <v>45150</v>
      </c>
    </row>
    <row r="2045" spans="1:8" x14ac:dyDescent="0.35">
      <c r="A2045" t="s">
        <v>2064</v>
      </c>
      <c r="C2045">
        <v>4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</row>
    <row r="2047" spans="1:8" x14ac:dyDescent="0.35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H2047" s="1">
        <v>45242</v>
      </c>
    </row>
    <row r="2048" spans="1:8" x14ac:dyDescent="0.35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H2049" s="1">
        <v>45159</v>
      </c>
    </row>
    <row r="2050" spans="1:8" x14ac:dyDescent="0.35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2070</v>
      </c>
      <c r="B2051" t="s">
        <v>26</v>
      </c>
      <c r="C2051">
        <v>5</v>
      </c>
      <c r="D2051">
        <v>4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2071</v>
      </c>
      <c r="B2052" t="s">
        <v>9</v>
      </c>
      <c r="C2052">
        <v>1</v>
      </c>
      <c r="D2052">
        <v>2</v>
      </c>
      <c r="E2052">
        <v>2</v>
      </c>
      <c r="H2052" s="1">
        <v>45249</v>
      </c>
    </row>
    <row r="2053" spans="1:8" x14ac:dyDescent="0.35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2075</v>
      </c>
      <c r="B2056" t="s">
        <v>26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2076</v>
      </c>
      <c r="B2057" t="s">
        <v>37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2077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H2061" s="1">
        <v>45227</v>
      </c>
    </row>
    <row r="2062" spans="1:8" x14ac:dyDescent="0.35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H2063" s="1">
        <v>45164</v>
      </c>
    </row>
    <row r="2064" spans="1:8" x14ac:dyDescent="0.35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2086</v>
      </c>
      <c r="B2067" t="s">
        <v>9</v>
      </c>
      <c r="C2067">
        <v>5</v>
      </c>
      <c r="D2067">
        <v>2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</row>
    <row r="2070" spans="1:8" x14ac:dyDescent="0.35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</row>
    <row r="2071" spans="1:8" x14ac:dyDescent="0.35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2092</v>
      </c>
      <c r="B2073" t="s">
        <v>37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</row>
    <row r="2075" spans="1:8" x14ac:dyDescent="0.35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H2076" s="1">
        <v>44971</v>
      </c>
    </row>
    <row r="2077" spans="1:8" x14ac:dyDescent="0.35">
      <c r="A2077" t="s">
        <v>2096</v>
      </c>
      <c r="B2077" t="s">
        <v>23</v>
      </c>
      <c r="C2077">
        <v>1</v>
      </c>
      <c r="D2077">
        <v>4</v>
      </c>
      <c r="E2077">
        <v>4</v>
      </c>
      <c r="F2077" t="s">
        <v>10</v>
      </c>
      <c r="H2077" s="1">
        <v>45073</v>
      </c>
    </row>
    <row r="2078" spans="1:8" x14ac:dyDescent="0.35">
      <c r="A2078" t="s">
        <v>2097</v>
      </c>
      <c r="B2078" t="s">
        <v>26</v>
      </c>
      <c r="C2078">
        <v>1</v>
      </c>
      <c r="D2078">
        <v>4</v>
      </c>
      <c r="E2078">
        <v>4</v>
      </c>
      <c r="G2078" t="s">
        <v>11</v>
      </c>
      <c r="H2078" s="1">
        <v>44956</v>
      </c>
    </row>
    <row r="2079" spans="1:8" x14ac:dyDescent="0.35">
      <c r="A2079" t="s">
        <v>2098</v>
      </c>
      <c r="B2079" t="s">
        <v>37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2099</v>
      </c>
      <c r="B2080" t="s">
        <v>26</v>
      </c>
      <c r="C2080">
        <v>5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2100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2101</v>
      </c>
      <c r="B2082" t="s">
        <v>63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2102</v>
      </c>
      <c r="B2083" t="s">
        <v>13</v>
      </c>
      <c r="C2083">
        <v>4</v>
      </c>
      <c r="D2083">
        <v>3</v>
      </c>
      <c r="E2083">
        <v>12</v>
      </c>
      <c r="G2083" t="s">
        <v>11</v>
      </c>
      <c r="H2083" s="1">
        <v>45124</v>
      </c>
    </row>
    <row r="2084" spans="1:8" x14ac:dyDescent="0.35">
      <c r="A2084" t="s">
        <v>2103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2104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2106</v>
      </c>
      <c r="B2087" t="s">
        <v>23</v>
      </c>
      <c r="C2087">
        <v>1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</row>
    <row r="2089" spans="1:8" x14ac:dyDescent="0.35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</row>
    <row r="2090" spans="1:8" x14ac:dyDescent="0.35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2110</v>
      </c>
      <c r="B2091" t="s">
        <v>26</v>
      </c>
      <c r="C2091">
        <v>3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2111</v>
      </c>
      <c r="B2092" t="s">
        <v>17</v>
      </c>
      <c r="C2092">
        <v>2</v>
      </c>
      <c r="D2092">
        <v>1</v>
      </c>
      <c r="E2092">
        <v>2</v>
      </c>
      <c r="F2092" t="s">
        <v>21</v>
      </c>
      <c r="G2092" t="s">
        <v>11</v>
      </c>
      <c r="H2092" s="1">
        <v>45144</v>
      </c>
    </row>
    <row r="2093" spans="1:8" x14ac:dyDescent="0.35">
      <c r="A2093" t="s">
        <v>2112</v>
      </c>
      <c r="B2093" t="s">
        <v>19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2113</v>
      </c>
      <c r="B2094" t="s">
        <v>37</v>
      </c>
      <c r="C2094">
        <v>5</v>
      </c>
      <c r="D2094">
        <v>3</v>
      </c>
      <c r="E2094">
        <v>15</v>
      </c>
      <c r="F2094" t="s">
        <v>21</v>
      </c>
      <c r="H2094" s="1">
        <v>45142</v>
      </c>
    </row>
    <row r="2095" spans="1:8" x14ac:dyDescent="0.35">
      <c r="A2095" t="s">
        <v>2114</v>
      </c>
      <c r="B2095" t="s">
        <v>37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H2096" s="1">
        <v>45103</v>
      </c>
    </row>
    <row r="2097" spans="1:8" x14ac:dyDescent="0.35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2118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2120</v>
      </c>
      <c r="B2101" t="s">
        <v>37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</row>
    <row r="2103" spans="1:8" x14ac:dyDescent="0.35">
      <c r="A2103" t="s">
        <v>2122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2123</v>
      </c>
      <c r="B2104" t="s">
        <v>23</v>
      </c>
      <c r="C2104">
        <v>3</v>
      </c>
      <c r="D2104">
        <v>4</v>
      </c>
      <c r="E2104">
        <v>12</v>
      </c>
      <c r="G2104" t="s">
        <v>15</v>
      </c>
      <c r="H2104" s="1">
        <v>45207</v>
      </c>
    </row>
    <row r="2105" spans="1:8" x14ac:dyDescent="0.35">
      <c r="A2105" t="s">
        <v>2124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2125</v>
      </c>
      <c r="B2106" t="s">
        <v>23</v>
      </c>
      <c r="C2106">
        <v>3</v>
      </c>
      <c r="D2106">
        <v>4</v>
      </c>
      <c r="E2106">
        <v>12</v>
      </c>
      <c r="H2106" s="1">
        <v>45122</v>
      </c>
    </row>
    <row r="2107" spans="1:8" x14ac:dyDescent="0.35">
      <c r="A2107" t="s">
        <v>2126</v>
      </c>
      <c r="B2107" t="s">
        <v>37</v>
      </c>
      <c r="C2107">
        <v>5</v>
      </c>
      <c r="D2107">
        <v>3</v>
      </c>
      <c r="E2107">
        <v>15</v>
      </c>
      <c r="H2107" s="1">
        <v>44934</v>
      </c>
    </row>
    <row r="2108" spans="1:8" x14ac:dyDescent="0.35">
      <c r="A2108" t="s">
        <v>2127</v>
      </c>
      <c r="B2108" t="s">
        <v>63</v>
      </c>
      <c r="C2108">
        <v>3</v>
      </c>
      <c r="D2108">
        <v>1.5</v>
      </c>
      <c r="E2108">
        <v>4.5</v>
      </c>
      <c r="F2108" t="s">
        <v>21</v>
      </c>
      <c r="G2108" t="s">
        <v>11</v>
      </c>
    </row>
    <row r="2109" spans="1:8" x14ac:dyDescent="0.35">
      <c r="A2109" t="s">
        <v>2128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</row>
    <row r="2110" spans="1:8" x14ac:dyDescent="0.35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H2110" s="1">
        <v>45287</v>
      </c>
    </row>
    <row r="2111" spans="1:8" x14ac:dyDescent="0.35">
      <c r="A2111" t="s">
        <v>2130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</row>
    <row r="2112" spans="1:8" x14ac:dyDescent="0.35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H2112" s="1">
        <v>45005</v>
      </c>
    </row>
    <row r="2113" spans="1:8" x14ac:dyDescent="0.35">
      <c r="A2113" t="s">
        <v>2132</v>
      </c>
      <c r="B2113" t="s">
        <v>9</v>
      </c>
      <c r="C2113">
        <v>2</v>
      </c>
      <c r="D2113">
        <v>2</v>
      </c>
      <c r="E2113">
        <v>4</v>
      </c>
      <c r="H2113" s="1">
        <v>45255</v>
      </c>
    </row>
    <row r="2114" spans="1:8" x14ac:dyDescent="0.35">
      <c r="A2114" t="s">
        <v>2133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</row>
    <row r="2118" spans="1:8" x14ac:dyDescent="0.35">
      <c r="A2118" t="s">
        <v>2137</v>
      </c>
      <c r="B2118" t="s">
        <v>13</v>
      </c>
      <c r="C2118">
        <v>3</v>
      </c>
      <c r="D2118">
        <v>3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H2120" s="1">
        <v>45221</v>
      </c>
    </row>
    <row r="2121" spans="1:8" x14ac:dyDescent="0.35">
      <c r="A2121" t="s">
        <v>2140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2141</v>
      </c>
      <c r="B2122" t="s">
        <v>23</v>
      </c>
      <c r="C2122">
        <v>2</v>
      </c>
      <c r="D2122">
        <v>4</v>
      </c>
      <c r="E2122">
        <v>8</v>
      </c>
      <c r="H2122" s="1">
        <v>45009</v>
      </c>
    </row>
    <row r="2123" spans="1:8" x14ac:dyDescent="0.35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2144</v>
      </c>
      <c r="B2125" t="s">
        <v>37</v>
      </c>
      <c r="C2125">
        <v>2</v>
      </c>
      <c r="D2125">
        <v>3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2145</v>
      </c>
      <c r="B2126" t="s">
        <v>63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2146</v>
      </c>
      <c r="B2127" t="s">
        <v>37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2147</v>
      </c>
      <c r="B2128" t="s">
        <v>13</v>
      </c>
      <c r="C2128">
        <v>4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H2129" s="1">
        <v>45027</v>
      </c>
    </row>
    <row r="2130" spans="1:8" x14ac:dyDescent="0.35">
      <c r="A2130" t="s">
        <v>2149</v>
      </c>
      <c r="B2130" t="s">
        <v>63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2151</v>
      </c>
      <c r="B2132" t="s">
        <v>63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2155</v>
      </c>
      <c r="B2136" t="s">
        <v>26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2156</v>
      </c>
      <c r="B2137" t="s">
        <v>63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2157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H2139" s="1">
        <v>45057</v>
      </c>
    </row>
    <row r="2140" spans="1:8" x14ac:dyDescent="0.35">
      <c r="A2140" t="s">
        <v>2159</v>
      </c>
      <c r="B2140" t="s">
        <v>37</v>
      </c>
      <c r="C2140">
        <v>4</v>
      </c>
      <c r="D2140">
        <v>3</v>
      </c>
      <c r="E2140">
        <v>12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2160</v>
      </c>
      <c r="C2141">
        <v>2</v>
      </c>
      <c r="D2141">
        <v>4</v>
      </c>
      <c r="E2141">
        <v>8</v>
      </c>
      <c r="F2141" t="s">
        <v>10</v>
      </c>
      <c r="H2141" s="1">
        <v>45093</v>
      </c>
    </row>
    <row r="2142" spans="1:8" x14ac:dyDescent="0.35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</row>
    <row r="2147" spans="1:8" x14ac:dyDescent="0.35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H2147" s="1">
        <v>45056</v>
      </c>
    </row>
    <row r="2148" spans="1:8" x14ac:dyDescent="0.35">
      <c r="A2148" t="s">
        <v>2167</v>
      </c>
      <c r="B2148" t="s">
        <v>37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2168</v>
      </c>
      <c r="B2149" t="s">
        <v>13</v>
      </c>
      <c r="C2149">
        <v>4</v>
      </c>
      <c r="D2149">
        <v>3</v>
      </c>
      <c r="E2149">
        <v>12</v>
      </c>
      <c r="H2149" s="1">
        <v>45029</v>
      </c>
    </row>
    <row r="2150" spans="1:8" x14ac:dyDescent="0.35">
      <c r="A2150" t="s">
        <v>2169</v>
      </c>
      <c r="C2150">
        <v>2</v>
      </c>
      <c r="D2150">
        <v>1</v>
      </c>
      <c r="E2150">
        <v>2</v>
      </c>
      <c r="F2150" t="s">
        <v>14</v>
      </c>
    </row>
    <row r="2151" spans="1:8" x14ac:dyDescent="0.35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2171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2172</v>
      </c>
      <c r="B2153" t="s">
        <v>37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2173</v>
      </c>
      <c r="B2154" t="s">
        <v>26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2174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2175</v>
      </c>
      <c r="B2156" t="s">
        <v>9</v>
      </c>
      <c r="C2156">
        <v>3</v>
      </c>
      <c r="D2156">
        <v>2</v>
      </c>
      <c r="E2156">
        <v>6</v>
      </c>
      <c r="F2156" t="s">
        <v>21</v>
      </c>
      <c r="G2156" t="s">
        <v>15</v>
      </c>
      <c r="H2156" s="1">
        <v>45123</v>
      </c>
    </row>
    <row r="2157" spans="1:8" x14ac:dyDescent="0.35">
      <c r="A2157" t="s">
        <v>2176</v>
      </c>
      <c r="B2157" t="s">
        <v>23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2177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</row>
    <row r="2161" spans="1:8" x14ac:dyDescent="0.35">
      <c r="A2161" t="s">
        <v>2180</v>
      </c>
      <c r="C2161">
        <v>1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</row>
    <row r="2162" spans="1:8" x14ac:dyDescent="0.35">
      <c r="A2162" t="s">
        <v>2181</v>
      </c>
      <c r="B2162" t="s">
        <v>63</v>
      </c>
      <c r="C2162">
        <v>1</v>
      </c>
      <c r="D2162">
        <v>1.5</v>
      </c>
      <c r="E2162">
        <v>1.5</v>
      </c>
      <c r="G2162" t="s">
        <v>15</v>
      </c>
      <c r="H2162" s="1">
        <v>45159</v>
      </c>
    </row>
    <row r="2163" spans="1:8" x14ac:dyDescent="0.35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2183</v>
      </c>
      <c r="B2164" t="s">
        <v>19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2184</v>
      </c>
      <c r="B2165" t="s">
        <v>63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2186</v>
      </c>
      <c r="B2167" t="s">
        <v>17</v>
      </c>
      <c r="C2167">
        <v>1</v>
      </c>
      <c r="D2167">
        <v>1</v>
      </c>
      <c r="E2167">
        <v>1</v>
      </c>
      <c r="G2167" t="s">
        <v>15</v>
      </c>
      <c r="H2167" s="1">
        <v>45067</v>
      </c>
    </row>
    <row r="2168" spans="1:8" x14ac:dyDescent="0.35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</row>
    <row r="2169" spans="1:8" x14ac:dyDescent="0.35">
      <c r="A2169" t="s">
        <v>2188</v>
      </c>
      <c r="B2169" t="s">
        <v>26</v>
      </c>
      <c r="C2169">
        <v>5</v>
      </c>
      <c r="D2169">
        <v>4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2192</v>
      </c>
      <c r="B2173" t="s">
        <v>26</v>
      </c>
      <c r="C2173">
        <v>3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2195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2197</v>
      </c>
      <c r="B2178" t="s">
        <v>9</v>
      </c>
      <c r="C2178">
        <v>2</v>
      </c>
      <c r="D2178">
        <v>2</v>
      </c>
      <c r="E2178">
        <v>4</v>
      </c>
      <c r="G2178" t="s">
        <v>15</v>
      </c>
      <c r="H2178" s="1">
        <v>45029</v>
      </c>
    </row>
    <row r="2179" spans="1:8" x14ac:dyDescent="0.35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2199</v>
      </c>
      <c r="B2180" t="s">
        <v>63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H2182" s="1">
        <v>45251</v>
      </c>
    </row>
    <row r="2183" spans="1:8" x14ac:dyDescent="0.35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H2186" s="1">
        <v>45174</v>
      </c>
    </row>
    <row r="2187" spans="1:8" x14ac:dyDescent="0.35">
      <c r="A2187" t="s">
        <v>2206</v>
      </c>
      <c r="C2187">
        <v>5</v>
      </c>
      <c r="D2187">
        <v>1.5</v>
      </c>
      <c r="E2187">
        <v>7.5</v>
      </c>
      <c r="F2187" t="s">
        <v>21</v>
      </c>
      <c r="H2187" s="1">
        <v>45254</v>
      </c>
    </row>
    <row r="2188" spans="1:8" x14ac:dyDescent="0.35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2208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2209</v>
      </c>
      <c r="B2190" t="s">
        <v>13</v>
      </c>
      <c r="C2190">
        <v>5</v>
      </c>
      <c r="D2190">
        <v>3</v>
      </c>
      <c r="E2190">
        <v>15</v>
      </c>
      <c r="G2190" t="s">
        <v>11</v>
      </c>
      <c r="H2190" s="1">
        <v>45122</v>
      </c>
    </row>
    <row r="2191" spans="1:8" x14ac:dyDescent="0.35">
      <c r="A2191" t="s">
        <v>2210</v>
      </c>
      <c r="B2191" t="s">
        <v>19</v>
      </c>
      <c r="C2191">
        <v>5</v>
      </c>
      <c r="D2191">
        <v>5</v>
      </c>
      <c r="E2191">
        <v>25</v>
      </c>
      <c r="F2191" t="s">
        <v>10</v>
      </c>
      <c r="H2191" s="1">
        <v>45236</v>
      </c>
    </row>
    <row r="2192" spans="1:8" x14ac:dyDescent="0.35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2212</v>
      </c>
      <c r="B2193" t="s">
        <v>63</v>
      </c>
      <c r="C2193">
        <v>5</v>
      </c>
      <c r="D2193">
        <v>1.5</v>
      </c>
      <c r="E2193">
        <v>7.5</v>
      </c>
      <c r="H2193" s="1">
        <v>45245</v>
      </c>
    </row>
    <row r="2194" spans="1:8" x14ac:dyDescent="0.35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H2196" s="1">
        <v>45192</v>
      </c>
    </row>
    <row r="2197" spans="1:8" x14ac:dyDescent="0.35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2219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2220</v>
      </c>
      <c r="B2201" t="s">
        <v>9</v>
      </c>
      <c r="C2201">
        <v>4</v>
      </c>
      <c r="D2201">
        <v>2</v>
      </c>
      <c r="E2201">
        <v>8</v>
      </c>
      <c r="H2201" s="1">
        <v>45007</v>
      </c>
    </row>
    <row r="2202" spans="1:8" x14ac:dyDescent="0.35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H2203" s="1">
        <v>44940</v>
      </c>
    </row>
    <row r="2204" spans="1:8" x14ac:dyDescent="0.35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2224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2225</v>
      </c>
      <c r="B2206" t="s">
        <v>13</v>
      </c>
      <c r="C2206">
        <v>2</v>
      </c>
      <c r="D2206">
        <v>3</v>
      </c>
      <c r="E2206">
        <v>6</v>
      </c>
      <c r="H2206" s="1">
        <v>44934</v>
      </c>
    </row>
    <row r="2207" spans="1:8" x14ac:dyDescent="0.35">
      <c r="A2207" t="s">
        <v>2226</v>
      </c>
      <c r="B2207" t="s">
        <v>17</v>
      </c>
      <c r="C2207">
        <v>1</v>
      </c>
      <c r="D2207">
        <v>1</v>
      </c>
      <c r="E2207">
        <v>1</v>
      </c>
      <c r="F2207" t="s">
        <v>10</v>
      </c>
    </row>
    <row r="2208" spans="1:8" x14ac:dyDescent="0.35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2228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2229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2230</v>
      </c>
      <c r="B2211" t="s">
        <v>23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H2212" s="1">
        <v>45115</v>
      </c>
    </row>
    <row r="2213" spans="1:8" x14ac:dyDescent="0.35">
      <c r="A2213" t="s">
        <v>2232</v>
      </c>
      <c r="B2213" t="s">
        <v>13</v>
      </c>
      <c r="C2213">
        <v>5</v>
      </c>
      <c r="D2213">
        <v>3</v>
      </c>
      <c r="E2213">
        <v>15</v>
      </c>
      <c r="F2213" t="s">
        <v>21</v>
      </c>
      <c r="H2213" s="1">
        <v>45173</v>
      </c>
    </row>
    <row r="2214" spans="1:8" x14ac:dyDescent="0.35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H2214" s="1">
        <v>45022</v>
      </c>
    </row>
    <row r="2215" spans="1:8" x14ac:dyDescent="0.35">
      <c r="A2215" t="s">
        <v>2234</v>
      </c>
      <c r="B2215" t="s">
        <v>23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2237</v>
      </c>
      <c r="B2218" t="s">
        <v>26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2238</v>
      </c>
      <c r="B2219" t="s">
        <v>9</v>
      </c>
      <c r="C2219">
        <v>2</v>
      </c>
      <c r="D2219">
        <v>2</v>
      </c>
      <c r="E2219">
        <v>4</v>
      </c>
      <c r="F2219" t="s">
        <v>14</v>
      </c>
      <c r="H2219" s="1">
        <v>45167</v>
      </c>
    </row>
    <row r="2220" spans="1:8" x14ac:dyDescent="0.35">
      <c r="A2220" t="s">
        <v>2239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2240</v>
      </c>
      <c r="B2221" t="s">
        <v>26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</row>
    <row r="2223" spans="1:8" x14ac:dyDescent="0.35">
      <c r="A2223" t="s">
        <v>2242</v>
      </c>
      <c r="B2223" t="s">
        <v>23</v>
      </c>
      <c r="C2223">
        <v>2</v>
      </c>
      <c r="D2223">
        <v>4</v>
      </c>
      <c r="E2223">
        <v>8</v>
      </c>
      <c r="G2223" t="s">
        <v>15</v>
      </c>
      <c r="H2223" s="1">
        <v>45280</v>
      </c>
    </row>
    <row r="2224" spans="1:8" x14ac:dyDescent="0.35">
      <c r="A2224" t="s">
        <v>2243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H2225" s="1">
        <v>45271</v>
      </c>
    </row>
    <row r="2226" spans="1:8" x14ac:dyDescent="0.35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H2226" s="1">
        <v>44930</v>
      </c>
    </row>
    <row r="2227" spans="1:8" x14ac:dyDescent="0.35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2247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2248</v>
      </c>
      <c r="C2229">
        <v>2</v>
      </c>
      <c r="D2229">
        <v>4</v>
      </c>
      <c r="E2229">
        <v>8</v>
      </c>
      <c r="H2229" s="1">
        <v>45264</v>
      </c>
    </row>
    <row r="2230" spans="1:8" x14ac:dyDescent="0.35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2250</v>
      </c>
      <c r="B2231" t="s">
        <v>26</v>
      </c>
      <c r="C2231">
        <v>2</v>
      </c>
      <c r="D2231">
        <v>4</v>
      </c>
      <c r="E2231">
        <v>8</v>
      </c>
      <c r="H2231" s="1">
        <v>45238</v>
      </c>
    </row>
    <row r="2232" spans="1:8" x14ac:dyDescent="0.35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</row>
    <row r="2234" spans="1:8" x14ac:dyDescent="0.35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2256</v>
      </c>
      <c r="B2237" t="s">
        <v>19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2257</v>
      </c>
      <c r="B2238" t="s">
        <v>9</v>
      </c>
      <c r="C2238">
        <v>2</v>
      </c>
      <c r="D2238">
        <v>2</v>
      </c>
      <c r="E2238">
        <v>4</v>
      </c>
      <c r="H2238" s="1">
        <v>44948</v>
      </c>
    </row>
    <row r="2239" spans="1:8" x14ac:dyDescent="0.35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H2239" s="1">
        <v>45139</v>
      </c>
    </row>
    <row r="2240" spans="1:8" x14ac:dyDescent="0.35">
      <c r="A2240" t="s">
        <v>2259</v>
      </c>
      <c r="B2240" t="s">
        <v>26</v>
      </c>
      <c r="C2240">
        <v>2</v>
      </c>
      <c r="D2240">
        <v>4</v>
      </c>
      <c r="E2240">
        <v>8</v>
      </c>
      <c r="H2240" s="1">
        <v>45176</v>
      </c>
    </row>
    <row r="2241" spans="1:8" x14ac:dyDescent="0.35">
      <c r="A2241" t="s">
        <v>2260</v>
      </c>
      <c r="C2241">
        <v>2</v>
      </c>
      <c r="D2241">
        <v>3</v>
      </c>
      <c r="E2241">
        <v>6</v>
      </c>
      <c r="F2241" t="s">
        <v>21</v>
      </c>
      <c r="H2241" s="1">
        <v>45101</v>
      </c>
    </row>
    <row r="2242" spans="1:8" x14ac:dyDescent="0.35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2264</v>
      </c>
      <c r="B2245" t="s">
        <v>23</v>
      </c>
      <c r="C2245">
        <v>3</v>
      </c>
      <c r="D2245">
        <v>4</v>
      </c>
      <c r="E2245">
        <v>12</v>
      </c>
      <c r="H2245" s="1">
        <v>44958</v>
      </c>
    </row>
    <row r="2246" spans="1:8" x14ac:dyDescent="0.35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H2246" s="1">
        <v>44927</v>
      </c>
    </row>
    <row r="2247" spans="1:8" x14ac:dyDescent="0.35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2267</v>
      </c>
      <c r="B2248" t="s">
        <v>13</v>
      </c>
      <c r="C2248">
        <v>2</v>
      </c>
      <c r="D2248">
        <v>3</v>
      </c>
      <c r="E2248">
        <v>6</v>
      </c>
      <c r="H2248" s="1">
        <v>45261</v>
      </c>
    </row>
    <row r="2249" spans="1:8" x14ac:dyDescent="0.35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H2249" s="1">
        <v>45176</v>
      </c>
    </row>
    <row r="2250" spans="1:8" x14ac:dyDescent="0.35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2270</v>
      </c>
      <c r="B2251" t="s">
        <v>9</v>
      </c>
      <c r="C2251">
        <v>5</v>
      </c>
      <c r="D2251">
        <v>2</v>
      </c>
      <c r="E2251">
        <v>10</v>
      </c>
      <c r="H2251" s="1">
        <v>45229</v>
      </c>
    </row>
    <row r="2252" spans="1:8" x14ac:dyDescent="0.35">
      <c r="A2252" t="s">
        <v>2271</v>
      </c>
      <c r="B2252" t="s">
        <v>19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H2254" s="1">
        <v>45102</v>
      </c>
    </row>
    <row r="2255" spans="1:8" x14ac:dyDescent="0.35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</row>
    <row r="2256" spans="1:8" x14ac:dyDescent="0.35">
      <c r="A2256" t="s">
        <v>2275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2276</v>
      </c>
      <c r="B2257" t="s">
        <v>9</v>
      </c>
      <c r="C2257">
        <v>2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2277</v>
      </c>
      <c r="B2258" t="s">
        <v>63</v>
      </c>
      <c r="C2258">
        <v>2</v>
      </c>
      <c r="D2258">
        <v>1.5</v>
      </c>
      <c r="E2258">
        <v>3</v>
      </c>
      <c r="F2258" t="s">
        <v>21</v>
      </c>
      <c r="G2258" t="s">
        <v>15</v>
      </c>
      <c r="H2258" s="1">
        <v>45212</v>
      </c>
    </row>
    <row r="2259" spans="1:8" x14ac:dyDescent="0.35">
      <c r="A2259" t="s">
        <v>2278</v>
      </c>
      <c r="B2259" t="s">
        <v>19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2279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2280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2281</v>
      </c>
      <c r="B2262" t="s">
        <v>23</v>
      </c>
      <c r="C2262">
        <v>5</v>
      </c>
      <c r="D2262">
        <v>4</v>
      </c>
      <c r="E2262">
        <v>20</v>
      </c>
    </row>
    <row r="2263" spans="1:8" x14ac:dyDescent="0.35">
      <c r="A2263" t="s">
        <v>2282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2283</v>
      </c>
      <c r="B2264" t="s">
        <v>37</v>
      </c>
      <c r="C2264">
        <v>3</v>
      </c>
      <c r="D2264">
        <v>3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2284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2286</v>
      </c>
      <c r="B2267" t="s">
        <v>19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2289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2290</v>
      </c>
      <c r="B2271" t="s">
        <v>23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2291</v>
      </c>
      <c r="C2272">
        <v>2</v>
      </c>
      <c r="D2272">
        <v>1.5</v>
      </c>
      <c r="E2272">
        <v>3</v>
      </c>
      <c r="G2272" t="s">
        <v>11</v>
      </c>
      <c r="H2272" s="1">
        <v>44950</v>
      </c>
    </row>
    <row r="2273" spans="1:8" x14ac:dyDescent="0.35">
      <c r="A2273" t="s">
        <v>2292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H2274" s="1">
        <v>45039</v>
      </c>
    </row>
    <row r="2275" spans="1:8" x14ac:dyDescent="0.35">
      <c r="A2275" t="s">
        <v>2294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2295</v>
      </c>
      <c r="B2276" t="s">
        <v>37</v>
      </c>
      <c r="C2276">
        <v>2</v>
      </c>
      <c r="D2276">
        <v>3</v>
      </c>
      <c r="E2276">
        <v>6</v>
      </c>
      <c r="H2276" s="1">
        <v>44941</v>
      </c>
    </row>
    <row r="2277" spans="1:8" x14ac:dyDescent="0.35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H2277" s="1">
        <v>45051</v>
      </c>
    </row>
    <row r="2278" spans="1:8" x14ac:dyDescent="0.35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H2278" s="1">
        <v>45064</v>
      </c>
    </row>
    <row r="2279" spans="1:8" x14ac:dyDescent="0.35">
      <c r="A2279" t="s">
        <v>2298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2299</v>
      </c>
      <c r="B2280" t="s">
        <v>23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2300</v>
      </c>
      <c r="B2281" t="s">
        <v>37</v>
      </c>
      <c r="C2281">
        <v>4</v>
      </c>
      <c r="D2281">
        <v>3</v>
      </c>
      <c r="E2281">
        <v>12</v>
      </c>
      <c r="H2281" s="1">
        <v>45051</v>
      </c>
    </row>
    <row r="2282" spans="1:8" x14ac:dyDescent="0.35">
      <c r="A2282" t="s">
        <v>2301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2302</v>
      </c>
      <c r="C2283">
        <v>3</v>
      </c>
      <c r="D2283">
        <v>1.5</v>
      </c>
      <c r="E2283">
        <v>4.5</v>
      </c>
      <c r="F2283" t="s">
        <v>21</v>
      </c>
      <c r="H2283" s="1">
        <v>45133</v>
      </c>
    </row>
    <row r="2284" spans="1:8" x14ac:dyDescent="0.35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2304</v>
      </c>
      <c r="B2285" t="s">
        <v>19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2305</v>
      </c>
      <c r="B2286" t="s">
        <v>37</v>
      </c>
      <c r="C2286">
        <v>3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2306</v>
      </c>
      <c r="B2287" t="s">
        <v>19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2307</v>
      </c>
      <c r="B2288" t="s">
        <v>37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2308</v>
      </c>
      <c r="C2289">
        <v>5</v>
      </c>
      <c r="D2289">
        <v>4</v>
      </c>
      <c r="E2289">
        <v>20</v>
      </c>
      <c r="F2289" t="s">
        <v>21</v>
      </c>
      <c r="H2289" s="1">
        <v>44951</v>
      </c>
    </row>
    <row r="2290" spans="1:8" x14ac:dyDescent="0.35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2310</v>
      </c>
      <c r="C2291">
        <v>4</v>
      </c>
      <c r="H2291" s="1">
        <v>45269</v>
      </c>
    </row>
    <row r="2292" spans="1:8" x14ac:dyDescent="0.35">
      <c r="A2292" t="s">
        <v>2311</v>
      </c>
      <c r="B2292" t="s">
        <v>63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H2296" s="1">
        <v>45072</v>
      </c>
    </row>
    <row r="2297" spans="1:8" x14ac:dyDescent="0.35">
      <c r="A2297" t="s">
        <v>2316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2317</v>
      </c>
      <c r="B2298" t="s">
        <v>19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2318</v>
      </c>
      <c r="B2299" t="s">
        <v>63</v>
      </c>
      <c r="C2299">
        <v>1</v>
      </c>
      <c r="D2299">
        <v>1.5</v>
      </c>
      <c r="E2299">
        <v>1.5</v>
      </c>
      <c r="H2299" s="1">
        <v>44935</v>
      </c>
    </row>
    <row r="2300" spans="1:8" x14ac:dyDescent="0.35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H2300" s="1">
        <v>45050</v>
      </c>
    </row>
    <row r="2301" spans="1:8" x14ac:dyDescent="0.35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H2301" s="1">
        <v>44980</v>
      </c>
    </row>
    <row r="2302" spans="1:8" x14ac:dyDescent="0.35">
      <c r="A2302" t="s">
        <v>2321</v>
      </c>
      <c r="B2302" t="s">
        <v>23</v>
      </c>
      <c r="C2302">
        <v>3</v>
      </c>
      <c r="D2302">
        <v>4</v>
      </c>
      <c r="E2302">
        <v>12</v>
      </c>
      <c r="G2302" t="s">
        <v>11</v>
      </c>
      <c r="H2302" s="1">
        <v>45153</v>
      </c>
    </row>
    <row r="2303" spans="1:8" x14ac:dyDescent="0.35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H2303" s="1">
        <v>45180</v>
      </c>
    </row>
    <row r="2304" spans="1:8" x14ac:dyDescent="0.35">
      <c r="A2304" t="s">
        <v>2323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2324</v>
      </c>
      <c r="B2305" t="s">
        <v>9</v>
      </c>
      <c r="C2305">
        <v>5</v>
      </c>
      <c r="D2305">
        <v>2</v>
      </c>
      <c r="E2305">
        <v>10</v>
      </c>
      <c r="G2305" t="s">
        <v>11</v>
      </c>
      <c r="H2305" s="1">
        <v>45209</v>
      </c>
    </row>
    <row r="2306" spans="1:8" x14ac:dyDescent="0.35">
      <c r="A2306" t="s">
        <v>2325</v>
      </c>
      <c r="B2306" t="s">
        <v>19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2326</v>
      </c>
      <c r="B2307" t="s">
        <v>23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2329</v>
      </c>
      <c r="B2310" t="s">
        <v>19</v>
      </c>
      <c r="C2310">
        <v>3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2334</v>
      </c>
      <c r="B2315" t="s">
        <v>19</v>
      </c>
      <c r="C2315">
        <v>3</v>
      </c>
      <c r="D2315">
        <v>5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</row>
    <row r="2317" spans="1:8" x14ac:dyDescent="0.35">
      <c r="A2317" t="s">
        <v>2336</v>
      </c>
      <c r="B2317" t="s">
        <v>26</v>
      </c>
      <c r="C2317">
        <v>5</v>
      </c>
      <c r="D2317">
        <v>4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2337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2340</v>
      </c>
      <c r="B2321" t="s">
        <v>37</v>
      </c>
      <c r="C2321">
        <v>4</v>
      </c>
      <c r="D2321">
        <v>3</v>
      </c>
      <c r="E2321">
        <v>12</v>
      </c>
      <c r="G2321" t="s">
        <v>11</v>
      </c>
      <c r="H2321" s="1">
        <v>45061</v>
      </c>
    </row>
    <row r="2322" spans="1:8" x14ac:dyDescent="0.35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2345</v>
      </c>
      <c r="B2326" t="s">
        <v>23</v>
      </c>
      <c r="C2326">
        <v>4</v>
      </c>
      <c r="D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2347</v>
      </c>
      <c r="C2328">
        <v>1</v>
      </c>
      <c r="D2328">
        <v>1</v>
      </c>
      <c r="E2328">
        <v>1</v>
      </c>
      <c r="H2328" s="1">
        <v>45035</v>
      </c>
    </row>
    <row r="2329" spans="1:8" x14ac:dyDescent="0.35">
      <c r="A2329" t="s">
        <v>2348</v>
      </c>
      <c r="C2329">
        <v>1</v>
      </c>
      <c r="D2329">
        <v>4</v>
      </c>
      <c r="E2329">
        <v>4</v>
      </c>
      <c r="H2329" s="1">
        <v>45203</v>
      </c>
    </row>
    <row r="2330" spans="1:8" x14ac:dyDescent="0.35">
      <c r="A2330" t="s">
        <v>2349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2351</v>
      </c>
      <c r="B2332" t="s">
        <v>19</v>
      </c>
      <c r="C2332">
        <v>1</v>
      </c>
      <c r="D2332">
        <v>5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</row>
    <row r="2337" spans="1:8" x14ac:dyDescent="0.35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</row>
    <row r="2339" spans="1:8" x14ac:dyDescent="0.35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H2339" s="1">
        <v>45076</v>
      </c>
    </row>
    <row r="2340" spans="1:8" x14ac:dyDescent="0.35">
      <c r="A2340" t="s">
        <v>2359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H2341" s="1">
        <v>45168</v>
      </c>
    </row>
    <row r="2342" spans="1:8" x14ac:dyDescent="0.35">
      <c r="A2342" t="s">
        <v>2361</v>
      </c>
      <c r="B2342" t="s">
        <v>9</v>
      </c>
      <c r="C2342">
        <v>5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</row>
    <row r="2343" spans="1:8" x14ac:dyDescent="0.35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</row>
    <row r="2344" spans="1:8" x14ac:dyDescent="0.35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</row>
    <row r="2345" spans="1:8" x14ac:dyDescent="0.35">
      <c r="A2345" t="s">
        <v>2364</v>
      </c>
      <c r="B2345" t="s">
        <v>19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2365</v>
      </c>
      <c r="B2346" t="s">
        <v>63</v>
      </c>
      <c r="C2346">
        <v>5</v>
      </c>
      <c r="D2346">
        <v>1.5</v>
      </c>
      <c r="E2346">
        <v>7.5</v>
      </c>
      <c r="F2346" t="s">
        <v>10</v>
      </c>
    </row>
    <row r="2347" spans="1:8" x14ac:dyDescent="0.35">
      <c r="A2347" t="s">
        <v>2366</v>
      </c>
      <c r="B2347" t="s">
        <v>23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2368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H2350" s="1">
        <v>45126</v>
      </c>
    </row>
    <row r="2351" spans="1:8" x14ac:dyDescent="0.35">
      <c r="A2351" t="s">
        <v>2370</v>
      </c>
      <c r="B2351" t="s">
        <v>9</v>
      </c>
      <c r="C2351">
        <v>1</v>
      </c>
      <c r="D2351">
        <v>2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2373</v>
      </c>
      <c r="B2354" t="s">
        <v>23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</row>
    <row r="2357" spans="1:8" x14ac:dyDescent="0.35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</row>
    <row r="2358" spans="1:8" x14ac:dyDescent="0.35">
      <c r="A2358" t="s">
        <v>2377</v>
      </c>
      <c r="B2358" t="s">
        <v>63</v>
      </c>
      <c r="C2358">
        <v>4</v>
      </c>
      <c r="D2358">
        <v>1.5</v>
      </c>
      <c r="E2358">
        <v>6</v>
      </c>
      <c r="F2358" t="s">
        <v>21</v>
      </c>
      <c r="G2358" t="s">
        <v>15</v>
      </c>
      <c r="H2358" s="1">
        <v>44956</v>
      </c>
    </row>
    <row r="2359" spans="1:8" x14ac:dyDescent="0.35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H2362" s="1">
        <v>45218</v>
      </c>
    </row>
    <row r="2363" spans="1:8" x14ac:dyDescent="0.35">
      <c r="A2363" t="s">
        <v>2382</v>
      </c>
      <c r="B2363" t="s">
        <v>26</v>
      </c>
      <c r="C2363">
        <v>2</v>
      </c>
      <c r="D2363">
        <v>4</v>
      </c>
      <c r="E2363">
        <v>8</v>
      </c>
      <c r="F2363" t="s">
        <v>21</v>
      </c>
    </row>
    <row r="2364" spans="1:8" x14ac:dyDescent="0.35">
      <c r="A2364" t="s">
        <v>2383</v>
      </c>
      <c r="B2364" t="s">
        <v>23</v>
      </c>
      <c r="C2364">
        <v>1</v>
      </c>
      <c r="D2364">
        <v>4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2384</v>
      </c>
      <c r="B2365" t="s">
        <v>23</v>
      </c>
      <c r="C2365">
        <v>3</v>
      </c>
      <c r="D2365">
        <v>4</v>
      </c>
      <c r="E2365">
        <v>12</v>
      </c>
      <c r="H2365" s="1">
        <v>45041</v>
      </c>
    </row>
    <row r="2366" spans="1:8" x14ac:dyDescent="0.35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2386</v>
      </c>
      <c r="B2367" t="s">
        <v>63</v>
      </c>
      <c r="C2367">
        <v>5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2387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H2370" s="1">
        <v>45237</v>
      </c>
    </row>
    <row r="2371" spans="1:8" x14ac:dyDescent="0.35">
      <c r="A2371" t="s">
        <v>2390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2392</v>
      </c>
      <c r="C2373">
        <v>3</v>
      </c>
      <c r="D2373">
        <v>3</v>
      </c>
      <c r="E2373">
        <v>9</v>
      </c>
      <c r="G2373" t="s">
        <v>11</v>
      </c>
      <c r="H2373" s="1">
        <v>45224</v>
      </c>
    </row>
    <row r="2374" spans="1:8" x14ac:dyDescent="0.35">
      <c r="A2374" t="s">
        <v>2393</v>
      </c>
      <c r="B2374" t="s">
        <v>19</v>
      </c>
      <c r="C2374">
        <v>4</v>
      </c>
      <c r="D2374">
        <v>5</v>
      </c>
      <c r="E2374">
        <v>20</v>
      </c>
      <c r="G2374" t="s">
        <v>15</v>
      </c>
      <c r="H2374" s="1">
        <v>44988</v>
      </c>
    </row>
    <row r="2375" spans="1:8" x14ac:dyDescent="0.35">
      <c r="A2375" t="s">
        <v>2394</v>
      </c>
      <c r="B2375" t="s">
        <v>23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2396</v>
      </c>
      <c r="B2377" t="s">
        <v>26</v>
      </c>
      <c r="C2377">
        <v>3</v>
      </c>
      <c r="D2377">
        <v>4</v>
      </c>
      <c r="E2377">
        <v>12</v>
      </c>
      <c r="F2377" t="s">
        <v>10</v>
      </c>
      <c r="H2377" s="1">
        <v>45150</v>
      </c>
    </row>
    <row r="2378" spans="1:8" x14ac:dyDescent="0.35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H2378" s="1">
        <v>45098</v>
      </c>
    </row>
    <row r="2379" spans="1:8" x14ac:dyDescent="0.35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</row>
    <row r="2380" spans="1:8" x14ac:dyDescent="0.35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</row>
    <row r="2382" spans="1:8" x14ac:dyDescent="0.35">
      <c r="A2382" t="s">
        <v>2401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</row>
    <row r="2384" spans="1:8" x14ac:dyDescent="0.35">
      <c r="A2384" t="s">
        <v>2403</v>
      </c>
      <c r="C2384">
        <v>4</v>
      </c>
      <c r="D2384">
        <v>1</v>
      </c>
      <c r="E2384">
        <v>4</v>
      </c>
      <c r="F2384" t="s">
        <v>10</v>
      </c>
      <c r="H2384" s="1">
        <v>45043</v>
      </c>
    </row>
    <row r="2385" spans="1:8" x14ac:dyDescent="0.35">
      <c r="A2385" t="s">
        <v>2404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2405</v>
      </c>
      <c r="B2386" t="s">
        <v>26</v>
      </c>
      <c r="C2386">
        <v>4</v>
      </c>
      <c r="D2386">
        <v>4</v>
      </c>
      <c r="E2386">
        <v>16</v>
      </c>
      <c r="H2386" s="1">
        <v>45123</v>
      </c>
    </row>
    <row r="2387" spans="1:8" x14ac:dyDescent="0.35">
      <c r="A2387" t="s">
        <v>2406</v>
      </c>
      <c r="B2387" t="s">
        <v>26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H2389" s="1">
        <v>45256</v>
      </c>
    </row>
    <row r="2390" spans="1:8" x14ac:dyDescent="0.35">
      <c r="A2390" t="s">
        <v>2409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2410</v>
      </c>
      <c r="B2391" t="s">
        <v>9</v>
      </c>
      <c r="C2391">
        <v>3</v>
      </c>
      <c r="D2391">
        <v>2</v>
      </c>
      <c r="E2391">
        <v>6</v>
      </c>
      <c r="G2391" t="s">
        <v>15</v>
      </c>
      <c r="H2391" s="1">
        <v>44955</v>
      </c>
    </row>
    <row r="2392" spans="1:8" x14ac:dyDescent="0.35">
      <c r="A2392" t="s">
        <v>2411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2412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</row>
    <row r="2395" spans="1:8" x14ac:dyDescent="0.35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</row>
    <row r="2396" spans="1:8" x14ac:dyDescent="0.35">
      <c r="A2396" t="s">
        <v>2415</v>
      </c>
      <c r="B2396" t="s">
        <v>9</v>
      </c>
      <c r="C2396">
        <v>5</v>
      </c>
      <c r="D2396">
        <v>2</v>
      </c>
      <c r="E2396">
        <v>10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H2397" s="1">
        <v>45057</v>
      </c>
    </row>
    <row r="2398" spans="1:8" x14ac:dyDescent="0.35">
      <c r="A2398" t="s">
        <v>2417</v>
      </c>
      <c r="B2398" t="s">
        <v>26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2420</v>
      </c>
      <c r="B2401" t="s">
        <v>19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H2404" s="1">
        <v>44978</v>
      </c>
    </row>
    <row r="2405" spans="1:8" x14ac:dyDescent="0.35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</row>
    <row r="2406" spans="1:8" x14ac:dyDescent="0.35">
      <c r="A2406" t="s">
        <v>2425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2426</v>
      </c>
      <c r="B2407" t="s">
        <v>37</v>
      </c>
      <c r="C2407">
        <v>4</v>
      </c>
      <c r="D2407">
        <v>3</v>
      </c>
      <c r="E2407">
        <v>12</v>
      </c>
      <c r="G2407" t="s">
        <v>15</v>
      </c>
      <c r="H2407" s="1">
        <v>45017</v>
      </c>
    </row>
    <row r="2408" spans="1:8" x14ac:dyDescent="0.35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H2408" s="1">
        <v>44977</v>
      </c>
    </row>
    <row r="2409" spans="1:8" x14ac:dyDescent="0.35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2430</v>
      </c>
      <c r="B2411" t="s">
        <v>23</v>
      </c>
      <c r="C2411">
        <v>4</v>
      </c>
      <c r="D2411">
        <v>4</v>
      </c>
      <c r="E2411">
        <v>16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H2413" s="1">
        <v>45037</v>
      </c>
    </row>
    <row r="2414" spans="1:8" x14ac:dyDescent="0.35">
      <c r="A2414" t="s">
        <v>2433</v>
      </c>
      <c r="B2414" t="s">
        <v>26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H2415" s="1">
        <v>44952</v>
      </c>
    </row>
    <row r="2416" spans="1:8" x14ac:dyDescent="0.35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</row>
    <row r="2417" spans="1:8" x14ac:dyDescent="0.35">
      <c r="A2417" t="s">
        <v>2436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2439</v>
      </c>
      <c r="B2420" t="s">
        <v>26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2440</v>
      </c>
      <c r="B2421" t="s">
        <v>17</v>
      </c>
      <c r="C2421">
        <v>2</v>
      </c>
      <c r="D2421">
        <v>1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H2422" s="1">
        <v>45239</v>
      </c>
    </row>
    <row r="2423" spans="1:8" x14ac:dyDescent="0.35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H2424" s="1">
        <v>44937</v>
      </c>
    </row>
    <row r="2425" spans="1:8" x14ac:dyDescent="0.35">
      <c r="A2425" t="s">
        <v>2444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2447</v>
      </c>
      <c r="B2428" t="s">
        <v>19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2448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H2431" s="1">
        <v>45006</v>
      </c>
    </row>
    <row r="2432" spans="1:8" x14ac:dyDescent="0.35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2452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2453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2454</v>
      </c>
      <c r="C2435">
        <v>3</v>
      </c>
      <c r="D2435">
        <v>1</v>
      </c>
      <c r="E2435">
        <v>3</v>
      </c>
      <c r="F2435" t="s">
        <v>21</v>
      </c>
      <c r="G2435" t="s">
        <v>11</v>
      </c>
      <c r="H2435" s="1">
        <v>45036</v>
      </c>
    </row>
    <row r="2436" spans="1:8" x14ac:dyDescent="0.35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H2436" s="1">
        <v>45040</v>
      </c>
    </row>
    <row r="2437" spans="1:8" x14ac:dyDescent="0.35">
      <c r="A2437" t="s">
        <v>2456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2457</v>
      </c>
      <c r="B2438" t="s">
        <v>23</v>
      </c>
      <c r="C2438">
        <v>5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2458</v>
      </c>
      <c r="B2439" t="s">
        <v>63</v>
      </c>
      <c r="C2439">
        <v>1</v>
      </c>
      <c r="D2439">
        <v>1.5</v>
      </c>
      <c r="E2439">
        <v>1.5</v>
      </c>
      <c r="G2439" t="s">
        <v>11</v>
      </c>
      <c r="H2439" s="1">
        <v>45160</v>
      </c>
    </row>
    <row r="2440" spans="1:8" x14ac:dyDescent="0.35">
      <c r="A2440" t="s">
        <v>2459</v>
      </c>
      <c r="B2440" t="s">
        <v>37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2460</v>
      </c>
      <c r="B2441" t="s">
        <v>23</v>
      </c>
      <c r="C2441">
        <v>2</v>
      </c>
      <c r="D2441">
        <v>4</v>
      </c>
      <c r="E2441">
        <v>8</v>
      </c>
      <c r="H2441" s="1">
        <v>45257</v>
      </c>
    </row>
    <row r="2442" spans="1:8" x14ac:dyDescent="0.35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2463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2464</v>
      </c>
      <c r="B2445" t="s">
        <v>19</v>
      </c>
      <c r="C2445">
        <v>2</v>
      </c>
      <c r="D2445">
        <v>5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2465</v>
      </c>
      <c r="B2446" t="s">
        <v>26</v>
      </c>
      <c r="C2446">
        <v>5</v>
      </c>
      <c r="D2446">
        <v>4</v>
      </c>
      <c r="E2446">
        <v>20</v>
      </c>
      <c r="F2446" t="s">
        <v>10</v>
      </c>
      <c r="H2446" s="1">
        <v>45184</v>
      </c>
    </row>
    <row r="2447" spans="1:8" x14ac:dyDescent="0.35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H2448" s="1">
        <v>44967</v>
      </c>
    </row>
    <row r="2449" spans="1:8" x14ac:dyDescent="0.35">
      <c r="A2449" t="s">
        <v>2468</v>
      </c>
      <c r="B2449" t="s">
        <v>63</v>
      </c>
      <c r="C2449">
        <v>3</v>
      </c>
      <c r="D2449">
        <v>1.5</v>
      </c>
      <c r="E2449">
        <v>4.5</v>
      </c>
      <c r="H2449" s="1">
        <v>45184</v>
      </c>
    </row>
    <row r="2450" spans="1:8" x14ac:dyDescent="0.35">
      <c r="A2450" t="s">
        <v>2469</v>
      </c>
      <c r="B2450" t="s">
        <v>23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</row>
    <row r="2454" spans="1:8" x14ac:dyDescent="0.35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2474</v>
      </c>
      <c r="B2455" t="s">
        <v>26</v>
      </c>
      <c r="C2455">
        <v>2</v>
      </c>
      <c r="D2455">
        <v>4</v>
      </c>
      <c r="E2455">
        <v>8</v>
      </c>
      <c r="F2455" t="s">
        <v>14</v>
      </c>
      <c r="H2455" s="1">
        <v>44969</v>
      </c>
    </row>
    <row r="2456" spans="1:8" x14ac:dyDescent="0.35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</row>
    <row r="2458" spans="1:8" x14ac:dyDescent="0.35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H2459" s="1">
        <v>45063</v>
      </c>
    </row>
    <row r="2460" spans="1:8" x14ac:dyDescent="0.35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</row>
    <row r="2462" spans="1:8" x14ac:dyDescent="0.35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2483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H2465" s="1">
        <v>45244</v>
      </c>
    </row>
    <row r="2466" spans="1:8" x14ac:dyDescent="0.35">
      <c r="A2466" t="s">
        <v>2485</v>
      </c>
      <c r="B2466" t="s">
        <v>63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H2467" s="1">
        <v>45140</v>
      </c>
    </row>
    <row r="2468" spans="1:8" x14ac:dyDescent="0.35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2488</v>
      </c>
      <c r="B2469" t="s">
        <v>23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2489</v>
      </c>
      <c r="B2470" t="s">
        <v>13</v>
      </c>
      <c r="C2470">
        <v>5</v>
      </c>
      <c r="D2470">
        <v>3</v>
      </c>
      <c r="E2470">
        <v>15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2491</v>
      </c>
      <c r="B2472" t="s">
        <v>23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2492</v>
      </c>
      <c r="B2473" t="s">
        <v>26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H2477" s="1">
        <v>45119</v>
      </c>
    </row>
    <row r="2478" spans="1:8" x14ac:dyDescent="0.35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2498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2500</v>
      </c>
      <c r="B2481" t="s">
        <v>13</v>
      </c>
      <c r="C2481">
        <v>3</v>
      </c>
      <c r="D2481">
        <v>3</v>
      </c>
      <c r="E2481">
        <v>9</v>
      </c>
      <c r="H2481" s="1">
        <v>45223</v>
      </c>
    </row>
    <row r="2482" spans="1:8" x14ac:dyDescent="0.35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</row>
    <row r="2485" spans="1:8" x14ac:dyDescent="0.35">
      <c r="A2485" t="s">
        <v>2504</v>
      </c>
      <c r="C2485">
        <v>4</v>
      </c>
      <c r="D2485">
        <v>5</v>
      </c>
      <c r="E2485">
        <v>20</v>
      </c>
      <c r="F2485" t="s">
        <v>21</v>
      </c>
      <c r="H2485" s="1">
        <v>45038</v>
      </c>
    </row>
    <row r="2486" spans="1:8" x14ac:dyDescent="0.35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</row>
    <row r="2487" spans="1:8" x14ac:dyDescent="0.35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</row>
    <row r="2489" spans="1:8" x14ac:dyDescent="0.35">
      <c r="A2489" t="s">
        <v>2508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2509</v>
      </c>
      <c r="B2490" t="s">
        <v>63</v>
      </c>
      <c r="C2490">
        <v>5</v>
      </c>
      <c r="D2490">
        <v>1.5</v>
      </c>
      <c r="E2490">
        <v>7.5</v>
      </c>
      <c r="G2490" t="s">
        <v>11</v>
      </c>
      <c r="H2490" s="1">
        <v>45089</v>
      </c>
    </row>
    <row r="2491" spans="1:8" x14ac:dyDescent="0.35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H2492" s="1">
        <v>45102</v>
      </c>
    </row>
    <row r="2493" spans="1:8" x14ac:dyDescent="0.35">
      <c r="A2493" t="s">
        <v>2512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2515</v>
      </c>
      <c r="B2496" t="s">
        <v>19</v>
      </c>
      <c r="C2496">
        <v>3</v>
      </c>
      <c r="D2496">
        <v>5</v>
      </c>
      <c r="E2496">
        <v>15</v>
      </c>
      <c r="F2496" t="s">
        <v>21</v>
      </c>
      <c r="G2496" t="s">
        <v>11</v>
      </c>
      <c r="H2496" s="1">
        <v>45252</v>
      </c>
    </row>
    <row r="2497" spans="1:8" x14ac:dyDescent="0.35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</row>
    <row r="2499" spans="1:8" x14ac:dyDescent="0.35">
      <c r="A2499" t="s">
        <v>2518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</row>
    <row r="2503" spans="1:8" x14ac:dyDescent="0.35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</row>
    <row r="2504" spans="1:8" x14ac:dyDescent="0.35">
      <c r="A2504" t="s">
        <v>2523</v>
      </c>
      <c r="B2504" t="s">
        <v>19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</row>
    <row r="2506" spans="1:8" x14ac:dyDescent="0.35">
      <c r="A2506" t="s">
        <v>2525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</row>
    <row r="2508" spans="1:8" x14ac:dyDescent="0.35">
      <c r="A2508" t="s">
        <v>2527</v>
      </c>
      <c r="B2508" t="s">
        <v>63</v>
      </c>
      <c r="C2508">
        <v>4</v>
      </c>
      <c r="D2508">
        <v>1.5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2529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</row>
    <row r="2512" spans="1:8" x14ac:dyDescent="0.35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</row>
    <row r="2513" spans="1:8" x14ac:dyDescent="0.35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H2513" s="1">
        <v>45102</v>
      </c>
    </row>
    <row r="2514" spans="1:8" x14ac:dyDescent="0.35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2536</v>
      </c>
      <c r="B2517" t="s">
        <v>17</v>
      </c>
      <c r="C2517">
        <v>1</v>
      </c>
      <c r="D2517">
        <v>1</v>
      </c>
      <c r="E2517">
        <v>1</v>
      </c>
      <c r="H2517" s="1">
        <v>45124</v>
      </c>
    </row>
    <row r="2518" spans="1:8" x14ac:dyDescent="0.35">
      <c r="A2518" t="s">
        <v>2537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2539</v>
      </c>
      <c r="B2520" t="s">
        <v>37</v>
      </c>
      <c r="C2520">
        <v>3</v>
      </c>
      <c r="D2520">
        <v>3</v>
      </c>
      <c r="E2520">
        <v>9</v>
      </c>
      <c r="G2520" t="s">
        <v>15</v>
      </c>
      <c r="H2520" s="1">
        <v>45111</v>
      </c>
    </row>
    <row r="2521" spans="1:8" x14ac:dyDescent="0.35">
      <c r="A2521" t="s">
        <v>2540</v>
      </c>
      <c r="C2521">
        <v>4</v>
      </c>
      <c r="D2521">
        <v>1</v>
      </c>
      <c r="E2521">
        <v>4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2541</v>
      </c>
      <c r="B2522" t="s">
        <v>19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H2523" s="1">
        <v>44998</v>
      </c>
    </row>
    <row r="2524" spans="1:8" x14ac:dyDescent="0.35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H2524" s="1">
        <v>45100</v>
      </c>
    </row>
    <row r="2525" spans="1:8" x14ac:dyDescent="0.35">
      <c r="A2525" t="s">
        <v>2544</v>
      </c>
      <c r="B2525" t="s">
        <v>26</v>
      </c>
      <c r="C2525">
        <v>2</v>
      </c>
      <c r="D2525">
        <v>4</v>
      </c>
      <c r="E2525">
        <v>8</v>
      </c>
      <c r="H2525" s="1">
        <v>45110</v>
      </c>
    </row>
    <row r="2526" spans="1:8" x14ac:dyDescent="0.35">
      <c r="A2526" t="s">
        <v>2545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2546</v>
      </c>
      <c r="B2527" t="s">
        <v>19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2548</v>
      </c>
      <c r="B2529" t="s">
        <v>63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2551</v>
      </c>
      <c r="B2532" t="s">
        <v>63</v>
      </c>
      <c r="C2532">
        <v>2</v>
      </c>
      <c r="D2532">
        <v>1.5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2553</v>
      </c>
      <c r="B2534" t="s">
        <v>19</v>
      </c>
      <c r="C2534">
        <v>5</v>
      </c>
      <c r="D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2554</v>
      </c>
      <c r="B2535" t="s">
        <v>13</v>
      </c>
      <c r="C2535">
        <v>2</v>
      </c>
      <c r="D2535">
        <v>3</v>
      </c>
      <c r="E2535">
        <v>6</v>
      </c>
      <c r="F2535" t="s">
        <v>21</v>
      </c>
      <c r="H2535" s="1">
        <v>45197</v>
      </c>
    </row>
    <row r="2536" spans="1:8" x14ac:dyDescent="0.35">
      <c r="A2536" t="s">
        <v>2555</v>
      </c>
      <c r="B2536" t="s">
        <v>63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H2538" s="1">
        <v>45219</v>
      </c>
    </row>
    <row r="2539" spans="1:8" x14ac:dyDescent="0.35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</row>
    <row r="2542" spans="1:8" x14ac:dyDescent="0.35">
      <c r="A2542" t="s">
        <v>2561</v>
      </c>
      <c r="B2542" t="s">
        <v>37</v>
      </c>
      <c r="C2542">
        <v>2</v>
      </c>
      <c r="D2542">
        <v>3</v>
      </c>
      <c r="E2542">
        <v>6</v>
      </c>
      <c r="G2542" t="s">
        <v>11</v>
      </c>
    </row>
    <row r="2543" spans="1:8" x14ac:dyDescent="0.35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H2544" s="1">
        <v>45231</v>
      </c>
    </row>
    <row r="2545" spans="1:8" x14ac:dyDescent="0.35">
      <c r="A2545" t="s">
        <v>2564</v>
      </c>
      <c r="B2545" t="s">
        <v>37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H2546" s="1">
        <v>44944</v>
      </c>
    </row>
    <row r="2547" spans="1:8" x14ac:dyDescent="0.35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H2547" s="1">
        <v>44942</v>
      </c>
    </row>
    <row r="2548" spans="1:8" x14ac:dyDescent="0.35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2568</v>
      </c>
      <c r="B2549" t="s">
        <v>9</v>
      </c>
      <c r="C2549">
        <v>4</v>
      </c>
      <c r="D2549">
        <v>2</v>
      </c>
      <c r="E2549">
        <v>8</v>
      </c>
      <c r="F2549" t="s">
        <v>10</v>
      </c>
      <c r="H2549" s="1">
        <v>45086</v>
      </c>
    </row>
    <row r="2550" spans="1:8" x14ac:dyDescent="0.35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</row>
    <row r="2552" spans="1:8" x14ac:dyDescent="0.35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H2552" s="1">
        <v>45111</v>
      </c>
    </row>
    <row r="2553" spans="1:8" x14ac:dyDescent="0.35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H2554" s="1">
        <v>45103</v>
      </c>
    </row>
    <row r="2555" spans="1:8" x14ac:dyDescent="0.35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</row>
    <row r="2556" spans="1:8" x14ac:dyDescent="0.35">
      <c r="A2556" t="s">
        <v>2575</v>
      </c>
      <c r="B2556" t="s">
        <v>37</v>
      </c>
      <c r="C2556">
        <v>4</v>
      </c>
      <c r="D2556">
        <v>3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2578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2579</v>
      </c>
      <c r="B2560" t="s">
        <v>13</v>
      </c>
      <c r="C2560">
        <v>2</v>
      </c>
      <c r="D2560">
        <v>3</v>
      </c>
      <c r="E2560">
        <v>6</v>
      </c>
      <c r="H2560" s="1">
        <v>45004</v>
      </c>
    </row>
    <row r="2561" spans="1:8" x14ac:dyDescent="0.35">
      <c r="A2561" t="s">
        <v>2580</v>
      </c>
      <c r="B2561" t="s">
        <v>13</v>
      </c>
      <c r="C2561">
        <v>5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2584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2585</v>
      </c>
      <c r="B2566" t="s">
        <v>26</v>
      </c>
      <c r="C2566">
        <v>5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2586</v>
      </c>
      <c r="B2567" t="s">
        <v>63</v>
      </c>
      <c r="C2567">
        <v>3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2587</v>
      </c>
      <c r="C2568">
        <v>1</v>
      </c>
      <c r="D2568">
        <v>2</v>
      </c>
      <c r="E2568">
        <v>2</v>
      </c>
      <c r="F2568" t="s">
        <v>21</v>
      </c>
      <c r="H2568" s="1">
        <v>45165</v>
      </c>
    </row>
    <row r="2569" spans="1:8" x14ac:dyDescent="0.35">
      <c r="A2569" t="s">
        <v>2588</v>
      </c>
      <c r="B2569" t="s">
        <v>26</v>
      </c>
      <c r="C2569">
        <v>5</v>
      </c>
      <c r="D2569">
        <v>4</v>
      </c>
      <c r="E2569">
        <v>20</v>
      </c>
      <c r="H2569" s="1">
        <v>45282</v>
      </c>
    </row>
    <row r="2570" spans="1:8" x14ac:dyDescent="0.35">
      <c r="A2570" t="s">
        <v>2589</v>
      </c>
      <c r="B2570" t="s">
        <v>23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H2571" s="1">
        <v>45031</v>
      </c>
    </row>
    <row r="2572" spans="1:8" x14ac:dyDescent="0.35">
      <c r="A2572" t="s">
        <v>2591</v>
      </c>
      <c r="B2572" t="s">
        <v>9</v>
      </c>
      <c r="C2572">
        <v>1</v>
      </c>
      <c r="D2572">
        <v>2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2592</v>
      </c>
      <c r="B2573" t="s">
        <v>26</v>
      </c>
      <c r="C2573">
        <v>4</v>
      </c>
      <c r="D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2593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2594</v>
      </c>
      <c r="B2575" t="s">
        <v>26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</row>
    <row r="2579" spans="1:8" x14ac:dyDescent="0.35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</row>
    <row r="2580" spans="1:8" x14ac:dyDescent="0.35">
      <c r="A2580" t="s">
        <v>2599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H2581" s="1">
        <v>45261</v>
      </c>
    </row>
    <row r="2582" spans="1:8" x14ac:dyDescent="0.35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H2582" s="1">
        <v>44956</v>
      </c>
    </row>
    <row r="2583" spans="1:8" x14ac:dyDescent="0.35">
      <c r="A2583" t="s">
        <v>2602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2604</v>
      </c>
      <c r="C2585">
        <v>1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</row>
    <row r="2586" spans="1:8" x14ac:dyDescent="0.35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2606</v>
      </c>
      <c r="B2587" t="s">
        <v>63</v>
      </c>
      <c r="C2587">
        <v>3</v>
      </c>
      <c r="D2587">
        <v>1.5</v>
      </c>
      <c r="E2587">
        <v>4.5</v>
      </c>
      <c r="F2587" t="s">
        <v>21</v>
      </c>
      <c r="H2587" s="1">
        <v>44981</v>
      </c>
    </row>
    <row r="2588" spans="1:8" x14ac:dyDescent="0.35">
      <c r="A2588" t="s">
        <v>2607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2608</v>
      </c>
      <c r="C2589">
        <v>2</v>
      </c>
      <c r="D2589">
        <v>4</v>
      </c>
      <c r="E2589">
        <v>8</v>
      </c>
      <c r="F2589" t="s">
        <v>21</v>
      </c>
      <c r="H2589" s="1">
        <v>45141</v>
      </c>
    </row>
    <row r="2590" spans="1:8" x14ac:dyDescent="0.35">
      <c r="A2590" t="s">
        <v>2609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2612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2613</v>
      </c>
      <c r="B2594" t="s">
        <v>9</v>
      </c>
      <c r="C2594">
        <v>1</v>
      </c>
      <c r="D2594">
        <v>2</v>
      </c>
      <c r="E2594">
        <v>2</v>
      </c>
      <c r="H2594" s="1">
        <v>45221</v>
      </c>
    </row>
    <row r="2595" spans="1:8" x14ac:dyDescent="0.35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2615</v>
      </c>
      <c r="B2596" t="s">
        <v>17</v>
      </c>
      <c r="C2596">
        <v>2</v>
      </c>
      <c r="D2596">
        <v>1</v>
      </c>
      <c r="E2596">
        <v>2</v>
      </c>
      <c r="G2596" t="s">
        <v>15</v>
      </c>
      <c r="H2596" s="1">
        <v>45077</v>
      </c>
    </row>
    <row r="2597" spans="1:8" x14ac:dyDescent="0.35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2617</v>
      </c>
      <c r="C2598">
        <v>5</v>
      </c>
      <c r="D2598">
        <v>3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</row>
    <row r="2600" spans="1:8" x14ac:dyDescent="0.35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</row>
    <row r="2601" spans="1:8" x14ac:dyDescent="0.35">
      <c r="A2601" t="s">
        <v>2620</v>
      </c>
      <c r="C2601">
        <v>1</v>
      </c>
      <c r="D2601">
        <v>5</v>
      </c>
      <c r="E2601">
        <v>5</v>
      </c>
      <c r="H2601" s="1">
        <v>44943</v>
      </c>
    </row>
    <row r="2602" spans="1:8" x14ac:dyDescent="0.35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</row>
    <row r="2603" spans="1:8" x14ac:dyDescent="0.35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H2604" s="1">
        <v>45044</v>
      </c>
    </row>
    <row r="2605" spans="1:8" x14ac:dyDescent="0.35">
      <c r="A2605" t="s">
        <v>2624</v>
      </c>
      <c r="B2605" t="s">
        <v>17</v>
      </c>
      <c r="C2605">
        <v>5</v>
      </c>
      <c r="D2605">
        <v>1</v>
      </c>
      <c r="E2605">
        <v>5</v>
      </c>
      <c r="F2605" t="s">
        <v>21</v>
      </c>
      <c r="H2605" s="1">
        <v>45237</v>
      </c>
    </row>
    <row r="2606" spans="1:8" x14ac:dyDescent="0.35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H2607" s="1">
        <v>44997</v>
      </c>
    </row>
    <row r="2608" spans="1:8" x14ac:dyDescent="0.35">
      <c r="A2608" t="s">
        <v>2627</v>
      </c>
      <c r="B2608" t="s">
        <v>17</v>
      </c>
      <c r="C2608">
        <v>4</v>
      </c>
      <c r="D2608">
        <v>1</v>
      </c>
      <c r="E2608">
        <v>4</v>
      </c>
      <c r="H2608" s="1">
        <v>45284</v>
      </c>
    </row>
    <row r="2609" spans="1:8" x14ac:dyDescent="0.35">
      <c r="A2609" t="s">
        <v>2628</v>
      </c>
      <c r="B2609" t="s">
        <v>37</v>
      </c>
      <c r="C2609">
        <v>4</v>
      </c>
      <c r="D2609">
        <v>3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H2611" s="1">
        <v>45034</v>
      </c>
    </row>
    <row r="2612" spans="1:8" x14ac:dyDescent="0.35">
      <c r="A2612" t="s">
        <v>2631</v>
      </c>
      <c r="C2612">
        <v>5</v>
      </c>
      <c r="D2612">
        <v>3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2632</v>
      </c>
      <c r="B2613" t="s">
        <v>63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2634</v>
      </c>
      <c r="B2615" t="s">
        <v>23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2635</v>
      </c>
      <c r="B2616" t="s">
        <v>23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2636</v>
      </c>
      <c r="B2617" t="s">
        <v>63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2638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2639</v>
      </c>
      <c r="B2620" t="s">
        <v>13</v>
      </c>
      <c r="C2620">
        <v>1</v>
      </c>
      <c r="D2620">
        <v>3</v>
      </c>
      <c r="E2620">
        <v>3</v>
      </c>
      <c r="G2620" t="s">
        <v>15</v>
      </c>
      <c r="H2620" s="1">
        <v>45291</v>
      </c>
    </row>
    <row r="2621" spans="1:8" x14ac:dyDescent="0.35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</row>
    <row r="2622" spans="1:8" x14ac:dyDescent="0.35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2643</v>
      </c>
      <c r="B2624" t="s">
        <v>23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2645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</row>
    <row r="2627" spans="1:8" x14ac:dyDescent="0.35">
      <c r="A2627" t="s">
        <v>2646</v>
      </c>
      <c r="B2627" t="s">
        <v>23</v>
      </c>
      <c r="C2627">
        <v>3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</row>
    <row r="2628" spans="1:8" x14ac:dyDescent="0.35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2648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</row>
    <row r="2631" spans="1:8" x14ac:dyDescent="0.35">
      <c r="A2631" t="s">
        <v>2650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2651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2652</v>
      </c>
      <c r="B2633" t="s">
        <v>37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2653</v>
      </c>
      <c r="B2634" t="s">
        <v>19</v>
      </c>
      <c r="C2634">
        <v>1</v>
      </c>
      <c r="D2634">
        <v>5</v>
      </c>
      <c r="E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</row>
    <row r="2637" spans="1:8" x14ac:dyDescent="0.35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</row>
    <row r="2638" spans="1:8" x14ac:dyDescent="0.35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2658</v>
      </c>
      <c r="B2639" t="s">
        <v>37</v>
      </c>
      <c r="C2639">
        <v>1</v>
      </c>
      <c r="D2639">
        <v>3</v>
      </c>
      <c r="E2639">
        <v>3</v>
      </c>
      <c r="H2639" s="1">
        <v>45029</v>
      </c>
    </row>
    <row r="2640" spans="1:8" x14ac:dyDescent="0.35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</row>
    <row r="2642" spans="1:8" x14ac:dyDescent="0.35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2662</v>
      </c>
      <c r="B2643" t="s">
        <v>26</v>
      </c>
      <c r="C2643">
        <v>4</v>
      </c>
      <c r="D2643">
        <v>4</v>
      </c>
      <c r="E2643">
        <v>16</v>
      </c>
      <c r="H2643" s="1">
        <v>44983</v>
      </c>
    </row>
    <row r="2644" spans="1:8" x14ac:dyDescent="0.35">
      <c r="A2644" t="s">
        <v>2663</v>
      </c>
      <c r="B2644" t="s">
        <v>37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2665</v>
      </c>
      <c r="B2646" t="s">
        <v>19</v>
      </c>
      <c r="C2646">
        <v>1</v>
      </c>
      <c r="D2646">
        <v>5</v>
      </c>
      <c r="E2646">
        <v>5</v>
      </c>
      <c r="G2646" t="s">
        <v>11</v>
      </c>
      <c r="H2646" s="1">
        <v>44973</v>
      </c>
    </row>
    <row r="2647" spans="1:8" x14ac:dyDescent="0.35">
      <c r="A2647" t="s">
        <v>2666</v>
      </c>
      <c r="B2647" t="s">
        <v>63</v>
      </c>
      <c r="C2647">
        <v>4</v>
      </c>
      <c r="D2647">
        <v>1.5</v>
      </c>
      <c r="E2647">
        <v>6</v>
      </c>
      <c r="H2647" s="1">
        <v>45162</v>
      </c>
    </row>
    <row r="2648" spans="1:8" x14ac:dyDescent="0.35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2668</v>
      </c>
      <c r="B2649" t="s">
        <v>9</v>
      </c>
      <c r="C2649">
        <v>2</v>
      </c>
      <c r="D2649">
        <v>2</v>
      </c>
      <c r="E2649">
        <v>4</v>
      </c>
      <c r="F2649" t="s">
        <v>21</v>
      </c>
      <c r="H2649" s="1">
        <v>45184</v>
      </c>
    </row>
    <row r="2650" spans="1:8" x14ac:dyDescent="0.35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2671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H2653" s="1">
        <v>45122</v>
      </c>
    </row>
    <row r="2654" spans="1:8" x14ac:dyDescent="0.35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</row>
    <row r="2655" spans="1:8" x14ac:dyDescent="0.35">
      <c r="A2655" t="s">
        <v>2674</v>
      </c>
      <c r="B2655" t="s">
        <v>13</v>
      </c>
      <c r="C2655">
        <v>2</v>
      </c>
      <c r="D2655">
        <v>3</v>
      </c>
      <c r="E2655">
        <v>6</v>
      </c>
      <c r="F2655" t="s">
        <v>10</v>
      </c>
      <c r="H2655" s="1">
        <v>45216</v>
      </c>
    </row>
    <row r="2656" spans="1:8" x14ac:dyDescent="0.35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</row>
    <row r="2658" spans="1:8" x14ac:dyDescent="0.35">
      <c r="A2658" t="s">
        <v>2677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2679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</row>
    <row r="2664" spans="1:8" x14ac:dyDescent="0.35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2684</v>
      </c>
      <c r="B2665" t="s">
        <v>23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2685</v>
      </c>
      <c r="B2666" t="s">
        <v>19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2686</v>
      </c>
      <c r="B2667" t="s">
        <v>23</v>
      </c>
      <c r="C2667">
        <v>4</v>
      </c>
      <c r="D2667">
        <v>4</v>
      </c>
      <c r="E2667">
        <v>16</v>
      </c>
      <c r="G2667" t="s">
        <v>15</v>
      </c>
      <c r="H2667" s="1">
        <v>45226</v>
      </c>
    </row>
    <row r="2668" spans="1:8" x14ac:dyDescent="0.35">
      <c r="A2668" t="s">
        <v>2687</v>
      </c>
      <c r="B2668" t="s">
        <v>19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H2673" s="1">
        <v>45221</v>
      </c>
    </row>
    <row r="2674" spans="1:8" x14ac:dyDescent="0.35">
      <c r="A2674" t="s">
        <v>2693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2694</v>
      </c>
      <c r="B2675" t="s">
        <v>23</v>
      </c>
      <c r="C2675">
        <v>3</v>
      </c>
      <c r="D2675">
        <v>4</v>
      </c>
      <c r="E2675">
        <v>12</v>
      </c>
      <c r="F2675" t="s">
        <v>21</v>
      </c>
      <c r="G2675" t="s">
        <v>15</v>
      </c>
      <c r="H2675" s="1">
        <v>45040</v>
      </c>
    </row>
    <row r="2676" spans="1:8" x14ac:dyDescent="0.35">
      <c r="A2676" t="s">
        <v>2695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H2677" s="1">
        <v>45260</v>
      </c>
    </row>
    <row r="2678" spans="1:8" x14ac:dyDescent="0.35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H2678" s="1">
        <v>45023</v>
      </c>
    </row>
    <row r="2679" spans="1:8" x14ac:dyDescent="0.35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2701</v>
      </c>
      <c r="B2682" t="s">
        <v>13</v>
      </c>
      <c r="C2682">
        <v>3</v>
      </c>
      <c r="D2682">
        <v>3</v>
      </c>
      <c r="E2682">
        <v>9</v>
      </c>
      <c r="G2682" t="s">
        <v>15</v>
      </c>
      <c r="H2682" s="1">
        <v>45149</v>
      </c>
    </row>
    <row r="2683" spans="1:8" x14ac:dyDescent="0.35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</row>
    <row r="2684" spans="1:8" x14ac:dyDescent="0.35">
      <c r="A2684" t="s">
        <v>2703</v>
      </c>
      <c r="B2684" t="s">
        <v>37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2704</v>
      </c>
      <c r="B2685" t="s">
        <v>17</v>
      </c>
      <c r="C2685">
        <v>5</v>
      </c>
      <c r="D2685">
        <v>1</v>
      </c>
      <c r="E2685">
        <v>5</v>
      </c>
      <c r="F2685" t="s">
        <v>21</v>
      </c>
      <c r="G2685" t="s">
        <v>15</v>
      </c>
      <c r="H2685" s="1">
        <v>45065</v>
      </c>
    </row>
    <row r="2686" spans="1:8" x14ac:dyDescent="0.35">
      <c r="A2686" t="s">
        <v>2705</v>
      </c>
      <c r="B2686" t="s">
        <v>23</v>
      </c>
      <c r="C2686">
        <v>1</v>
      </c>
      <c r="D2686">
        <v>4</v>
      </c>
      <c r="E2686">
        <v>4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2706</v>
      </c>
      <c r="B2687" t="s">
        <v>17</v>
      </c>
      <c r="C2687">
        <v>4</v>
      </c>
      <c r="D2687">
        <v>1</v>
      </c>
      <c r="E2687">
        <v>4</v>
      </c>
      <c r="G2687" t="s">
        <v>15</v>
      </c>
      <c r="H2687" s="1">
        <v>45028</v>
      </c>
    </row>
    <row r="2688" spans="1:8" x14ac:dyDescent="0.35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</row>
    <row r="2689" spans="1:8" x14ac:dyDescent="0.35">
      <c r="A2689" t="s">
        <v>2708</v>
      </c>
      <c r="B2689" t="s">
        <v>17</v>
      </c>
      <c r="C2689">
        <v>3</v>
      </c>
      <c r="D2689">
        <v>1</v>
      </c>
      <c r="E2689">
        <v>3</v>
      </c>
      <c r="G2689" t="s">
        <v>15</v>
      </c>
      <c r="H2689" s="1">
        <v>45041</v>
      </c>
    </row>
    <row r="2690" spans="1:8" x14ac:dyDescent="0.35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H2690" s="1">
        <v>45091</v>
      </c>
    </row>
    <row r="2691" spans="1:8" x14ac:dyDescent="0.35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2711</v>
      </c>
      <c r="B2692" t="s">
        <v>23</v>
      </c>
      <c r="C2692">
        <v>2</v>
      </c>
      <c r="D2692">
        <v>4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</row>
    <row r="2694" spans="1:8" x14ac:dyDescent="0.35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2715</v>
      </c>
      <c r="B2696" t="s">
        <v>63</v>
      </c>
      <c r="C2696">
        <v>3</v>
      </c>
      <c r="D2696">
        <v>1.5</v>
      </c>
      <c r="E2696">
        <v>4.5</v>
      </c>
      <c r="H2696" s="1">
        <v>45133</v>
      </c>
    </row>
    <row r="2697" spans="1:8" x14ac:dyDescent="0.35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</row>
    <row r="2698" spans="1:8" x14ac:dyDescent="0.35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</row>
    <row r="2699" spans="1:8" x14ac:dyDescent="0.35">
      <c r="A2699" t="s">
        <v>2718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2719</v>
      </c>
      <c r="B2700" t="s">
        <v>63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</row>
    <row r="2702" spans="1:8" x14ac:dyDescent="0.35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2722</v>
      </c>
      <c r="B2703" t="s">
        <v>19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</row>
    <row r="2706" spans="1:8" x14ac:dyDescent="0.35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2726</v>
      </c>
      <c r="B2707" t="s">
        <v>17</v>
      </c>
      <c r="C2707">
        <v>1</v>
      </c>
      <c r="D2707">
        <v>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2727</v>
      </c>
      <c r="B2708" t="s">
        <v>9</v>
      </c>
      <c r="C2708">
        <v>3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</row>
    <row r="2709" spans="1:8" x14ac:dyDescent="0.35">
      <c r="A2709" t="s">
        <v>2728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2729</v>
      </c>
      <c r="B2710" t="s">
        <v>37</v>
      </c>
      <c r="C2710">
        <v>3</v>
      </c>
      <c r="D2710">
        <v>3</v>
      </c>
      <c r="E2710">
        <v>9</v>
      </c>
      <c r="G2710" t="s">
        <v>11</v>
      </c>
    </row>
    <row r="2711" spans="1:8" x14ac:dyDescent="0.35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2732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2733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2735</v>
      </c>
      <c r="B2716" t="s">
        <v>37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2736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</row>
    <row r="2719" spans="1:8" x14ac:dyDescent="0.35">
      <c r="A2719" t="s">
        <v>2738</v>
      </c>
      <c r="B2719" t="s">
        <v>9</v>
      </c>
      <c r="C2719">
        <v>2</v>
      </c>
      <c r="D2719">
        <v>2</v>
      </c>
      <c r="E2719">
        <v>4</v>
      </c>
      <c r="H2719" s="1">
        <v>45189</v>
      </c>
    </row>
    <row r="2720" spans="1:8" x14ac:dyDescent="0.35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2740</v>
      </c>
      <c r="B2721" t="s">
        <v>37</v>
      </c>
      <c r="C2721">
        <v>3</v>
      </c>
      <c r="D2721">
        <v>3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2741</v>
      </c>
      <c r="B2722" t="s">
        <v>63</v>
      </c>
      <c r="C2722">
        <v>5</v>
      </c>
      <c r="D2722">
        <v>1.5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2742</v>
      </c>
      <c r="B2723" t="s">
        <v>26</v>
      </c>
      <c r="C2723">
        <v>2</v>
      </c>
      <c r="D2723">
        <v>4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</row>
    <row r="2725" spans="1:8" x14ac:dyDescent="0.35">
      <c r="A2725" t="s">
        <v>2744</v>
      </c>
      <c r="B2725" t="s">
        <v>63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2745</v>
      </c>
      <c r="B2726" t="s">
        <v>63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</row>
    <row r="2729" spans="1:8" x14ac:dyDescent="0.35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</row>
    <row r="2730" spans="1:8" x14ac:dyDescent="0.35">
      <c r="A2730" t="s">
        <v>2749</v>
      </c>
      <c r="B2730" t="s">
        <v>13</v>
      </c>
      <c r="C2730">
        <v>5</v>
      </c>
      <c r="D2730">
        <v>3</v>
      </c>
      <c r="E2730">
        <v>15</v>
      </c>
      <c r="G2730" t="s">
        <v>11</v>
      </c>
      <c r="H2730" s="1">
        <v>45106</v>
      </c>
    </row>
    <row r="2731" spans="1:8" x14ac:dyDescent="0.35">
      <c r="A2731" t="s">
        <v>2750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2752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</row>
    <row r="2734" spans="1:8" x14ac:dyDescent="0.35">
      <c r="A2734" t="s">
        <v>2753</v>
      </c>
      <c r="B2734" t="s">
        <v>19</v>
      </c>
      <c r="C2734">
        <v>4</v>
      </c>
      <c r="D2734">
        <v>5</v>
      </c>
      <c r="E2734">
        <v>20</v>
      </c>
      <c r="H2734" s="1">
        <v>45057</v>
      </c>
    </row>
    <row r="2735" spans="1:8" x14ac:dyDescent="0.35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</row>
    <row r="2736" spans="1:8" x14ac:dyDescent="0.35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H2736" s="1">
        <v>45163</v>
      </c>
    </row>
    <row r="2737" spans="1:8" x14ac:dyDescent="0.35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2757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2759</v>
      </c>
      <c r="B2740" t="s">
        <v>63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2760</v>
      </c>
      <c r="B2741" t="s">
        <v>19</v>
      </c>
      <c r="C2741">
        <v>5</v>
      </c>
      <c r="D2741">
        <v>5</v>
      </c>
      <c r="E2741">
        <v>25</v>
      </c>
      <c r="H2741" s="1">
        <v>45174</v>
      </c>
    </row>
    <row r="2742" spans="1:8" x14ac:dyDescent="0.35">
      <c r="A2742" t="s">
        <v>2761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2762</v>
      </c>
      <c r="B2743" t="s">
        <v>63</v>
      </c>
      <c r="C2743">
        <v>3</v>
      </c>
      <c r="D2743">
        <v>1.5</v>
      </c>
      <c r="E2743">
        <v>4.5</v>
      </c>
      <c r="G2743" t="s">
        <v>11</v>
      </c>
      <c r="H2743" s="1">
        <v>45257</v>
      </c>
    </row>
    <row r="2744" spans="1:8" x14ac:dyDescent="0.35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H2744" s="1">
        <v>44997</v>
      </c>
    </row>
    <row r="2745" spans="1:8" x14ac:dyDescent="0.35">
      <c r="A2745" t="s">
        <v>2764</v>
      </c>
      <c r="B2745" t="s">
        <v>37</v>
      </c>
      <c r="C2745">
        <v>5</v>
      </c>
      <c r="D2745">
        <v>3</v>
      </c>
      <c r="E2745">
        <v>15</v>
      </c>
      <c r="G2745" t="s">
        <v>11</v>
      </c>
      <c r="H2745" s="1">
        <v>44932</v>
      </c>
    </row>
    <row r="2746" spans="1:8" x14ac:dyDescent="0.35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2768</v>
      </c>
      <c r="B2749" t="s">
        <v>37</v>
      </c>
      <c r="C2749">
        <v>4</v>
      </c>
      <c r="D2749">
        <v>3</v>
      </c>
      <c r="E2749">
        <v>12</v>
      </c>
      <c r="H2749" s="1">
        <v>45028</v>
      </c>
    </row>
    <row r="2750" spans="1:8" x14ac:dyDescent="0.35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H2750" s="1">
        <v>45106</v>
      </c>
    </row>
    <row r="2751" spans="1:8" x14ac:dyDescent="0.35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</row>
    <row r="2754" spans="1:8" x14ac:dyDescent="0.35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2774</v>
      </c>
      <c r="B2755" t="s">
        <v>26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H2756" s="1">
        <v>45257</v>
      </c>
    </row>
    <row r="2757" spans="1:8" x14ac:dyDescent="0.35">
      <c r="A2757" t="s">
        <v>2776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2778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2779</v>
      </c>
      <c r="B2760" t="s">
        <v>19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2781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2782</v>
      </c>
      <c r="B2763" t="s">
        <v>13</v>
      </c>
      <c r="C2763">
        <v>4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</row>
    <row r="2764" spans="1:8" x14ac:dyDescent="0.35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</row>
    <row r="2765" spans="1:8" x14ac:dyDescent="0.35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</row>
    <row r="2766" spans="1:8" x14ac:dyDescent="0.35">
      <c r="A2766" t="s">
        <v>2785</v>
      </c>
      <c r="B2766" t="s">
        <v>13</v>
      </c>
      <c r="C2766">
        <v>5</v>
      </c>
      <c r="D2766">
        <v>3</v>
      </c>
      <c r="E2766">
        <v>15</v>
      </c>
      <c r="H2766" s="1">
        <v>44995</v>
      </c>
    </row>
    <row r="2767" spans="1:8" x14ac:dyDescent="0.35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2787</v>
      </c>
      <c r="B2768" t="s">
        <v>37</v>
      </c>
      <c r="C2768">
        <v>4</v>
      </c>
      <c r="D2768">
        <v>3</v>
      </c>
      <c r="E2768">
        <v>12</v>
      </c>
      <c r="G2768" t="s">
        <v>15</v>
      </c>
      <c r="H2768" s="1">
        <v>45109</v>
      </c>
    </row>
    <row r="2769" spans="1:8" x14ac:dyDescent="0.35">
      <c r="A2769" t="s">
        <v>2788</v>
      </c>
      <c r="B2769" t="s">
        <v>26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2789</v>
      </c>
      <c r="B2770" t="s">
        <v>26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</row>
    <row r="2772" spans="1:8" x14ac:dyDescent="0.35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</row>
    <row r="2773" spans="1:8" x14ac:dyDescent="0.35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</row>
    <row r="2774" spans="1:8" x14ac:dyDescent="0.35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</row>
    <row r="2776" spans="1:8" x14ac:dyDescent="0.35">
      <c r="A2776" t="s">
        <v>2795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H2778" s="1">
        <v>45156</v>
      </c>
    </row>
    <row r="2779" spans="1:8" x14ac:dyDescent="0.35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</row>
    <row r="2781" spans="1:8" x14ac:dyDescent="0.35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2801</v>
      </c>
      <c r="B2782" t="s">
        <v>23</v>
      </c>
      <c r="C2782">
        <v>2</v>
      </c>
      <c r="D2782">
        <v>4</v>
      </c>
      <c r="E2782">
        <v>8</v>
      </c>
      <c r="G2782" t="s">
        <v>15</v>
      </c>
      <c r="H2782" s="1">
        <v>45218</v>
      </c>
    </row>
    <row r="2783" spans="1:8" x14ac:dyDescent="0.35">
      <c r="A2783" t="s">
        <v>2802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2805</v>
      </c>
      <c r="B2786" t="s">
        <v>26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</row>
    <row r="2788" spans="1:8" x14ac:dyDescent="0.35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2808</v>
      </c>
      <c r="C2789">
        <v>3</v>
      </c>
      <c r="D2789">
        <v>4</v>
      </c>
      <c r="E2789">
        <v>12</v>
      </c>
      <c r="G2789" t="s">
        <v>15</v>
      </c>
      <c r="H2789" s="1">
        <v>45291</v>
      </c>
    </row>
    <row r="2790" spans="1:8" x14ac:dyDescent="0.35">
      <c r="A2790" t="s">
        <v>2809</v>
      </c>
      <c r="B2790" t="s">
        <v>37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2810</v>
      </c>
      <c r="B2791" t="s">
        <v>63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2811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</row>
    <row r="2794" spans="1:8" x14ac:dyDescent="0.35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</row>
    <row r="2795" spans="1:8" x14ac:dyDescent="0.35">
      <c r="A2795" t="s">
        <v>2814</v>
      </c>
      <c r="B2795" t="s">
        <v>13</v>
      </c>
      <c r="C2795">
        <v>2</v>
      </c>
      <c r="D2795">
        <v>3</v>
      </c>
      <c r="E2795">
        <v>6</v>
      </c>
      <c r="G2795" t="s">
        <v>15</v>
      </c>
      <c r="H2795" s="1">
        <v>45274</v>
      </c>
    </row>
    <row r="2796" spans="1:8" x14ac:dyDescent="0.35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2817</v>
      </c>
      <c r="B2798" t="s">
        <v>13</v>
      </c>
      <c r="D2798">
        <v>3</v>
      </c>
      <c r="F2798" t="s">
        <v>10</v>
      </c>
      <c r="H2798" s="1">
        <v>45261</v>
      </c>
    </row>
    <row r="2799" spans="1:8" x14ac:dyDescent="0.35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</row>
    <row r="2800" spans="1:8" x14ac:dyDescent="0.35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</row>
    <row r="2804" spans="1:8" x14ac:dyDescent="0.35">
      <c r="A2804" t="s">
        <v>2823</v>
      </c>
      <c r="C2804">
        <v>3</v>
      </c>
      <c r="D2804">
        <v>4</v>
      </c>
      <c r="E2804">
        <v>12</v>
      </c>
      <c r="F2804" t="s">
        <v>10</v>
      </c>
      <c r="H2804" s="1">
        <v>45025</v>
      </c>
    </row>
    <row r="2805" spans="1:8" x14ac:dyDescent="0.35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</row>
    <row r="2807" spans="1:8" x14ac:dyDescent="0.35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2827</v>
      </c>
      <c r="B2808" t="s">
        <v>17</v>
      </c>
      <c r="C2808">
        <v>4</v>
      </c>
      <c r="D2808">
        <v>1</v>
      </c>
      <c r="E2808">
        <v>4</v>
      </c>
      <c r="G2808" t="s">
        <v>11</v>
      </c>
      <c r="H2808" s="1">
        <v>44993</v>
      </c>
    </row>
    <row r="2809" spans="1:8" x14ac:dyDescent="0.35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</row>
    <row r="2810" spans="1:8" x14ac:dyDescent="0.35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2830</v>
      </c>
      <c r="B2811" t="s">
        <v>26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2832</v>
      </c>
      <c r="B2813" t="s">
        <v>13</v>
      </c>
      <c r="C2813">
        <v>5</v>
      </c>
      <c r="D2813">
        <v>3</v>
      </c>
      <c r="E2813">
        <v>15</v>
      </c>
      <c r="G2813" t="s">
        <v>15</v>
      </c>
      <c r="H2813" s="1">
        <v>45144</v>
      </c>
    </row>
    <row r="2814" spans="1:8" x14ac:dyDescent="0.35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2836</v>
      </c>
      <c r="B2817" t="s">
        <v>63</v>
      </c>
      <c r="C2817">
        <v>2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2838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H2820" s="1">
        <v>45009</v>
      </c>
    </row>
    <row r="2821" spans="1:8" x14ac:dyDescent="0.35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</row>
    <row r="2822" spans="1:8" x14ac:dyDescent="0.35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H2822" s="1">
        <v>45171</v>
      </c>
    </row>
    <row r="2823" spans="1:8" x14ac:dyDescent="0.35">
      <c r="A2823" t="s">
        <v>2842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H2826" s="1">
        <v>45202</v>
      </c>
    </row>
    <row r="2827" spans="1:8" x14ac:dyDescent="0.35">
      <c r="A2827" t="s">
        <v>2846</v>
      </c>
      <c r="B2827" t="s">
        <v>37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</row>
    <row r="2830" spans="1:8" x14ac:dyDescent="0.35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2851</v>
      </c>
      <c r="B2832" t="s">
        <v>17</v>
      </c>
      <c r="C2832">
        <v>1</v>
      </c>
      <c r="D2832">
        <v>1</v>
      </c>
      <c r="E2832">
        <v>1</v>
      </c>
      <c r="G2832" t="s">
        <v>15</v>
      </c>
    </row>
    <row r="2833" spans="1:8" x14ac:dyDescent="0.35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H2833" s="1">
        <v>44988</v>
      </c>
    </row>
    <row r="2834" spans="1:8" x14ac:dyDescent="0.35">
      <c r="A2834" t="s">
        <v>2853</v>
      </c>
      <c r="B2834" t="s">
        <v>37</v>
      </c>
      <c r="C2834">
        <v>3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2855</v>
      </c>
      <c r="B2836" t="s">
        <v>23</v>
      </c>
      <c r="C2836">
        <v>2</v>
      </c>
      <c r="D2836">
        <v>4</v>
      </c>
      <c r="E2836">
        <v>8</v>
      </c>
      <c r="H2836" s="1">
        <v>45157</v>
      </c>
    </row>
    <row r="2837" spans="1:8" x14ac:dyDescent="0.35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</row>
    <row r="2838" spans="1:8" x14ac:dyDescent="0.35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2858</v>
      </c>
      <c r="B2839" t="s">
        <v>26</v>
      </c>
      <c r="C2839">
        <v>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2859</v>
      </c>
      <c r="B2840" t="s">
        <v>26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2860</v>
      </c>
      <c r="B2841" t="s">
        <v>63</v>
      </c>
      <c r="C2841">
        <v>3</v>
      </c>
      <c r="D2841">
        <v>1.5</v>
      </c>
      <c r="E2841">
        <v>4.5</v>
      </c>
      <c r="G2841" t="s">
        <v>15</v>
      </c>
      <c r="H2841" s="1">
        <v>45027</v>
      </c>
    </row>
    <row r="2842" spans="1:8" x14ac:dyDescent="0.35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2862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</row>
    <row r="2846" spans="1:8" x14ac:dyDescent="0.35">
      <c r="A2846" t="s">
        <v>2865</v>
      </c>
      <c r="B2846" t="s">
        <v>63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</row>
    <row r="2848" spans="1:8" x14ac:dyDescent="0.35">
      <c r="A2848" t="s">
        <v>2867</v>
      </c>
      <c r="B2848" t="s">
        <v>37</v>
      </c>
      <c r="C2848">
        <v>2</v>
      </c>
      <c r="D2848">
        <v>3</v>
      </c>
      <c r="E2848">
        <v>6</v>
      </c>
      <c r="H2848" s="1">
        <v>45086</v>
      </c>
    </row>
    <row r="2849" spans="1:8" x14ac:dyDescent="0.35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</row>
    <row r="2850" spans="1:8" x14ac:dyDescent="0.35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</row>
    <row r="2852" spans="1:8" x14ac:dyDescent="0.35">
      <c r="A2852" t="s">
        <v>2871</v>
      </c>
      <c r="B2852" t="s">
        <v>23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2874</v>
      </c>
      <c r="B2855" t="s">
        <v>37</v>
      </c>
      <c r="C2855">
        <v>2</v>
      </c>
      <c r="D2855">
        <v>3</v>
      </c>
      <c r="E2855">
        <v>6</v>
      </c>
    </row>
    <row r="2856" spans="1:8" x14ac:dyDescent="0.35">
      <c r="A2856" t="s">
        <v>2875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2877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H2859" s="1">
        <v>45278</v>
      </c>
    </row>
    <row r="2860" spans="1:8" x14ac:dyDescent="0.35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H2860" s="1">
        <v>45234</v>
      </c>
    </row>
    <row r="2861" spans="1:8" x14ac:dyDescent="0.35">
      <c r="A2861" t="s">
        <v>2880</v>
      </c>
      <c r="C2861">
        <v>3</v>
      </c>
      <c r="D2861">
        <v>3</v>
      </c>
      <c r="E2861">
        <v>9</v>
      </c>
      <c r="F2861" t="s">
        <v>21</v>
      </c>
      <c r="H2861" s="1">
        <v>44956</v>
      </c>
    </row>
    <row r="2862" spans="1:8" x14ac:dyDescent="0.35">
      <c r="A2862" t="s">
        <v>2881</v>
      </c>
      <c r="B2862" t="s">
        <v>19</v>
      </c>
      <c r="C2862">
        <v>4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</row>
    <row r="2863" spans="1:8" x14ac:dyDescent="0.35">
      <c r="A2863" t="s">
        <v>2882</v>
      </c>
      <c r="B2863" t="s">
        <v>37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2883</v>
      </c>
      <c r="B2864" t="s">
        <v>37</v>
      </c>
      <c r="C2864">
        <v>1</v>
      </c>
      <c r="D2864">
        <v>3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2884</v>
      </c>
      <c r="B2865" t="s">
        <v>19</v>
      </c>
      <c r="C2865">
        <v>2</v>
      </c>
      <c r="D2865">
        <v>5</v>
      </c>
      <c r="E2865">
        <v>10</v>
      </c>
      <c r="H2865" s="1">
        <v>44957</v>
      </c>
    </row>
    <row r="2866" spans="1:8" x14ac:dyDescent="0.35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2886</v>
      </c>
      <c r="B2867" t="s">
        <v>37</v>
      </c>
      <c r="C2867">
        <v>1</v>
      </c>
      <c r="D2867">
        <v>3</v>
      </c>
      <c r="E2867">
        <v>3</v>
      </c>
      <c r="G2867" t="s">
        <v>11</v>
      </c>
      <c r="H2867" s="1">
        <v>45235</v>
      </c>
    </row>
    <row r="2868" spans="1:8" x14ac:dyDescent="0.35">
      <c r="A2868" t="s">
        <v>2887</v>
      </c>
      <c r="B2868" t="s">
        <v>19</v>
      </c>
      <c r="C2868">
        <v>2</v>
      </c>
      <c r="D2868">
        <v>5</v>
      </c>
      <c r="E2868">
        <v>10</v>
      </c>
      <c r="H2868" s="1">
        <v>45027</v>
      </c>
    </row>
    <row r="2869" spans="1:8" x14ac:dyDescent="0.35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</row>
    <row r="2871" spans="1:8" x14ac:dyDescent="0.35">
      <c r="A2871" t="s">
        <v>2890</v>
      </c>
      <c r="B2871" t="s">
        <v>37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2891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</row>
    <row r="2874" spans="1:8" x14ac:dyDescent="0.35">
      <c r="A2874" t="s">
        <v>2893</v>
      </c>
      <c r="B2874" t="s">
        <v>63</v>
      </c>
      <c r="C2874">
        <v>2</v>
      </c>
      <c r="D2874">
        <v>1.5</v>
      </c>
      <c r="E2874">
        <v>3</v>
      </c>
      <c r="H2874" s="1">
        <v>45216</v>
      </c>
    </row>
    <row r="2875" spans="1:8" x14ac:dyDescent="0.35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2896</v>
      </c>
      <c r="B2877" t="s">
        <v>37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2899</v>
      </c>
      <c r="B2880" t="s">
        <v>17</v>
      </c>
      <c r="C2880">
        <v>5</v>
      </c>
      <c r="D2880">
        <v>1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2901</v>
      </c>
      <c r="B2882" t="s">
        <v>26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2902</v>
      </c>
      <c r="B2883" t="s">
        <v>26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2906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2908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</row>
    <row r="2893" spans="1:8" x14ac:dyDescent="0.35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2913</v>
      </c>
      <c r="B2894" t="s">
        <v>19</v>
      </c>
      <c r="C2894">
        <v>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2914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2915</v>
      </c>
      <c r="B2896" t="s">
        <v>19</v>
      </c>
      <c r="C2896">
        <v>4</v>
      </c>
      <c r="D2896">
        <v>5</v>
      </c>
      <c r="E2896">
        <v>20</v>
      </c>
      <c r="H2896" s="1">
        <v>45087</v>
      </c>
    </row>
    <row r="2897" spans="1:8" x14ac:dyDescent="0.35">
      <c r="A2897" t="s">
        <v>2916</v>
      </c>
      <c r="B2897" t="s">
        <v>26</v>
      </c>
      <c r="C2897">
        <v>5</v>
      </c>
      <c r="D2897">
        <v>4</v>
      </c>
      <c r="E2897">
        <v>20</v>
      </c>
      <c r="G2897" t="s">
        <v>11</v>
      </c>
      <c r="H2897" s="1">
        <v>45114</v>
      </c>
    </row>
    <row r="2898" spans="1:8" x14ac:dyDescent="0.35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2918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</row>
    <row r="2902" spans="1:8" x14ac:dyDescent="0.35">
      <c r="A2902" t="s">
        <v>2921</v>
      </c>
      <c r="B2902" t="s">
        <v>63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H2903" s="1">
        <v>44976</v>
      </c>
    </row>
    <row r="2904" spans="1:8" x14ac:dyDescent="0.35">
      <c r="A2904" t="s">
        <v>2923</v>
      </c>
      <c r="B2904" t="s">
        <v>19</v>
      </c>
      <c r="C2904">
        <v>1</v>
      </c>
      <c r="D2904">
        <v>5</v>
      </c>
      <c r="E2904">
        <v>5</v>
      </c>
      <c r="G2904" t="s">
        <v>11</v>
      </c>
      <c r="H2904" s="1">
        <v>45276</v>
      </c>
    </row>
    <row r="2905" spans="1:8" x14ac:dyDescent="0.35">
      <c r="A2905" t="s">
        <v>2924</v>
      </c>
      <c r="B2905" t="s">
        <v>13</v>
      </c>
      <c r="C2905">
        <v>1</v>
      </c>
      <c r="D2905">
        <v>3</v>
      </c>
      <c r="E2905">
        <v>3</v>
      </c>
      <c r="H2905" s="1">
        <v>45221</v>
      </c>
    </row>
    <row r="2906" spans="1:8" x14ac:dyDescent="0.35">
      <c r="A2906" t="s">
        <v>2925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</row>
    <row r="2908" spans="1:8" x14ac:dyDescent="0.35">
      <c r="A2908" t="s">
        <v>2927</v>
      </c>
      <c r="B2908" t="s">
        <v>26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2928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</row>
    <row r="2910" spans="1:8" x14ac:dyDescent="0.35">
      <c r="A2910" t="s">
        <v>2929</v>
      </c>
      <c r="B2910" t="s">
        <v>26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2930</v>
      </c>
      <c r="B2911" t="s">
        <v>13</v>
      </c>
      <c r="C2911">
        <v>2</v>
      </c>
      <c r="D2911">
        <v>3</v>
      </c>
      <c r="E2911">
        <v>6</v>
      </c>
      <c r="H2911" s="1">
        <v>45198</v>
      </c>
    </row>
    <row r="2912" spans="1:8" x14ac:dyDescent="0.35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2932</v>
      </c>
      <c r="B2913" t="s">
        <v>26</v>
      </c>
      <c r="C2913">
        <v>2</v>
      </c>
      <c r="D2913">
        <v>4</v>
      </c>
      <c r="E2913">
        <v>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</row>
    <row r="2915" spans="1:8" x14ac:dyDescent="0.35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2935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2937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</row>
    <row r="2922" spans="1:8" x14ac:dyDescent="0.35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2942</v>
      </c>
      <c r="B2923" t="s">
        <v>17</v>
      </c>
      <c r="C2923">
        <v>5</v>
      </c>
      <c r="D2923">
        <v>1</v>
      </c>
      <c r="E2923">
        <v>5</v>
      </c>
      <c r="F2923" t="s">
        <v>21</v>
      </c>
      <c r="G2923" t="s">
        <v>11</v>
      </c>
      <c r="H2923" s="1">
        <v>45110</v>
      </c>
    </row>
    <row r="2924" spans="1:8" x14ac:dyDescent="0.35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2944</v>
      </c>
      <c r="B2925" t="s">
        <v>19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2947</v>
      </c>
      <c r="B2928" t="s">
        <v>63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</row>
    <row r="2930" spans="1:8" x14ac:dyDescent="0.35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H2931" s="1">
        <v>45249</v>
      </c>
    </row>
    <row r="2932" spans="1:8" x14ac:dyDescent="0.35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</row>
    <row r="2934" spans="1:8" x14ac:dyDescent="0.35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2955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</row>
    <row r="2938" spans="1:8" x14ac:dyDescent="0.35">
      <c r="A2938" t="s">
        <v>2957</v>
      </c>
      <c r="B2938" t="s">
        <v>17</v>
      </c>
      <c r="C2938">
        <v>3</v>
      </c>
      <c r="D2938">
        <v>1</v>
      </c>
      <c r="E2938">
        <v>3</v>
      </c>
      <c r="H2938" s="1">
        <v>45227</v>
      </c>
    </row>
    <row r="2939" spans="1:8" x14ac:dyDescent="0.35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</row>
    <row r="2940" spans="1:8" x14ac:dyDescent="0.35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H2940" s="1">
        <v>45258</v>
      </c>
    </row>
    <row r="2941" spans="1:8" x14ac:dyDescent="0.35">
      <c r="A2941" t="s">
        <v>2960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2961</v>
      </c>
      <c r="B2942" t="s">
        <v>26</v>
      </c>
      <c r="C2942">
        <v>5</v>
      </c>
      <c r="D2942">
        <v>4</v>
      </c>
      <c r="E2942">
        <v>20</v>
      </c>
      <c r="G2942" t="s">
        <v>11</v>
      </c>
    </row>
    <row r="2943" spans="1:8" x14ac:dyDescent="0.35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H2946" s="1">
        <v>45045</v>
      </c>
    </row>
    <row r="2947" spans="1:8" x14ac:dyDescent="0.35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H2947" s="1">
        <v>44940</v>
      </c>
    </row>
    <row r="2948" spans="1:8" x14ac:dyDescent="0.35">
      <c r="A2948" t="s">
        <v>2967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2968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H2950" s="1">
        <v>45087</v>
      </c>
    </row>
    <row r="2951" spans="1:8" x14ac:dyDescent="0.35">
      <c r="A2951" t="s">
        <v>2970</v>
      </c>
      <c r="B2951" t="s">
        <v>19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2971</v>
      </c>
      <c r="B2952" t="s">
        <v>19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H2953" s="1">
        <v>45185</v>
      </c>
    </row>
    <row r="2954" spans="1:8" x14ac:dyDescent="0.35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2975</v>
      </c>
      <c r="B2956" t="s">
        <v>63</v>
      </c>
      <c r="C2956">
        <v>4</v>
      </c>
      <c r="D2956">
        <v>1.5</v>
      </c>
      <c r="E2956">
        <v>6</v>
      </c>
      <c r="G2956" t="s">
        <v>15</v>
      </c>
    </row>
    <row r="2957" spans="1:8" x14ac:dyDescent="0.35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2977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2978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</row>
    <row r="2960" spans="1:8" x14ac:dyDescent="0.35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H2960" s="1">
        <v>45101</v>
      </c>
    </row>
    <row r="2961" spans="1:8" x14ac:dyDescent="0.35">
      <c r="A2961" t="s">
        <v>2980</v>
      </c>
      <c r="B2961" t="s">
        <v>19</v>
      </c>
      <c r="C2961">
        <v>5</v>
      </c>
      <c r="D2961">
        <v>5</v>
      </c>
      <c r="E2961">
        <v>25</v>
      </c>
      <c r="H2961" s="1">
        <v>45207</v>
      </c>
    </row>
    <row r="2962" spans="1:8" x14ac:dyDescent="0.35">
      <c r="A2962" t="s">
        <v>2981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</row>
    <row r="2964" spans="1:8" x14ac:dyDescent="0.35">
      <c r="A2964" t="s">
        <v>2983</v>
      </c>
      <c r="C2964">
        <v>4</v>
      </c>
      <c r="D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H2965" s="1">
        <v>45028</v>
      </c>
    </row>
    <row r="2966" spans="1:8" x14ac:dyDescent="0.35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</row>
    <row r="2967" spans="1:8" x14ac:dyDescent="0.35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2987</v>
      </c>
      <c r="B2968" t="s">
        <v>9</v>
      </c>
      <c r="C2968">
        <v>4</v>
      </c>
      <c r="D2968">
        <v>2</v>
      </c>
      <c r="E2968">
        <v>8</v>
      </c>
      <c r="H2968" s="1">
        <v>45206</v>
      </c>
    </row>
    <row r="2969" spans="1:8" x14ac:dyDescent="0.35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H2969" s="1">
        <v>44954</v>
      </c>
    </row>
    <row r="2970" spans="1:8" x14ac:dyDescent="0.35">
      <c r="A2970" t="s">
        <v>2989</v>
      </c>
      <c r="C2970">
        <v>3</v>
      </c>
      <c r="D2970">
        <v>4</v>
      </c>
      <c r="E2970">
        <v>12</v>
      </c>
      <c r="G2970" t="s">
        <v>11</v>
      </c>
      <c r="H2970" s="1">
        <v>45064</v>
      </c>
    </row>
    <row r="2971" spans="1:8" x14ac:dyDescent="0.35">
      <c r="A2971" t="s">
        <v>2990</v>
      </c>
      <c r="C2971">
        <v>1</v>
      </c>
      <c r="D2971">
        <v>3</v>
      </c>
      <c r="E2971">
        <v>3</v>
      </c>
      <c r="F2971" t="s">
        <v>14</v>
      </c>
      <c r="H2971" s="1">
        <v>45159</v>
      </c>
    </row>
    <row r="2972" spans="1:8" x14ac:dyDescent="0.35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2992</v>
      </c>
      <c r="B2973" t="s">
        <v>26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2993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H2975" s="1">
        <v>45205</v>
      </c>
    </row>
    <row r="2976" spans="1:8" x14ac:dyDescent="0.35">
      <c r="A2976" t="s">
        <v>2995</v>
      </c>
      <c r="B2976" t="s">
        <v>37</v>
      </c>
      <c r="C2976">
        <v>3</v>
      </c>
      <c r="D2976">
        <v>3</v>
      </c>
      <c r="E2976">
        <v>9</v>
      </c>
      <c r="F2976" t="s">
        <v>14</v>
      </c>
      <c r="H2976" s="1">
        <v>45287</v>
      </c>
    </row>
    <row r="2977" spans="1:8" x14ac:dyDescent="0.35">
      <c r="A2977" t="s">
        <v>2996</v>
      </c>
      <c r="B2977" t="s">
        <v>63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2997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2998</v>
      </c>
      <c r="B2979" t="s">
        <v>63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2999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3000</v>
      </c>
      <c r="B2981" t="s">
        <v>9</v>
      </c>
      <c r="C2981">
        <v>5</v>
      </c>
      <c r="D2981">
        <v>2</v>
      </c>
      <c r="E2981">
        <v>10</v>
      </c>
      <c r="F2981" t="s">
        <v>21</v>
      </c>
      <c r="H2981" s="1">
        <v>45128</v>
      </c>
    </row>
    <row r="2982" spans="1:8" x14ac:dyDescent="0.35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3002</v>
      </c>
      <c r="B2983" t="s">
        <v>17</v>
      </c>
      <c r="C2983">
        <v>2</v>
      </c>
      <c r="D2983">
        <v>1</v>
      </c>
      <c r="E2983">
        <v>2</v>
      </c>
      <c r="G2983" t="s">
        <v>11</v>
      </c>
      <c r="H2983" s="1">
        <v>45018</v>
      </c>
    </row>
    <row r="2984" spans="1:8" x14ac:dyDescent="0.35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</row>
    <row r="2986" spans="1:8" x14ac:dyDescent="0.35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3007</v>
      </c>
      <c r="B2988" t="s">
        <v>19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3009</v>
      </c>
      <c r="B2990" t="s">
        <v>19</v>
      </c>
      <c r="C2990">
        <v>2</v>
      </c>
      <c r="D2990">
        <v>5</v>
      </c>
      <c r="E2990">
        <v>10</v>
      </c>
      <c r="G2990" t="s">
        <v>11</v>
      </c>
      <c r="H2990" s="1">
        <v>45130</v>
      </c>
    </row>
    <row r="2991" spans="1:8" x14ac:dyDescent="0.35">
      <c r="A2991" t="s">
        <v>3010</v>
      </c>
      <c r="B2991" t="s">
        <v>9</v>
      </c>
      <c r="C2991">
        <v>4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3011</v>
      </c>
      <c r="B2992" t="s">
        <v>17</v>
      </c>
      <c r="C2992">
        <v>5</v>
      </c>
      <c r="D2992">
        <v>1</v>
      </c>
      <c r="E2992">
        <v>5</v>
      </c>
      <c r="H2992" s="1">
        <v>44963</v>
      </c>
    </row>
    <row r="2993" spans="1:8" x14ac:dyDescent="0.35">
      <c r="A2993" t="s">
        <v>3012</v>
      </c>
      <c r="B2993" t="s">
        <v>37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3014</v>
      </c>
      <c r="B2995" t="s">
        <v>23</v>
      </c>
      <c r="C2995">
        <v>1</v>
      </c>
      <c r="D2995">
        <v>4</v>
      </c>
      <c r="E2995">
        <v>4</v>
      </c>
      <c r="H2995" s="1">
        <v>44937</v>
      </c>
    </row>
    <row r="2996" spans="1:8" x14ac:dyDescent="0.35">
      <c r="A2996" t="s">
        <v>3015</v>
      </c>
      <c r="B2996" t="s">
        <v>17</v>
      </c>
      <c r="C2996">
        <v>1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</row>
    <row r="2997" spans="1:8" x14ac:dyDescent="0.35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H2998" s="1">
        <v>45130</v>
      </c>
    </row>
    <row r="2999" spans="1:8" x14ac:dyDescent="0.35">
      <c r="A2999" t="s">
        <v>3018</v>
      </c>
      <c r="B2999" t="s">
        <v>9</v>
      </c>
      <c r="C2999">
        <v>1</v>
      </c>
      <c r="D2999">
        <v>2</v>
      </c>
      <c r="E2999">
        <v>2</v>
      </c>
      <c r="F2999" t="s">
        <v>10</v>
      </c>
      <c r="H2999" s="1">
        <v>45220</v>
      </c>
    </row>
    <row r="3000" spans="1:8" x14ac:dyDescent="0.35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</row>
    <row r="3001" spans="1:8" x14ac:dyDescent="0.35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</row>
    <row r="3002" spans="1:8" x14ac:dyDescent="0.35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</row>
    <row r="3005" spans="1:8" x14ac:dyDescent="0.35">
      <c r="A3005" t="s">
        <v>3024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3025</v>
      </c>
      <c r="B3006" t="s">
        <v>26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3026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3027</v>
      </c>
      <c r="B3008" t="s">
        <v>19</v>
      </c>
      <c r="C3008">
        <v>3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</row>
    <row r="3009" spans="1:8" x14ac:dyDescent="0.35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</row>
    <row r="3011" spans="1:8" x14ac:dyDescent="0.35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</row>
    <row r="3012" spans="1:8" x14ac:dyDescent="0.35">
      <c r="A3012" t="s">
        <v>3031</v>
      </c>
      <c r="C3012">
        <v>1</v>
      </c>
      <c r="D3012">
        <v>4</v>
      </c>
      <c r="E3012">
        <v>4</v>
      </c>
      <c r="F3012" t="s">
        <v>21</v>
      </c>
      <c r="H3012" s="1">
        <v>44963</v>
      </c>
    </row>
    <row r="3013" spans="1:8" x14ac:dyDescent="0.35">
      <c r="A3013" t="s">
        <v>3032</v>
      </c>
      <c r="B3013" t="s">
        <v>17</v>
      </c>
      <c r="C3013">
        <v>5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3033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3034</v>
      </c>
      <c r="C3015">
        <v>5</v>
      </c>
      <c r="D3015">
        <v>3</v>
      </c>
      <c r="E3015">
        <v>15</v>
      </c>
      <c r="H3015" s="1">
        <v>45224</v>
      </c>
    </row>
    <row r="3016" spans="1:8" x14ac:dyDescent="0.35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</row>
    <row r="3017" spans="1:8" x14ac:dyDescent="0.35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3037</v>
      </c>
      <c r="B3018" t="s">
        <v>63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3038</v>
      </c>
      <c r="C3019">
        <v>4</v>
      </c>
      <c r="D3019">
        <v>3</v>
      </c>
      <c r="E3019">
        <v>12</v>
      </c>
      <c r="F3019" t="s">
        <v>21</v>
      </c>
      <c r="H3019" s="1">
        <v>45208</v>
      </c>
    </row>
    <row r="3020" spans="1:8" x14ac:dyDescent="0.35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H3020" s="1">
        <v>45087</v>
      </c>
    </row>
    <row r="3021" spans="1:8" x14ac:dyDescent="0.35">
      <c r="A3021" t="s">
        <v>3040</v>
      </c>
      <c r="B3021" t="s">
        <v>63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3041</v>
      </c>
      <c r="B3022" t="s">
        <v>63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3043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3044</v>
      </c>
      <c r="B3025" t="s">
        <v>26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</row>
    <row r="3027" spans="1:8" x14ac:dyDescent="0.35">
      <c r="A3027" t="s">
        <v>3046</v>
      </c>
      <c r="B3027" t="s">
        <v>9</v>
      </c>
      <c r="C3027">
        <v>1</v>
      </c>
      <c r="D3027">
        <v>2</v>
      </c>
      <c r="E3027">
        <v>2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3047</v>
      </c>
      <c r="B3028" t="s">
        <v>9</v>
      </c>
      <c r="C3028">
        <v>2</v>
      </c>
      <c r="D3028">
        <v>2</v>
      </c>
      <c r="E3028">
        <v>4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</row>
    <row r="3030" spans="1:8" x14ac:dyDescent="0.35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3050</v>
      </c>
      <c r="B3031" t="s">
        <v>63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3051</v>
      </c>
      <c r="B3032" t="s">
        <v>19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3052</v>
      </c>
      <c r="B3033" t="s">
        <v>26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3053</v>
      </c>
      <c r="B3034" t="s">
        <v>26</v>
      </c>
      <c r="C3034">
        <v>3</v>
      </c>
      <c r="D3034">
        <v>4</v>
      </c>
      <c r="E3034">
        <v>12</v>
      </c>
      <c r="H3034" s="1">
        <v>44938</v>
      </c>
    </row>
    <row r="3035" spans="1:8" x14ac:dyDescent="0.35">
      <c r="A3035" t="s">
        <v>3054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3055</v>
      </c>
      <c r="B3036" t="s">
        <v>9</v>
      </c>
      <c r="C3036">
        <v>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3056</v>
      </c>
      <c r="B3037" t="s">
        <v>13</v>
      </c>
      <c r="C3037">
        <v>4</v>
      </c>
      <c r="D3037">
        <v>3</v>
      </c>
      <c r="E3037">
        <v>12</v>
      </c>
      <c r="G3037" t="s">
        <v>11</v>
      </c>
      <c r="H3037" s="1">
        <v>45105</v>
      </c>
    </row>
    <row r="3038" spans="1:8" x14ac:dyDescent="0.35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3058</v>
      </c>
      <c r="B3039" t="s">
        <v>26</v>
      </c>
      <c r="C3039">
        <v>4</v>
      </c>
      <c r="D3039">
        <v>4</v>
      </c>
      <c r="E3039">
        <v>16</v>
      </c>
      <c r="G3039" t="s">
        <v>15</v>
      </c>
      <c r="H3039" s="1">
        <v>45109</v>
      </c>
    </row>
    <row r="3040" spans="1:8" x14ac:dyDescent="0.35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</row>
    <row r="3041" spans="1:8" x14ac:dyDescent="0.35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3061</v>
      </c>
      <c r="B3042" t="s">
        <v>19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3062</v>
      </c>
      <c r="B3043" t="s">
        <v>63</v>
      </c>
      <c r="C3043">
        <v>1</v>
      </c>
      <c r="D3043">
        <v>1.5</v>
      </c>
      <c r="E3043">
        <v>1.5</v>
      </c>
      <c r="G3043" t="s">
        <v>11</v>
      </c>
      <c r="H3043" s="1">
        <v>45065</v>
      </c>
    </row>
    <row r="3044" spans="1:8" x14ac:dyDescent="0.35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3064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</row>
    <row r="3046" spans="1:8" x14ac:dyDescent="0.35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H3046" s="1">
        <v>45207</v>
      </c>
    </row>
    <row r="3047" spans="1:8" x14ac:dyDescent="0.35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H3047" s="1">
        <v>45005</v>
      </c>
    </row>
    <row r="3048" spans="1:8" x14ac:dyDescent="0.35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</row>
    <row r="3049" spans="1:8" x14ac:dyDescent="0.35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H3050" s="1">
        <v>45012</v>
      </c>
    </row>
    <row r="3051" spans="1:8" x14ac:dyDescent="0.35">
      <c r="A3051" t="s">
        <v>3070</v>
      </c>
      <c r="B3051" t="s">
        <v>23</v>
      </c>
      <c r="C3051">
        <v>5</v>
      </c>
      <c r="D3051">
        <v>4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3071</v>
      </c>
      <c r="B3052" t="s">
        <v>19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3073</v>
      </c>
      <c r="B3054" t="s">
        <v>37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3074</v>
      </c>
      <c r="B3055" t="s">
        <v>19</v>
      </c>
      <c r="C3055">
        <v>2</v>
      </c>
      <c r="D3055">
        <v>5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H3056" s="1">
        <v>45104</v>
      </c>
    </row>
    <row r="3057" spans="1:8" x14ac:dyDescent="0.35">
      <c r="A3057" t="s">
        <v>3076</v>
      </c>
      <c r="B3057" t="s">
        <v>13</v>
      </c>
      <c r="C3057">
        <v>3</v>
      </c>
      <c r="D3057">
        <v>3</v>
      </c>
      <c r="E3057">
        <v>9</v>
      </c>
      <c r="G3057" t="s">
        <v>11</v>
      </c>
      <c r="H3057" s="1">
        <v>45142</v>
      </c>
    </row>
    <row r="3058" spans="1:8" x14ac:dyDescent="0.35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</row>
    <row r="3060" spans="1:8" x14ac:dyDescent="0.35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</row>
    <row r="3061" spans="1:8" x14ac:dyDescent="0.35">
      <c r="A3061" t="s">
        <v>3080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3081</v>
      </c>
      <c r="B3062" t="s">
        <v>13</v>
      </c>
      <c r="C3062">
        <v>4</v>
      </c>
      <c r="D3062">
        <v>3</v>
      </c>
      <c r="E3062">
        <v>12</v>
      </c>
      <c r="F3062" t="s">
        <v>21</v>
      </c>
      <c r="G3062" t="s">
        <v>11</v>
      </c>
      <c r="H3062" s="1">
        <v>45176</v>
      </c>
    </row>
    <row r="3063" spans="1:8" x14ac:dyDescent="0.35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</row>
    <row r="3064" spans="1:8" x14ac:dyDescent="0.35">
      <c r="A3064" t="s">
        <v>3083</v>
      </c>
      <c r="B3064" t="s">
        <v>26</v>
      </c>
      <c r="C3064">
        <v>4</v>
      </c>
      <c r="D3064">
        <v>4</v>
      </c>
      <c r="E3064">
        <v>16</v>
      </c>
      <c r="F3064" t="s">
        <v>10</v>
      </c>
      <c r="H3064" s="1">
        <v>45142</v>
      </c>
    </row>
    <row r="3065" spans="1:8" x14ac:dyDescent="0.35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3085</v>
      </c>
      <c r="B3066" t="s">
        <v>17</v>
      </c>
      <c r="C3066">
        <v>1</v>
      </c>
      <c r="D3066">
        <v>1</v>
      </c>
      <c r="E3066">
        <v>1</v>
      </c>
      <c r="H3066" s="1">
        <v>44954</v>
      </c>
    </row>
    <row r="3067" spans="1:8" x14ac:dyDescent="0.35">
      <c r="A3067" t="s">
        <v>3086</v>
      </c>
      <c r="B3067" t="s">
        <v>37</v>
      </c>
      <c r="C3067">
        <v>2</v>
      </c>
      <c r="D3067">
        <v>3</v>
      </c>
      <c r="E3067">
        <v>6</v>
      </c>
      <c r="H3067" s="1">
        <v>45181</v>
      </c>
    </row>
    <row r="3068" spans="1:8" x14ac:dyDescent="0.35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</row>
    <row r="3069" spans="1:8" x14ac:dyDescent="0.35">
      <c r="A3069" t="s">
        <v>3088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</row>
    <row r="3072" spans="1:8" x14ac:dyDescent="0.35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</row>
    <row r="3073" spans="1:8" x14ac:dyDescent="0.35">
      <c r="A3073" t="s">
        <v>3092</v>
      </c>
      <c r="B3073" t="s">
        <v>63</v>
      </c>
      <c r="C3073">
        <v>5</v>
      </c>
      <c r="D3073">
        <v>1.5</v>
      </c>
      <c r="E3073">
        <v>7.5</v>
      </c>
      <c r="G3073" t="s">
        <v>11</v>
      </c>
      <c r="H3073" s="1">
        <v>45079</v>
      </c>
    </row>
    <row r="3074" spans="1:8" x14ac:dyDescent="0.35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</row>
    <row r="3075" spans="1:8" x14ac:dyDescent="0.35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</row>
    <row r="3076" spans="1:8" x14ac:dyDescent="0.35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H3076" s="1">
        <v>44948</v>
      </c>
    </row>
    <row r="3077" spans="1:8" x14ac:dyDescent="0.35">
      <c r="A3077" t="s">
        <v>3096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</row>
    <row r="3079" spans="1:8" x14ac:dyDescent="0.35">
      <c r="A3079" t="s">
        <v>3098</v>
      </c>
      <c r="B3079" t="s">
        <v>37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3099</v>
      </c>
      <c r="B3080" t="s">
        <v>63</v>
      </c>
      <c r="C3080">
        <v>4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3100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3102</v>
      </c>
      <c r="B3083" t="s">
        <v>13</v>
      </c>
      <c r="C3083">
        <v>1</v>
      </c>
      <c r="D3083">
        <v>3</v>
      </c>
      <c r="E3083">
        <v>3</v>
      </c>
      <c r="H3083" s="1">
        <v>45174</v>
      </c>
    </row>
    <row r="3084" spans="1:8" x14ac:dyDescent="0.35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H3084" s="1">
        <v>44978</v>
      </c>
    </row>
    <row r="3085" spans="1:8" x14ac:dyDescent="0.35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</row>
    <row r="3087" spans="1:8" x14ac:dyDescent="0.35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H3087" s="1">
        <v>45015</v>
      </c>
    </row>
    <row r="3088" spans="1:8" x14ac:dyDescent="0.35">
      <c r="A3088" t="s">
        <v>3107</v>
      </c>
      <c r="B3088" t="s">
        <v>63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3108</v>
      </c>
      <c r="B3089" t="s">
        <v>13</v>
      </c>
      <c r="C3089">
        <v>3</v>
      </c>
      <c r="D3089">
        <v>3</v>
      </c>
      <c r="E3089">
        <v>9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H3090" s="1">
        <v>45098</v>
      </c>
    </row>
    <row r="3091" spans="1:8" x14ac:dyDescent="0.35">
      <c r="A3091" t="s">
        <v>3110</v>
      </c>
      <c r="B3091" t="s">
        <v>19</v>
      </c>
      <c r="C3091">
        <v>3</v>
      </c>
      <c r="D3091">
        <v>5</v>
      </c>
      <c r="E3091">
        <v>15</v>
      </c>
      <c r="G3091" t="s">
        <v>11</v>
      </c>
      <c r="H3091" s="1">
        <v>45107</v>
      </c>
    </row>
    <row r="3092" spans="1:8" x14ac:dyDescent="0.35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</row>
    <row r="3095" spans="1:8" x14ac:dyDescent="0.35">
      <c r="A3095" t="s">
        <v>3114</v>
      </c>
      <c r="B3095" t="s">
        <v>23</v>
      </c>
      <c r="C3095">
        <v>5</v>
      </c>
      <c r="D3095">
        <v>4</v>
      </c>
      <c r="E3095">
        <v>20</v>
      </c>
      <c r="H3095" s="1">
        <v>45147</v>
      </c>
    </row>
    <row r="3096" spans="1:8" x14ac:dyDescent="0.35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H3097" s="1">
        <v>44993</v>
      </c>
    </row>
    <row r="3098" spans="1:8" x14ac:dyDescent="0.35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</row>
    <row r="3100" spans="1:8" x14ac:dyDescent="0.35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</row>
    <row r="3101" spans="1:8" x14ac:dyDescent="0.35">
      <c r="A3101" t="s">
        <v>3120</v>
      </c>
      <c r="B3101" t="s">
        <v>23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3123</v>
      </c>
      <c r="B3104" t="s">
        <v>19</v>
      </c>
      <c r="C3104">
        <v>5</v>
      </c>
      <c r="D3104">
        <v>5</v>
      </c>
      <c r="E3104">
        <v>25</v>
      </c>
      <c r="F3104" t="s">
        <v>21</v>
      </c>
      <c r="G3104" t="s">
        <v>15</v>
      </c>
      <c r="H3104" s="1">
        <v>44986</v>
      </c>
    </row>
    <row r="3105" spans="1:8" x14ac:dyDescent="0.35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H3105" s="1">
        <v>45210</v>
      </c>
    </row>
    <row r="3106" spans="1:8" x14ac:dyDescent="0.35">
      <c r="A3106" t="s">
        <v>3125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3126</v>
      </c>
      <c r="B3107" t="s">
        <v>23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3127</v>
      </c>
      <c r="B3108" t="s">
        <v>17</v>
      </c>
      <c r="C3108">
        <v>2</v>
      </c>
      <c r="D3108">
        <v>1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</row>
    <row r="3111" spans="1:8" x14ac:dyDescent="0.35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3132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</row>
    <row r="3115" spans="1:8" x14ac:dyDescent="0.35">
      <c r="A3115" t="s">
        <v>3134</v>
      </c>
      <c r="B3115" t="s">
        <v>63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3135</v>
      </c>
      <c r="B3116" t="s">
        <v>26</v>
      </c>
      <c r="C3116">
        <v>2</v>
      </c>
      <c r="D3116">
        <v>4</v>
      </c>
      <c r="E3116">
        <v>8</v>
      </c>
      <c r="F3116" t="s">
        <v>14</v>
      </c>
      <c r="H3116" s="1">
        <v>45036</v>
      </c>
    </row>
    <row r="3117" spans="1:8" x14ac:dyDescent="0.35">
      <c r="A3117" t="s">
        <v>3136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H3120" s="1">
        <v>45163</v>
      </c>
    </row>
    <row r="3121" spans="1:8" x14ac:dyDescent="0.35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3141</v>
      </c>
      <c r="B3122" t="s">
        <v>13</v>
      </c>
      <c r="C3122">
        <v>4</v>
      </c>
      <c r="D3122">
        <v>3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3142</v>
      </c>
      <c r="B3123" t="s">
        <v>63</v>
      </c>
      <c r="C3123">
        <v>3</v>
      </c>
      <c r="D3123">
        <v>1.5</v>
      </c>
      <c r="E3123">
        <v>4.5</v>
      </c>
      <c r="H3123" s="1">
        <v>45053</v>
      </c>
    </row>
    <row r="3124" spans="1:8" x14ac:dyDescent="0.35">
      <c r="A3124" t="s">
        <v>3143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3144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</row>
    <row r="3127" spans="1:8" x14ac:dyDescent="0.35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3147</v>
      </c>
      <c r="B3128" t="s">
        <v>26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3149</v>
      </c>
      <c r="B3130" t="s">
        <v>23</v>
      </c>
      <c r="C3130">
        <v>5</v>
      </c>
      <c r="D3130">
        <v>4</v>
      </c>
      <c r="E3130">
        <v>20</v>
      </c>
      <c r="G3130" t="s">
        <v>11</v>
      </c>
      <c r="H3130" s="1">
        <v>45253</v>
      </c>
    </row>
    <row r="3131" spans="1:8" x14ac:dyDescent="0.35">
      <c r="A3131" t="s">
        <v>3150</v>
      </c>
      <c r="B3131" t="s">
        <v>19</v>
      </c>
      <c r="C3131">
        <v>5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3151</v>
      </c>
      <c r="B3132" t="s">
        <v>37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H3133" s="1">
        <v>45240</v>
      </c>
    </row>
    <row r="3134" spans="1:8" x14ac:dyDescent="0.35">
      <c r="A3134" t="s">
        <v>3153</v>
      </c>
      <c r="B3134" t="s">
        <v>19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</row>
    <row r="3136" spans="1:8" x14ac:dyDescent="0.35">
      <c r="A3136" t="s">
        <v>3155</v>
      </c>
      <c r="B3136" t="s">
        <v>26</v>
      </c>
      <c r="C3136">
        <v>2</v>
      </c>
      <c r="D3136">
        <v>4</v>
      </c>
      <c r="E3136">
        <v>8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3159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</row>
    <row r="3141" spans="1:8" x14ac:dyDescent="0.35">
      <c r="A3141" t="s">
        <v>3160</v>
      </c>
      <c r="B3141" t="s">
        <v>13</v>
      </c>
      <c r="C3141">
        <v>3</v>
      </c>
      <c r="D3141">
        <v>3</v>
      </c>
      <c r="E3141">
        <v>9</v>
      </c>
      <c r="F3141" t="s">
        <v>14</v>
      </c>
      <c r="G3141" t="s">
        <v>11</v>
      </c>
    </row>
    <row r="3142" spans="1:8" x14ac:dyDescent="0.35">
      <c r="A3142" t="s">
        <v>3161</v>
      </c>
      <c r="B3142" t="s">
        <v>19</v>
      </c>
      <c r="C3142">
        <v>3</v>
      </c>
      <c r="D3142">
        <v>5</v>
      </c>
      <c r="E3142">
        <v>15</v>
      </c>
      <c r="G3142" t="s">
        <v>15</v>
      </c>
    </row>
    <row r="3143" spans="1:8" x14ac:dyDescent="0.35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H3143" s="1">
        <v>45091</v>
      </c>
    </row>
    <row r="3144" spans="1:8" x14ac:dyDescent="0.35">
      <c r="A3144" t="s">
        <v>3163</v>
      </c>
      <c r="B3144" t="s">
        <v>17</v>
      </c>
      <c r="C3144">
        <v>5</v>
      </c>
      <c r="D3144">
        <v>1</v>
      </c>
      <c r="E3144">
        <v>5</v>
      </c>
    </row>
    <row r="3145" spans="1:8" x14ac:dyDescent="0.35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3165</v>
      </c>
      <c r="B3146" t="s">
        <v>19</v>
      </c>
      <c r="C3146">
        <v>5</v>
      </c>
      <c r="D3146">
        <v>5</v>
      </c>
      <c r="E3146">
        <v>25</v>
      </c>
      <c r="H3146" s="1">
        <v>45234</v>
      </c>
    </row>
    <row r="3147" spans="1:8" x14ac:dyDescent="0.35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3167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3168</v>
      </c>
      <c r="B3149" t="s">
        <v>63</v>
      </c>
      <c r="C3149">
        <v>1</v>
      </c>
      <c r="D3149">
        <v>1.5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3169</v>
      </c>
      <c r="B3150" t="s">
        <v>37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3170</v>
      </c>
      <c r="C3151">
        <v>2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</row>
    <row r="3152" spans="1:8" x14ac:dyDescent="0.35">
      <c r="A3152" t="s">
        <v>3171</v>
      </c>
      <c r="B3152" t="s">
        <v>63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3172</v>
      </c>
      <c r="B3153" t="s">
        <v>63</v>
      </c>
      <c r="C3153">
        <v>1</v>
      </c>
      <c r="D3153">
        <v>1.5</v>
      </c>
      <c r="E3153">
        <v>1.5</v>
      </c>
      <c r="H3153" s="1">
        <v>45008</v>
      </c>
    </row>
    <row r="3154" spans="1:8" x14ac:dyDescent="0.35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3175</v>
      </c>
      <c r="B3156" t="s">
        <v>63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</row>
    <row r="3164" spans="1:8" x14ac:dyDescent="0.35">
      <c r="A3164" t="s">
        <v>3183</v>
      </c>
      <c r="B3164" t="s">
        <v>13</v>
      </c>
      <c r="C3164">
        <v>3</v>
      </c>
      <c r="D3164">
        <v>3</v>
      </c>
      <c r="E3164">
        <v>9</v>
      </c>
      <c r="G3164" t="s">
        <v>11</v>
      </c>
      <c r="H3164" s="1">
        <v>45041</v>
      </c>
    </row>
    <row r="3165" spans="1:8" x14ac:dyDescent="0.35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H3165" s="1">
        <v>44978</v>
      </c>
    </row>
    <row r="3166" spans="1:8" x14ac:dyDescent="0.35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H3167" s="1">
        <v>45224</v>
      </c>
    </row>
    <row r="3168" spans="1:8" x14ac:dyDescent="0.35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3188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</row>
    <row r="3170" spans="1:8" x14ac:dyDescent="0.35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</row>
    <row r="3171" spans="1:8" x14ac:dyDescent="0.35">
      <c r="A3171" t="s">
        <v>3190</v>
      </c>
      <c r="B3171" t="s">
        <v>19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3191</v>
      </c>
      <c r="B3172" t="s">
        <v>63</v>
      </c>
      <c r="C3172">
        <v>2</v>
      </c>
      <c r="D3172">
        <v>1.5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3193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3195</v>
      </c>
      <c r="B3176" t="s">
        <v>17</v>
      </c>
      <c r="C3176">
        <v>3</v>
      </c>
      <c r="D3176">
        <v>1</v>
      </c>
      <c r="E3176">
        <v>3</v>
      </c>
      <c r="F3176" t="s">
        <v>14</v>
      </c>
      <c r="H3176" s="1">
        <v>45197</v>
      </c>
    </row>
    <row r="3177" spans="1:8" x14ac:dyDescent="0.35">
      <c r="A3177" t="s">
        <v>3196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</row>
    <row r="3179" spans="1:8" x14ac:dyDescent="0.35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H3179" s="1">
        <v>44977</v>
      </c>
    </row>
    <row r="3180" spans="1:8" x14ac:dyDescent="0.35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</row>
    <row r="3183" spans="1:8" x14ac:dyDescent="0.35">
      <c r="A3183" t="s">
        <v>3202</v>
      </c>
      <c r="B3183" t="s">
        <v>23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3203</v>
      </c>
      <c r="B3184" t="s">
        <v>63</v>
      </c>
      <c r="C3184">
        <v>3</v>
      </c>
      <c r="D3184">
        <v>1.5</v>
      </c>
      <c r="E3184">
        <v>4.5</v>
      </c>
      <c r="H3184" s="1">
        <v>45117</v>
      </c>
    </row>
    <row r="3185" spans="1:8" x14ac:dyDescent="0.35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H3186" s="1">
        <v>45056</v>
      </c>
    </row>
    <row r="3187" spans="1:8" x14ac:dyDescent="0.35">
      <c r="A3187" t="s">
        <v>3206</v>
      </c>
      <c r="B3187" t="s">
        <v>37</v>
      </c>
      <c r="C3187">
        <v>3</v>
      </c>
      <c r="D3187">
        <v>3</v>
      </c>
      <c r="E3187">
        <v>9</v>
      </c>
      <c r="F3187" t="s">
        <v>21</v>
      </c>
      <c r="H3187" s="1">
        <v>44949</v>
      </c>
    </row>
    <row r="3188" spans="1:8" x14ac:dyDescent="0.35">
      <c r="A3188" t="s">
        <v>3207</v>
      </c>
      <c r="B3188" t="s">
        <v>37</v>
      </c>
      <c r="C3188">
        <v>2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3208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</row>
    <row r="3190" spans="1:8" x14ac:dyDescent="0.35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</row>
    <row r="3191" spans="1:8" x14ac:dyDescent="0.35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3212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</row>
    <row r="3194" spans="1:8" x14ac:dyDescent="0.35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</row>
    <row r="3195" spans="1:8" x14ac:dyDescent="0.35">
      <c r="A3195" t="s">
        <v>3214</v>
      </c>
      <c r="B3195" t="s">
        <v>23</v>
      </c>
      <c r="C3195">
        <v>1</v>
      </c>
      <c r="D3195">
        <v>4</v>
      </c>
      <c r="E3195">
        <v>4</v>
      </c>
      <c r="F3195" t="s">
        <v>21</v>
      </c>
      <c r="H3195" s="1">
        <v>45070</v>
      </c>
    </row>
    <row r="3196" spans="1:8" x14ac:dyDescent="0.35">
      <c r="A3196" t="s">
        <v>3215</v>
      </c>
      <c r="B3196" t="s">
        <v>63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</row>
    <row r="3201" spans="1:8" x14ac:dyDescent="0.35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</row>
    <row r="3202" spans="1:8" x14ac:dyDescent="0.35">
      <c r="A3202" t="s">
        <v>3221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3224</v>
      </c>
      <c r="B3205" t="s">
        <v>23</v>
      </c>
      <c r="D3205">
        <v>4</v>
      </c>
      <c r="F3205" t="s">
        <v>21</v>
      </c>
      <c r="G3205" t="s">
        <v>11</v>
      </c>
      <c r="H3205" s="1">
        <v>45205</v>
      </c>
    </row>
    <row r="3206" spans="1:8" x14ac:dyDescent="0.35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</row>
    <row r="3207" spans="1:8" x14ac:dyDescent="0.35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H3208" s="1">
        <v>45287</v>
      </c>
    </row>
    <row r="3209" spans="1:8" x14ac:dyDescent="0.35">
      <c r="A3209" t="s">
        <v>3228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H3210" s="1">
        <v>45059</v>
      </c>
    </row>
    <row r="3211" spans="1:8" x14ac:dyDescent="0.35">
      <c r="A3211" t="s">
        <v>3230</v>
      </c>
      <c r="B3211" t="s">
        <v>13</v>
      </c>
      <c r="C3211">
        <v>5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3231</v>
      </c>
      <c r="C3212">
        <v>3</v>
      </c>
      <c r="D3212">
        <v>4</v>
      </c>
      <c r="E3212">
        <v>12</v>
      </c>
      <c r="G3212" t="s">
        <v>11</v>
      </c>
      <c r="H3212" s="1">
        <v>45178</v>
      </c>
    </row>
    <row r="3213" spans="1:8" x14ac:dyDescent="0.35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</row>
    <row r="3214" spans="1:8" x14ac:dyDescent="0.35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</row>
    <row r="3215" spans="1:8" x14ac:dyDescent="0.35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3236</v>
      </c>
      <c r="B3217" t="s">
        <v>37</v>
      </c>
      <c r="C3217">
        <v>4</v>
      </c>
      <c r="D3217">
        <v>3</v>
      </c>
      <c r="E3217">
        <v>12</v>
      </c>
      <c r="G3217" t="s">
        <v>15</v>
      </c>
      <c r="H3217" s="1">
        <v>45088</v>
      </c>
    </row>
    <row r="3218" spans="1:8" x14ac:dyDescent="0.35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H3219" s="1">
        <v>45039</v>
      </c>
    </row>
    <row r="3220" spans="1:8" x14ac:dyDescent="0.35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3240</v>
      </c>
      <c r="B3221" t="s">
        <v>19</v>
      </c>
      <c r="C3221">
        <v>4</v>
      </c>
      <c r="D3221">
        <v>5</v>
      </c>
      <c r="E3221">
        <v>20</v>
      </c>
      <c r="G3221" t="s">
        <v>11</v>
      </c>
      <c r="H3221" s="1">
        <v>45111</v>
      </c>
    </row>
    <row r="3222" spans="1:8" x14ac:dyDescent="0.35">
      <c r="A3222" t="s">
        <v>3241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H3223" s="1">
        <v>45026</v>
      </c>
    </row>
    <row r="3224" spans="1:8" x14ac:dyDescent="0.35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3244</v>
      </c>
      <c r="B3225" t="s">
        <v>37</v>
      </c>
      <c r="C3225">
        <v>3</v>
      </c>
      <c r="D3225">
        <v>3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3245</v>
      </c>
      <c r="B3226" t="s">
        <v>9</v>
      </c>
      <c r="D3226">
        <v>2</v>
      </c>
      <c r="H3226" s="1">
        <v>45023</v>
      </c>
    </row>
    <row r="3227" spans="1:8" x14ac:dyDescent="0.35">
      <c r="A3227" t="s">
        <v>3246</v>
      </c>
      <c r="B3227" t="s">
        <v>63</v>
      </c>
      <c r="C3227">
        <v>5</v>
      </c>
      <c r="D3227">
        <v>1.5</v>
      </c>
      <c r="E3227">
        <v>7.5</v>
      </c>
      <c r="H3227" s="1">
        <v>44973</v>
      </c>
    </row>
    <row r="3228" spans="1:8" x14ac:dyDescent="0.35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3248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</row>
    <row r="3232" spans="1:8" x14ac:dyDescent="0.35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</row>
    <row r="3234" spans="1:8" x14ac:dyDescent="0.35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3254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3255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3257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3258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3259</v>
      </c>
      <c r="B3240" t="s">
        <v>19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3260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3261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3264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3265</v>
      </c>
      <c r="B3246" t="s">
        <v>26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3266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3268</v>
      </c>
      <c r="B3249" t="s">
        <v>63</v>
      </c>
      <c r="C3249">
        <v>3</v>
      </c>
      <c r="D3249">
        <v>1.5</v>
      </c>
      <c r="E3249">
        <v>4.5</v>
      </c>
      <c r="H3249" s="1">
        <v>45185</v>
      </c>
    </row>
    <row r="3250" spans="1:8" x14ac:dyDescent="0.35">
      <c r="A3250" t="s">
        <v>3269</v>
      </c>
      <c r="B3250" t="s">
        <v>23</v>
      </c>
      <c r="C3250">
        <v>4</v>
      </c>
      <c r="D3250">
        <v>4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3270</v>
      </c>
      <c r="B3251" t="s">
        <v>13</v>
      </c>
      <c r="C3251">
        <v>4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</row>
    <row r="3253" spans="1:8" x14ac:dyDescent="0.35">
      <c r="A3253" t="s">
        <v>3272</v>
      </c>
      <c r="B3253" t="s">
        <v>23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3274</v>
      </c>
      <c r="B3255" t="s">
        <v>9</v>
      </c>
      <c r="C3255">
        <v>3</v>
      </c>
      <c r="D3255">
        <v>2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3275</v>
      </c>
      <c r="B3256" t="s">
        <v>26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3276</v>
      </c>
      <c r="B3257" t="s">
        <v>13</v>
      </c>
      <c r="C3257">
        <v>1</v>
      </c>
      <c r="D3257">
        <v>3</v>
      </c>
      <c r="E3257">
        <v>3</v>
      </c>
      <c r="H3257" s="1">
        <v>45117</v>
      </c>
    </row>
    <row r="3258" spans="1:8" x14ac:dyDescent="0.35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3278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</row>
    <row r="3261" spans="1:8" x14ac:dyDescent="0.35">
      <c r="A3261" t="s">
        <v>3280</v>
      </c>
      <c r="B3261" t="s">
        <v>17</v>
      </c>
      <c r="C3261">
        <v>3</v>
      </c>
      <c r="D3261">
        <v>1</v>
      </c>
      <c r="E3261">
        <v>3</v>
      </c>
      <c r="G3261" t="s">
        <v>15</v>
      </c>
      <c r="H3261" s="1">
        <v>44989</v>
      </c>
    </row>
    <row r="3262" spans="1:8" x14ac:dyDescent="0.35">
      <c r="A3262" t="s">
        <v>3281</v>
      </c>
      <c r="B3262" t="s">
        <v>17</v>
      </c>
      <c r="C3262">
        <v>2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3283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3284</v>
      </c>
      <c r="B3265" t="s">
        <v>23</v>
      </c>
      <c r="C3265">
        <v>1</v>
      </c>
      <c r="D3265">
        <v>4</v>
      </c>
      <c r="E3265">
        <v>4</v>
      </c>
      <c r="F3265" t="s">
        <v>21</v>
      </c>
      <c r="H3265" s="1">
        <v>45111</v>
      </c>
    </row>
    <row r="3266" spans="1:8" x14ac:dyDescent="0.35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</row>
    <row r="3267" spans="1:8" x14ac:dyDescent="0.35">
      <c r="A3267" t="s">
        <v>3286</v>
      </c>
      <c r="B3267" t="s">
        <v>13</v>
      </c>
      <c r="C3267">
        <v>5</v>
      </c>
      <c r="D3267">
        <v>3</v>
      </c>
      <c r="E3267">
        <v>15</v>
      </c>
      <c r="G3267" t="s">
        <v>15</v>
      </c>
    </row>
    <row r="3268" spans="1:8" x14ac:dyDescent="0.35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3288</v>
      </c>
      <c r="B3269" t="s">
        <v>19</v>
      </c>
      <c r="C3269">
        <v>1</v>
      </c>
      <c r="D3269">
        <v>5</v>
      </c>
      <c r="E3269">
        <v>5</v>
      </c>
      <c r="F3269" t="s">
        <v>14</v>
      </c>
      <c r="H3269" s="1">
        <v>45137</v>
      </c>
    </row>
    <row r="3270" spans="1:8" x14ac:dyDescent="0.35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H3271" s="1">
        <v>45072</v>
      </c>
    </row>
    <row r="3272" spans="1:8" x14ac:dyDescent="0.35">
      <c r="A3272" t="s">
        <v>3291</v>
      </c>
      <c r="B3272" t="s">
        <v>26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3292</v>
      </c>
      <c r="B3273" t="s">
        <v>17</v>
      </c>
      <c r="C3273">
        <v>5</v>
      </c>
      <c r="D3273">
        <v>1</v>
      </c>
      <c r="E3273">
        <v>5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3293</v>
      </c>
      <c r="B3274" t="s">
        <v>19</v>
      </c>
      <c r="C3274">
        <v>5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</row>
    <row r="3276" spans="1:8" x14ac:dyDescent="0.35">
      <c r="A3276" t="s">
        <v>3295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3297</v>
      </c>
      <c r="B3278" t="s">
        <v>17</v>
      </c>
      <c r="C3278">
        <v>3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</row>
    <row r="3279" spans="1:8" x14ac:dyDescent="0.35">
      <c r="A3279" t="s">
        <v>3298</v>
      </c>
      <c r="B3279" t="s">
        <v>37</v>
      </c>
      <c r="C3279">
        <v>1</v>
      </c>
      <c r="D3279">
        <v>3</v>
      </c>
      <c r="E3279">
        <v>3</v>
      </c>
      <c r="H3279" s="1">
        <v>45158</v>
      </c>
    </row>
    <row r="3280" spans="1:8" x14ac:dyDescent="0.35">
      <c r="A3280" t="s">
        <v>3299</v>
      </c>
      <c r="B3280" t="s">
        <v>26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3300</v>
      </c>
      <c r="B3281" t="s">
        <v>26</v>
      </c>
      <c r="C3281">
        <v>2</v>
      </c>
      <c r="D3281">
        <v>4</v>
      </c>
      <c r="E3281">
        <v>8</v>
      </c>
      <c r="G3281" t="s">
        <v>11</v>
      </c>
      <c r="H3281" s="1">
        <v>45217</v>
      </c>
    </row>
    <row r="3282" spans="1:8" x14ac:dyDescent="0.35">
      <c r="A3282" t="s">
        <v>3301</v>
      </c>
      <c r="B3282" t="s">
        <v>19</v>
      </c>
      <c r="C3282">
        <v>3</v>
      </c>
      <c r="D3282">
        <v>5</v>
      </c>
      <c r="E3282">
        <v>15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3303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</row>
    <row r="3286" spans="1:8" x14ac:dyDescent="0.35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3306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3307</v>
      </c>
      <c r="B3288" t="s">
        <v>19</v>
      </c>
      <c r="C3288">
        <v>2</v>
      </c>
      <c r="D3288">
        <v>5</v>
      </c>
      <c r="E3288">
        <v>10</v>
      </c>
      <c r="G3288" t="s">
        <v>11</v>
      </c>
    </row>
    <row r="3289" spans="1:8" x14ac:dyDescent="0.35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H3290" s="1">
        <v>44959</v>
      </c>
    </row>
    <row r="3291" spans="1:8" x14ac:dyDescent="0.35">
      <c r="A3291" t="s">
        <v>3310</v>
      </c>
      <c r="C3291">
        <v>3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</row>
    <row r="3294" spans="1:8" x14ac:dyDescent="0.35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</row>
    <row r="3295" spans="1:8" x14ac:dyDescent="0.35">
      <c r="A3295" t="s">
        <v>3314</v>
      </c>
      <c r="B3295" t="s">
        <v>26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3315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</row>
    <row r="3299" spans="1:8" x14ac:dyDescent="0.35">
      <c r="A3299" t="s">
        <v>3318</v>
      </c>
      <c r="B3299" t="s">
        <v>19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3320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3321</v>
      </c>
      <c r="B3302" t="s">
        <v>23</v>
      </c>
      <c r="C3302">
        <v>3</v>
      </c>
      <c r="D3302">
        <v>4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</row>
    <row r="3304" spans="1:8" x14ac:dyDescent="0.35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</row>
    <row r="3305" spans="1:8" x14ac:dyDescent="0.35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</row>
    <row r="3306" spans="1:8" x14ac:dyDescent="0.35">
      <c r="A3306" t="s">
        <v>3325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3326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H3308" s="1">
        <v>45019</v>
      </c>
    </row>
    <row r="3309" spans="1:8" x14ac:dyDescent="0.35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3331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</row>
    <row r="3314" spans="1:8" x14ac:dyDescent="0.35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</row>
    <row r="3315" spans="1:8" x14ac:dyDescent="0.35">
      <c r="A3315" t="s">
        <v>3334</v>
      </c>
      <c r="B3315" t="s">
        <v>63</v>
      </c>
      <c r="C3315">
        <v>3</v>
      </c>
      <c r="D3315">
        <v>1.5</v>
      </c>
      <c r="E3315">
        <v>4.5</v>
      </c>
      <c r="G3315" t="s">
        <v>11</v>
      </c>
      <c r="H3315" s="1">
        <v>44951</v>
      </c>
    </row>
    <row r="3316" spans="1:8" x14ac:dyDescent="0.35">
      <c r="A3316" t="s">
        <v>3335</v>
      </c>
      <c r="B3316" t="s">
        <v>26</v>
      </c>
      <c r="C3316">
        <v>4</v>
      </c>
      <c r="D3316">
        <v>4</v>
      </c>
      <c r="E3316">
        <v>16</v>
      </c>
      <c r="F3316" t="s">
        <v>14</v>
      </c>
      <c r="G3316" t="s">
        <v>11</v>
      </c>
    </row>
    <row r="3317" spans="1:8" x14ac:dyDescent="0.35">
      <c r="A3317" t="s">
        <v>3336</v>
      </c>
      <c r="B3317" t="s">
        <v>9</v>
      </c>
      <c r="C3317">
        <v>2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3338</v>
      </c>
      <c r="B3319" t="s">
        <v>19</v>
      </c>
      <c r="C3319">
        <v>4</v>
      </c>
      <c r="D3319">
        <v>5</v>
      </c>
      <c r="E3319">
        <v>20</v>
      </c>
      <c r="F3319" t="s">
        <v>10</v>
      </c>
      <c r="H3319" s="1">
        <v>44939</v>
      </c>
    </row>
    <row r="3320" spans="1:8" x14ac:dyDescent="0.35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3340</v>
      </c>
      <c r="B3321" t="s">
        <v>63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</row>
    <row r="3323" spans="1:8" x14ac:dyDescent="0.35">
      <c r="A3323" t="s">
        <v>3342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3343</v>
      </c>
      <c r="C3324">
        <v>2</v>
      </c>
      <c r="D3324">
        <v>2</v>
      </c>
      <c r="E3324">
        <v>4</v>
      </c>
      <c r="H3324" s="1">
        <v>45199</v>
      </c>
    </row>
    <row r="3325" spans="1:8" x14ac:dyDescent="0.35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3345</v>
      </c>
      <c r="B3326" t="s">
        <v>19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3346</v>
      </c>
      <c r="B3327" t="s">
        <v>19</v>
      </c>
      <c r="C3327">
        <v>1</v>
      </c>
      <c r="D3327">
        <v>5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3348</v>
      </c>
      <c r="B3329" t="s">
        <v>9</v>
      </c>
      <c r="C3329">
        <v>5</v>
      </c>
      <c r="D3329">
        <v>2</v>
      </c>
      <c r="E3329">
        <v>10</v>
      </c>
      <c r="G3329" t="s">
        <v>15</v>
      </c>
    </row>
    <row r="3330" spans="1:8" x14ac:dyDescent="0.35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3352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</row>
    <row r="3335" spans="1:8" x14ac:dyDescent="0.35">
      <c r="A3335" t="s">
        <v>3354</v>
      </c>
      <c r="B3335" t="s">
        <v>37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3357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3358</v>
      </c>
      <c r="B3339" t="s">
        <v>23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3360</v>
      </c>
      <c r="B3341" t="s">
        <v>23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3362</v>
      </c>
      <c r="B3343" t="s">
        <v>23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</row>
    <row r="3345" spans="1:8" x14ac:dyDescent="0.35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3365</v>
      </c>
      <c r="C3346">
        <v>1</v>
      </c>
      <c r="D3346">
        <v>2</v>
      </c>
      <c r="E3346">
        <v>2</v>
      </c>
      <c r="G3346" t="s">
        <v>11</v>
      </c>
      <c r="H3346" s="1">
        <v>45093</v>
      </c>
    </row>
    <row r="3347" spans="1:8" x14ac:dyDescent="0.35">
      <c r="A3347" t="s">
        <v>3366</v>
      </c>
      <c r="B3347" t="s">
        <v>37</v>
      </c>
      <c r="C3347">
        <v>4</v>
      </c>
      <c r="D3347">
        <v>3</v>
      </c>
      <c r="E3347">
        <v>12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3367</v>
      </c>
      <c r="B3348" t="s">
        <v>19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3368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3369</v>
      </c>
      <c r="B3350" t="s">
        <v>23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3373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3375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</row>
    <row r="3357" spans="1:8" x14ac:dyDescent="0.35">
      <c r="A3357" t="s">
        <v>3376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3379</v>
      </c>
      <c r="B3360" t="s">
        <v>26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3380</v>
      </c>
      <c r="B3361" t="s">
        <v>37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3382</v>
      </c>
      <c r="B3363" t="s">
        <v>63</v>
      </c>
      <c r="C3363">
        <v>2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H3365" s="1">
        <v>45260</v>
      </c>
    </row>
    <row r="3366" spans="1:8" x14ac:dyDescent="0.35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</row>
    <row r="3367" spans="1:8" x14ac:dyDescent="0.35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3388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H3370" s="1">
        <v>44948</v>
      </c>
    </row>
    <row r="3371" spans="1:8" x14ac:dyDescent="0.35">
      <c r="A3371" t="s">
        <v>3390</v>
      </c>
      <c r="B3371" t="s">
        <v>26</v>
      </c>
      <c r="C3371">
        <v>1</v>
      </c>
      <c r="D3371">
        <v>4</v>
      </c>
      <c r="E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3393</v>
      </c>
      <c r="B3374" t="s">
        <v>26</v>
      </c>
      <c r="C3374">
        <v>5</v>
      </c>
      <c r="D3374">
        <v>4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3394</v>
      </c>
      <c r="C3375">
        <v>2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3395</v>
      </c>
      <c r="C3376">
        <v>5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</row>
    <row r="3377" spans="1:8" x14ac:dyDescent="0.35">
      <c r="A3377" t="s">
        <v>3396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H3379" s="1">
        <v>44960</v>
      </c>
    </row>
    <row r="3380" spans="1:8" x14ac:dyDescent="0.35">
      <c r="A3380" t="s">
        <v>3399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3400</v>
      </c>
      <c r="B3381" t="s">
        <v>19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3401</v>
      </c>
      <c r="B3382" t="s">
        <v>63</v>
      </c>
      <c r="C3382">
        <v>3</v>
      </c>
      <c r="D3382">
        <v>1.5</v>
      </c>
      <c r="E3382">
        <v>4.5</v>
      </c>
      <c r="F3382" t="s">
        <v>21</v>
      </c>
      <c r="H3382" s="1">
        <v>45038</v>
      </c>
    </row>
    <row r="3383" spans="1:8" x14ac:dyDescent="0.35">
      <c r="A3383" t="s">
        <v>3402</v>
      </c>
      <c r="B3383" t="s">
        <v>17</v>
      </c>
      <c r="C3383">
        <v>5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</row>
    <row r="3385" spans="1:8" x14ac:dyDescent="0.35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</row>
    <row r="3387" spans="1:8" x14ac:dyDescent="0.35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3407</v>
      </c>
      <c r="B3388" t="s">
        <v>63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3410</v>
      </c>
      <c r="B3391" t="s">
        <v>19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3412</v>
      </c>
      <c r="B3393" t="s">
        <v>63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3413</v>
      </c>
      <c r="B3394" t="s">
        <v>37</v>
      </c>
      <c r="C3394">
        <v>3</v>
      </c>
      <c r="D3394">
        <v>3</v>
      </c>
      <c r="E3394">
        <v>9</v>
      </c>
      <c r="F3394" t="s">
        <v>21</v>
      </c>
      <c r="H3394" s="1">
        <v>45003</v>
      </c>
    </row>
    <row r="3395" spans="1:8" x14ac:dyDescent="0.35">
      <c r="A3395" t="s">
        <v>3414</v>
      </c>
      <c r="B3395" t="s">
        <v>37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H3396" s="1">
        <v>45113</v>
      </c>
    </row>
    <row r="3397" spans="1:8" x14ac:dyDescent="0.35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H3397" s="1">
        <v>45184</v>
      </c>
    </row>
    <row r="3398" spans="1:8" x14ac:dyDescent="0.35">
      <c r="A3398" t="s">
        <v>3417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</row>
    <row r="3399" spans="1:8" x14ac:dyDescent="0.35">
      <c r="A3399" t="s">
        <v>3418</v>
      </c>
      <c r="B3399" t="s">
        <v>63</v>
      </c>
      <c r="C3399">
        <v>4</v>
      </c>
      <c r="D3399">
        <v>1.5</v>
      </c>
      <c r="E3399">
        <v>6</v>
      </c>
      <c r="F3399" t="s">
        <v>21</v>
      </c>
      <c r="H3399" s="1">
        <v>45175</v>
      </c>
    </row>
    <row r="3400" spans="1:8" x14ac:dyDescent="0.35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H3401" s="1">
        <v>45106</v>
      </c>
    </row>
    <row r="3402" spans="1:8" x14ac:dyDescent="0.35">
      <c r="A3402" t="s">
        <v>3421</v>
      </c>
      <c r="B3402" t="s">
        <v>19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3422</v>
      </c>
      <c r="B3403" t="s">
        <v>63</v>
      </c>
      <c r="D3403">
        <v>1.5</v>
      </c>
      <c r="F3403" t="s">
        <v>21</v>
      </c>
      <c r="G3403" t="s">
        <v>15</v>
      </c>
      <c r="H3403" s="1">
        <v>45132</v>
      </c>
    </row>
    <row r="3404" spans="1:8" x14ac:dyDescent="0.35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3424</v>
      </c>
      <c r="B3405" t="s">
        <v>26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3425</v>
      </c>
      <c r="C3406">
        <v>5</v>
      </c>
      <c r="D3406">
        <v>2</v>
      </c>
      <c r="E3406">
        <v>10</v>
      </c>
      <c r="F3406" t="s">
        <v>21</v>
      </c>
      <c r="H3406" s="1">
        <v>45051</v>
      </c>
    </row>
    <row r="3407" spans="1:8" x14ac:dyDescent="0.35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</row>
    <row r="3409" spans="1:8" x14ac:dyDescent="0.35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3432</v>
      </c>
      <c r="B3413" t="s">
        <v>63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3433</v>
      </c>
      <c r="B3414" t="s">
        <v>13</v>
      </c>
      <c r="C3414">
        <v>2</v>
      </c>
      <c r="D3414">
        <v>3</v>
      </c>
      <c r="E3414">
        <v>6</v>
      </c>
      <c r="F3414" t="s">
        <v>14</v>
      </c>
      <c r="H3414" s="1">
        <v>45218</v>
      </c>
    </row>
    <row r="3415" spans="1:8" x14ac:dyDescent="0.35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3437</v>
      </c>
      <c r="B3418" t="s">
        <v>19</v>
      </c>
      <c r="C3418">
        <v>5</v>
      </c>
      <c r="D3418">
        <v>5</v>
      </c>
      <c r="E3418">
        <v>25</v>
      </c>
      <c r="H3418" s="1">
        <v>45265</v>
      </c>
    </row>
    <row r="3419" spans="1:8" x14ac:dyDescent="0.35">
      <c r="A3419" t="s">
        <v>3438</v>
      </c>
      <c r="B3419" t="s">
        <v>37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3439</v>
      </c>
      <c r="B3420" t="s">
        <v>9</v>
      </c>
      <c r="C3420">
        <v>2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3440</v>
      </c>
      <c r="B3421" t="s">
        <v>26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3441</v>
      </c>
      <c r="B3422" t="s">
        <v>63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3442</v>
      </c>
      <c r="B3423" t="s">
        <v>26</v>
      </c>
      <c r="C3423">
        <v>1</v>
      </c>
      <c r="D3423">
        <v>4</v>
      </c>
      <c r="E3423">
        <v>4</v>
      </c>
      <c r="H3423" s="1">
        <v>45013</v>
      </c>
    </row>
    <row r="3424" spans="1:8" x14ac:dyDescent="0.35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3445</v>
      </c>
      <c r="B3426" t="s">
        <v>23</v>
      </c>
      <c r="C3426">
        <v>5</v>
      </c>
      <c r="D3426">
        <v>4</v>
      </c>
      <c r="E3426">
        <v>20</v>
      </c>
      <c r="G3426" t="s">
        <v>15</v>
      </c>
      <c r="H3426" s="1">
        <v>44970</v>
      </c>
    </row>
    <row r="3427" spans="1:8" x14ac:dyDescent="0.35">
      <c r="A3427" t="s">
        <v>3446</v>
      </c>
      <c r="B3427" t="s">
        <v>37</v>
      </c>
      <c r="C3427">
        <v>3</v>
      </c>
      <c r="D3427">
        <v>3</v>
      </c>
      <c r="E3427">
        <v>9</v>
      </c>
      <c r="F3427" t="s">
        <v>21</v>
      </c>
      <c r="G3427" t="s">
        <v>11</v>
      </c>
      <c r="H3427" s="1">
        <v>45001</v>
      </c>
    </row>
    <row r="3428" spans="1:8" x14ac:dyDescent="0.35">
      <c r="A3428" t="s">
        <v>3447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3448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3450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3452</v>
      </c>
      <c r="B3433" t="s">
        <v>17</v>
      </c>
      <c r="C3433">
        <v>5</v>
      </c>
      <c r="D3433">
        <v>1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3453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3455</v>
      </c>
      <c r="C3436">
        <v>1</v>
      </c>
      <c r="D3436">
        <v>4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3456</v>
      </c>
      <c r="C3437">
        <v>5</v>
      </c>
      <c r="D3437">
        <v>1</v>
      </c>
      <c r="E3437">
        <v>5</v>
      </c>
      <c r="F3437" t="s">
        <v>21</v>
      </c>
      <c r="H3437" s="1">
        <v>45025</v>
      </c>
    </row>
    <row r="3438" spans="1:8" x14ac:dyDescent="0.35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3459</v>
      </c>
      <c r="B3440" t="s">
        <v>23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3461</v>
      </c>
      <c r="B3442" t="s">
        <v>17</v>
      </c>
      <c r="C3442">
        <v>1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3462</v>
      </c>
      <c r="B3443" t="s">
        <v>9</v>
      </c>
      <c r="C3443">
        <v>4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3465</v>
      </c>
      <c r="C3446">
        <v>3</v>
      </c>
      <c r="D3446">
        <v>4</v>
      </c>
      <c r="E3446">
        <v>12</v>
      </c>
      <c r="G3446" t="s">
        <v>15</v>
      </c>
      <c r="H3446" s="1">
        <v>44962</v>
      </c>
    </row>
    <row r="3447" spans="1:8" x14ac:dyDescent="0.35">
      <c r="A3447" t="s">
        <v>3466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3467</v>
      </c>
      <c r="C3448">
        <v>2</v>
      </c>
      <c r="D3448">
        <v>3</v>
      </c>
      <c r="E3448">
        <v>6</v>
      </c>
      <c r="F3448" t="s">
        <v>21</v>
      </c>
      <c r="H3448" s="1">
        <v>45100</v>
      </c>
    </row>
    <row r="3449" spans="1:8" x14ac:dyDescent="0.35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</row>
    <row r="3450" spans="1:8" x14ac:dyDescent="0.35">
      <c r="A3450" t="s">
        <v>3469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3473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</row>
    <row r="3456" spans="1:8" x14ac:dyDescent="0.35">
      <c r="A3456" t="s">
        <v>3475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H3457" s="1">
        <v>44999</v>
      </c>
    </row>
    <row r="3458" spans="1:8" x14ac:dyDescent="0.35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</row>
    <row r="3460" spans="1:8" x14ac:dyDescent="0.35">
      <c r="A3460" t="s">
        <v>3479</v>
      </c>
      <c r="B3460" t="s">
        <v>26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3480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3481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3482</v>
      </c>
      <c r="B3463" t="s">
        <v>13</v>
      </c>
      <c r="C3463">
        <v>4</v>
      </c>
      <c r="D3463">
        <v>3</v>
      </c>
      <c r="E3463">
        <v>12</v>
      </c>
      <c r="H3463" s="1">
        <v>45204</v>
      </c>
    </row>
    <row r="3464" spans="1:8" x14ac:dyDescent="0.35">
      <c r="A3464" t="s">
        <v>3483</v>
      </c>
      <c r="B3464" t="s">
        <v>26</v>
      </c>
      <c r="C3464">
        <v>1</v>
      </c>
      <c r="D3464">
        <v>4</v>
      </c>
      <c r="E3464">
        <v>4</v>
      </c>
      <c r="F3464" t="s">
        <v>10</v>
      </c>
      <c r="H3464" s="1">
        <v>45004</v>
      </c>
    </row>
    <row r="3465" spans="1:8" x14ac:dyDescent="0.35">
      <c r="A3465" t="s">
        <v>3484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3485</v>
      </c>
      <c r="B3466" t="s">
        <v>37</v>
      </c>
      <c r="C3466">
        <v>2</v>
      </c>
      <c r="D3466">
        <v>3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3486</v>
      </c>
      <c r="B3467" t="s">
        <v>37</v>
      </c>
      <c r="C3467">
        <v>1</v>
      </c>
      <c r="D3467">
        <v>3</v>
      </c>
      <c r="E3467">
        <v>3</v>
      </c>
      <c r="F3467" t="s">
        <v>21</v>
      </c>
      <c r="H3467" s="1">
        <v>45102</v>
      </c>
    </row>
    <row r="3468" spans="1:8" x14ac:dyDescent="0.35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</row>
    <row r="3469" spans="1:8" x14ac:dyDescent="0.35">
      <c r="A3469" t="s">
        <v>3488</v>
      </c>
      <c r="B3469" t="s">
        <v>9</v>
      </c>
      <c r="C3469">
        <v>3</v>
      </c>
      <c r="D3469">
        <v>2</v>
      </c>
      <c r="E3469">
        <v>6</v>
      </c>
      <c r="H3469" s="1">
        <v>45176</v>
      </c>
    </row>
    <row r="3470" spans="1:8" x14ac:dyDescent="0.35">
      <c r="A3470" t="s">
        <v>3489</v>
      </c>
      <c r="C3470">
        <v>4</v>
      </c>
      <c r="D3470">
        <v>3</v>
      </c>
      <c r="E3470">
        <v>12</v>
      </c>
      <c r="F3470" t="s">
        <v>21</v>
      </c>
      <c r="H3470" s="1">
        <v>45113</v>
      </c>
    </row>
    <row r="3471" spans="1:8" x14ac:dyDescent="0.35">
      <c r="A3471" t="s">
        <v>3490</v>
      </c>
      <c r="B3471" t="s">
        <v>9</v>
      </c>
      <c r="C3471">
        <v>4</v>
      </c>
      <c r="D3471">
        <v>2</v>
      </c>
      <c r="E3471">
        <v>8</v>
      </c>
      <c r="H3471" s="1">
        <v>45170</v>
      </c>
    </row>
    <row r="3472" spans="1:8" x14ac:dyDescent="0.35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</row>
    <row r="3473" spans="1:8" x14ac:dyDescent="0.35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3493</v>
      </c>
      <c r="B3474" t="s">
        <v>23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3495</v>
      </c>
      <c r="B3476" t="s">
        <v>23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</row>
    <row r="3478" spans="1:8" x14ac:dyDescent="0.35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3498</v>
      </c>
      <c r="B3479" t="s">
        <v>26</v>
      </c>
      <c r="C3479">
        <v>5</v>
      </c>
      <c r="D3479">
        <v>4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3500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</row>
    <row r="3482" spans="1:8" x14ac:dyDescent="0.35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</row>
    <row r="3484" spans="1:8" x14ac:dyDescent="0.35">
      <c r="A3484" t="s">
        <v>3503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</row>
    <row r="3487" spans="1:8" x14ac:dyDescent="0.35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H3488" s="1">
        <v>45244</v>
      </c>
    </row>
    <row r="3489" spans="1:8" x14ac:dyDescent="0.35">
      <c r="A3489" t="s">
        <v>3508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</row>
    <row r="3491" spans="1:8" x14ac:dyDescent="0.35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H3491" s="1">
        <v>45130</v>
      </c>
    </row>
    <row r="3492" spans="1:8" x14ac:dyDescent="0.35">
      <c r="A3492" t="s">
        <v>3511</v>
      </c>
      <c r="B3492" t="s">
        <v>9</v>
      </c>
      <c r="C3492">
        <v>3</v>
      </c>
      <c r="D3492">
        <v>2</v>
      </c>
      <c r="E3492">
        <v>6</v>
      </c>
      <c r="H3492" s="1">
        <v>45136</v>
      </c>
    </row>
    <row r="3493" spans="1:8" x14ac:dyDescent="0.35">
      <c r="A3493" t="s">
        <v>3512</v>
      </c>
      <c r="B3493" t="s">
        <v>63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3514</v>
      </c>
      <c r="B3495" t="s">
        <v>13</v>
      </c>
      <c r="C3495">
        <v>4</v>
      </c>
      <c r="D3495">
        <v>3</v>
      </c>
      <c r="E3495">
        <v>12</v>
      </c>
      <c r="G3495" t="s">
        <v>11</v>
      </c>
      <c r="H3495" s="1">
        <v>45052</v>
      </c>
    </row>
    <row r="3496" spans="1:8" x14ac:dyDescent="0.35">
      <c r="A3496" t="s">
        <v>3515</v>
      </c>
      <c r="B3496" t="s">
        <v>63</v>
      </c>
      <c r="C3496">
        <v>5</v>
      </c>
      <c r="D3496">
        <v>1.5</v>
      </c>
      <c r="E3496">
        <v>7.5</v>
      </c>
      <c r="F3496" t="s">
        <v>21</v>
      </c>
      <c r="G3496" t="s">
        <v>15</v>
      </c>
      <c r="H3496" s="1">
        <v>45284</v>
      </c>
    </row>
    <row r="3497" spans="1:8" x14ac:dyDescent="0.35">
      <c r="A3497" t="s">
        <v>3516</v>
      </c>
      <c r="B3497" t="s">
        <v>37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</row>
    <row r="3500" spans="1:8" x14ac:dyDescent="0.35">
      <c r="A3500" t="s">
        <v>3519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H3501" s="1">
        <v>45235</v>
      </c>
    </row>
    <row r="3502" spans="1:8" x14ac:dyDescent="0.35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3524</v>
      </c>
      <c r="B3505" t="s">
        <v>23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H3506" s="1">
        <v>45217</v>
      </c>
    </row>
    <row r="3507" spans="1:8" x14ac:dyDescent="0.35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H3507" s="1">
        <v>45032</v>
      </c>
    </row>
    <row r="3508" spans="1:8" x14ac:dyDescent="0.35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3528</v>
      </c>
      <c r="B3509" t="s">
        <v>63</v>
      </c>
      <c r="C3509">
        <v>4</v>
      </c>
      <c r="D3509">
        <v>1.5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3529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</row>
    <row r="3511" spans="1:8" x14ac:dyDescent="0.35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</row>
    <row r="3514" spans="1:8" x14ac:dyDescent="0.35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H3514" s="1">
        <v>45047</v>
      </c>
    </row>
    <row r="3515" spans="1:8" x14ac:dyDescent="0.35">
      <c r="A3515" t="s">
        <v>3534</v>
      </c>
      <c r="B3515" t="s">
        <v>37</v>
      </c>
      <c r="C3515">
        <v>4</v>
      </c>
      <c r="D3515">
        <v>3</v>
      </c>
      <c r="E3515">
        <v>12</v>
      </c>
      <c r="F3515" t="s">
        <v>21</v>
      </c>
      <c r="G3515" t="s">
        <v>11</v>
      </c>
      <c r="H3515" s="1">
        <v>45030</v>
      </c>
    </row>
    <row r="3516" spans="1:8" x14ac:dyDescent="0.35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3536</v>
      </c>
      <c r="B3517" t="s">
        <v>17</v>
      </c>
      <c r="C3517">
        <v>3</v>
      </c>
      <c r="D3517">
        <v>1</v>
      </c>
      <c r="E3517">
        <v>3</v>
      </c>
      <c r="H3517" s="1">
        <v>45190</v>
      </c>
    </row>
    <row r="3518" spans="1:8" x14ac:dyDescent="0.35">
      <c r="A3518" t="s">
        <v>3537</v>
      </c>
      <c r="B3518" t="s">
        <v>23</v>
      </c>
      <c r="C3518">
        <v>3</v>
      </c>
      <c r="D3518">
        <v>4</v>
      </c>
      <c r="E3518">
        <v>12</v>
      </c>
      <c r="G3518" t="s">
        <v>15</v>
      </c>
      <c r="H3518" s="1">
        <v>45055</v>
      </c>
    </row>
    <row r="3519" spans="1:8" x14ac:dyDescent="0.35">
      <c r="A3519" t="s">
        <v>3538</v>
      </c>
      <c r="B3519" t="s">
        <v>19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3539</v>
      </c>
      <c r="C3520">
        <v>5</v>
      </c>
      <c r="D3520">
        <v>2</v>
      </c>
      <c r="E3520">
        <v>10</v>
      </c>
      <c r="F3520" t="s">
        <v>21</v>
      </c>
      <c r="H3520" s="1">
        <v>45032</v>
      </c>
    </row>
    <row r="3521" spans="1:8" x14ac:dyDescent="0.35">
      <c r="A3521" t="s">
        <v>3540</v>
      </c>
      <c r="B3521" t="s">
        <v>63</v>
      </c>
      <c r="C3521">
        <v>4</v>
      </c>
      <c r="D3521">
        <v>1.5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3541</v>
      </c>
      <c r="C3522">
        <v>1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H3524" s="1">
        <v>44974</v>
      </c>
    </row>
    <row r="3525" spans="1:8" x14ac:dyDescent="0.35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3547</v>
      </c>
      <c r="C3528">
        <v>3</v>
      </c>
      <c r="D3528">
        <v>5</v>
      </c>
      <c r="E3528">
        <v>15</v>
      </c>
      <c r="F3528" t="s">
        <v>21</v>
      </c>
      <c r="H3528" s="1">
        <v>45111</v>
      </c>
    </row>
    <row r="3529" spans="1:8" x14ac:dyDescent="0.35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H3529" s="1">
        <v>44992</v>
      </c>
    </row>
    <row r="3530" spans="1:8" x14ac:dyDescent="0.35">
      <c r="A3530" t="s">
        <v>3549</v>
      </c>
      <c r="B3530" t="s">
        <v>19</v>
      </c>
      <c r="C3530">
        <v>2</v>
      </c>
      <c r="D3530">
        <v>5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</row>
    <row r="3533" spans="1:8" x14ac:dyDescent="0.35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3553</v>
      </c>
      <c r="B3534" t="s">
        <v>13</v>
      </c>
      <c r="C3534">
        <v>1</v>
      </c>
      <c r="D3534">
        <v>3</v>
      </c>
      <c r="E3534">
        <v>3</v>
      </c>
      <c r="G3534" t="s">
        <v>15</v>
      </c>
      <c r="H3534" s="1">
        <v>45280</v>
      </c>
    </row>
    <row r="3535" spans="1:8" x14ac:dyDescent="0.35">
      <c r="A3535" t="s">
        <v>3554</v>
      </c>
      <c r="B3535" t="s">
        <v>17</v>
      </c>
      <c r="C3535">
        <v>3</v>
      </c>
      <c r="D3535">
        <v>1</v>
      </c>
      <c r="E3535">
        <v>3</v>
      </c>
      <c r="H3535" s="1">
        <v>45108</v>
      </c>
    </row>
    <row r="3536" spans="1:8" x14ac:dyDescent="0.35">
      <c r="A3536" t="s">
        <v>3555</v>
      </c>
      <c r="B3536" t="s">
        <v>19</v>
      </c>
      <c r="C3536">
        <v>1</v>
      </c>
      <c r="D3536">
        <v>5</v>
      </c>
      <c r="E3536">
        <v>5</v>
      </c>
      <c r="H3536" s="1">
        <v>45073</v>
      </c>
    </row>
    <row r="3537" spans="1:8" x14ac:dyDescent="0.35">
      <c r="A3537" t="s">
        <v>3556</v>
      </c>
      <c r="B3537" t="s">
        <v>19</v>
      </c>
      <c r="C3537">
        <v>2</v>
      </c>
      <c r="D3537">
        <v>5</v>
      </c>
      <c r="E3537">
        <v>10</v>
      </c>
      <c r="G3537" t="s">
        <v>11</v>
      </c>
      <c r="H3537" s="1">
        <v>44954</v>
      </c>
    </row>
    <row r="3538" spans="1:8" x14ac:dyDescent="0.35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</row>
    <row r="3539" spans="1:8" x14ac:dyDescent="0.35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</row>
    <row r="3540" spans="1:8" x14ac:dyDescent="0.35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3560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3561</v>
      </c>
      <c r="B3542" t="s">
        <v>23</v>
      </c>
      <c r="C3542">
        <v>1</v>
      </c>
      <c r="D3542">
        <v>4</v>
      </c>
      <c r="E3542">
        <v>4</v>
      </c>
      <c r="F3542" t="s">
        <v>21</v>
      </c>
      <c r="H3542" s="1">
        <v>45198</v>
      </c>
    </row>
    <row r="3543" spans="1:8" x14ac:dyDescent="0.35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H3543" s="1">
        <v>45086</v>
      </c>
    </row>
    <row r="3544" spans="1:8" x14ac:dyDescent="0.35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3565</v>
      </c>
      <c r="B3546" t="s">
        <v>23</v>
      </c>
      <c r="C3546">
        <v>1</v>
      </c>
      <c r="D3546">
        <v>4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3566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3567</v>
      </c>
      <c r="C3548">
        <v>1</v>
      </c>
      <c r="D3548">
        <v>2</v>
      </c>
      <c r="E3548">
        <v>2</v>
      </c>
      <c r="H3548" s="1">
        <v>45012</v>
      </c>
    </row>
    <row r="3549" spans="1:8" x14ac:dyDescent="0.35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H3549" s="1">
        <v>44995</v>
      </c>
    </row>
    <row r="3550" spans="1:8" x14ac:dyDescent="0.35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</row>
    <row r="3551" spans="1:8" x14ac:dyDescent="0.35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3572</v>
      </c>
      <c r="B3553" t="s">
        <v>26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3573</v>
      </c>
      <c r="B3554" t="s">
        <v>9</v>
      </c>
      <c r="C3554">
        <v>3</v>
      </c>
      <c r="D3554">
        <v>2</v>
      </c>
      <c r="E3554">
        <v>6</v>
      </c>
      <c r="H3554" s="1">
        <v>45066</v>
      </c>
    </row>
    <row r="3555" spans="1:8" x14ac:dyDescent="0.35">
      <c r="A3555" t="s">
        <v>3574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3575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3576</v>
      </c>
      <c r="B3557" t="s">
        <v>63</v>
      </c>
      <c r="C3557">
        <v>3</v>
      </c>
      <c r="D3557">
        <v>1.5</v>
      </c>
      <c r="E3557">
        <v>4.5</v>
      </c>
      <c r="G3557" t="s">
        <v>15</v>
      </c>
      <c r="H3557" s="1">
        <v>44949</v>
      </c>
    </row>
    <row r="3558" spans="1:8" x14ac:dyDescent="0.35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</row>
    <row r="3559" spans="1:8" x14ac:dyDescent="0.35">
      <c r="A3559" t="s">
        <v>3578</v>
      </c>
      <c r="B3559" t="s">
        <v>17</v>
      </c>
      <c r="C3559">
        <v>1</v>
      </c>
      <c r="D3559">
        <v>1</v>
      </c>
      <c r="E3559">
        <v>1</v>
      </c>
      <c r="H3559" s="1">
        <v>45280</v>
      </c>
    </row>
    <row r="3560" spans="1:8" x14ac:dyDescent="0.35">
      <c r="A3560" t="s">
        <v>3579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3580</v>
      </c>
      <c r="C3561">
        <v>1</v>
      </c>
      <c r="D3561">
        <v>1</v>
      </c>
      <c r="E3561">
        <v>1</v>
      </c>
      <c r="F3561" t="s">
        <v>21</v>
      </c>
      <c r="H3561" s="1">
        <v>44943</v>
      </c>
    </row>
    <row r="3562" spans="1:8" x14ac:dyDescent="0.35">
      <c r="A3562" t="s">
        <v>3581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3582</v>
      </c>
      <c r="B3563" t="s">
        <v>19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3583</v>
      </c>
      <c r="B3564" t="s">
        <v>17</v>
      </c>
      <c r="C3564">
        <v>2</v>
      </c>
      <c r="D3564">
        <v>1</v>
      </c>
      <c r="E3564">
        <v>2</v>
      </c>
      <c r="F3564" t="s">
        <v>21</v>
      </c>
      <c r="H3564" s="1">
        <v>45238</v>
      </c>
    </row>
    <row r="3565" spans="1:8" x14ac:dyDescent="0.35">
      <c r="A3565" t="s">
        <v>3584</v>
      </c>
      <c r="B3565" t="s">
        <v>26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</row>
    <row r="3567" spans="1:8" x14ac:dyDescent="0.35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H3567" s="1">
        <v>45199</v>
      </c>
    </row>
    <row r="3568" spans="1:8" x14ac:dyDescent="0.35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3588</v>
      </c>
      <c r="B3569" t="s">
        <v>9</v>
      </c>
      <c r="C3569">
        <v>3</v>
      </c>
      <c r="D3569">
        <v>2</v>
      </c>
      <c r="E3569">
        <v>6</v>
      </c>
      <c r="H3569" s="1">
        <v>45287</v>
      </c>
    </row>
    <row r="3570" spans="1:8" x14ac:dyDescent="0.35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</row>
    <row r="3571" spans="1:8" x14ac:dyDescent="0.35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H3571" s="1">
        <v>45041</v>
      </c>
    </row>
    <row r="3572" spans="1:8" x14ac:dyDescent="0.35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H3572" s="1">
        <v>45068</v>
      </c>
    </row>
    <row r="3573" spans="1:8" x14ac:dyDescent="0.35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3594</v>
      </c>
      <c r="B3575" t="s">
        <v>19</v>
      </c>
      <c r="C3575">
        <v>5</v>
      </c>
      <c r="D3575">
        <v>5</v>
      </c>
      <c r="E3575">
        <v>25</v>
      </c>
      <c r="F3575" t="s">
        <v>21</v>
      </c>
      <c r="H3575" s="1">
        <v>44967</v>
      </c>
    </row>
    <row r="3576" spans="1:8" x14ac:dyDescent="0.35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H3576" s="1">
        <v>45115</v>
      </c>
    </row>
    <row r="3577" spans="1:8" x14ac:dyDescent="0.35">
      <c r="A3577" t="s">
        <v>3596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3597</v>
      </c>
      <c r="B3578" t="s">
        <v>17</v>
      </c>
      <c r="C3578">
        <v>2</v>
      </c>
      <c r="D3578">
        <v>1</v>
      </c>
      <c r="E3578">
        <v>2</v>
      </c>
      <c r="H3578" s="1">
        <v>45064</v>
      </c>
    </row>
    <row r="3579" spans="1:8" x14ac:dyDescent="0.35">
      <c r="A3579" t="s">
        <v>3598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3599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3600</v>
      </c>
      <c r="B3581" t="s">
        <v>26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</row>
    <row r="3583" spans="1:8" x14ac:dyDescent="0.35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3603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3604</v>
      </c>
      <c r="C3585">
        <v>4</v>
      </c>
      <c r="D3585">
        <v>1.5</v>
      </c>
      <c r="E3585">
        <v>6</v>
      </c>
      <c r="F3585" t="s">
        <v>21</v>
      </c>
      <c r="H3585" s="1">
        <v>45181</v>
      </c>
    </row>
    <row r="3586" spans="1:8" x14ac:dyDescent="0.35">
      <c r="A3586" t="s">
        <v>3605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3606</v>
      </c>
      <c r="B3587" t="s">
        <v>17</v>
      </c>
      <c r="C3587">
        <v>2</v>
      </c>
      <c r="D3587">
        <v>1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3607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3608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H3590" s="1">
        <v>45109</v>
      </c>
    </row>
    <row r="3591" spans="1:8" x14ac:dyDescent="0.35">
      <c r="A3591" t="s">
        <v>3610</v>
      </c>
      <c r="B3591" t="s">
        <v>26</v>
      </c>
      <c r="C3591">
        <v>5</v>
      </c>
      <c r="D3591">
        <v>4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3611</v>
      </c>
      <c r="B3592" t="s">
        <v>17</v>
      </c>
      <c r="C3592">
        <v>1</v>
      </c>
      <c r="D3592">
        <v>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</row>
    <row r="3594" spans="1:8" x14ac:dyDescent="0.35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3616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3619</v>
      </c>
      <c r="B3600" t="s">
        <v>23</v>
      </c>
      <c r="C3600">
        <v>1</v>
      </c>
      <c r="D3600">
        <v>4</v>
      </c>
      <c r="E3600">
        <v>4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</row>
    <row r="3602" spans="1:8" x14ac:dyDescent="0.35">
      <c r="A3602" t="s">
        <v>3621</v>
      </c>
      <c r="C3602">
        <v>3</v>
      </c>
      <c r="D3602">
        <v>1</v>
      </c>
      <c r="E3602">
        <v>3</v>
      </c>
      <c r="H3602" s="1">
        <v>44995</v>
      </c>
    </row>
    <row r="3603" spans="1:8" x14ac:dyDescent="0.35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</row>
    <row r="3604" spans="1:8" x14ac:dyDescent="0.35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3624</v>
      </c>
      <c r="B3605" t="s">
        <v>19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3625</v>
      </c>
      <c r="B3606" t="s">
        <v>9</v>
      </c>
      <c r="C3606">
        <v>5</v>
      </c>
      <c r="D3606">
        <v>2</v>
      </c>
      <c r="E3606">
        <v>10</v>
      </c>
      <c r="G3606" t="s">
        <v>15</v>
      </c>
      <c r="H3606" s="1">
        <v>45211</v>
      </c>
    </row>
    <row r="3607" spans="1:8" x14ac:dyDescent="0.35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</row>
    <row r="3608" spans="1:8" x14ac:dyDescent="0.35">
      <c r="A3608" t="s">
        <v>3627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3628</v>
      </c>
      <c r="B3609" t="s">
        <v>19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3629</v>
      </c>
      <c r="B3610" t="s">
        <v>17</v>
      </c>
      <c r="C3610">
        <v>3</v>
      </c>
      <c r="D3610">
        <v>1</v>
      </c>
      <c r="E3610">
        <v>3</v>
      </c>
      <c r="F3610" t="s">
        <v>21</v>
      </c>
      <c r="G3610" t="s">
        <v>11</v>
      </c>
      <c r="H3610" s="1">
        <v>45213</v>
      </c>
    </row>
    <row r="3611" spans="1:8" x14ac:dyDescent="0.35">
      <c r="A3611" t="s">
        <v>3630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</row>
    <row r="3612" spans="1:8" x14ac:dyDescent="0.35">
      <c r="A3612" t="s">
        <v>3631</v>
      </c>
      <c r="B3612" t="s">
        <v>17</v>
      </c>
      <c r="C3612">
        <v>3</v>
      </c>
      <c r="D3612">
        <v>1</v>
      </c>
      <c r="E3612">
        <v>3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H3614" s="1">
        <v>45267</v>
      </c>
    </row>
    <row r="3615" spans="1:8" x14ac:dyDescent="0.35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</row>
    <row r="3617" spans="1:8" x14ac:dyDescent="0.35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</row>
    <row r="3618" spans="1:8" x14ac:dyDescent="0.35">
      <c r="A3618" t="s">
        <v>3637</v>
      </c>
      <c r="B3618" t="s">
        <v>19</v>
      </c>
      <c r="C3618">
        <v>4</v>
      </c>
      <c r="D3618">
        <v>5</v>
      </c>
      <c r="E3618">
        <v>20</v>
      </c>
      <c r="F3618" t="s">
        <v>10</v>
      </c>
      <c r="G3618" t="s">
        <v>15</v>
      </c>
    </row>
    <row r="3619" spans="1:8" x14ac:dyDescent="0.35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3639</v>
      </c>
      <c r="B3620" t="s">
        <v>63</v>
      </c>
      <c r="C3620">
        <v>5</v>
      </c>
      <c r="D3620">
        <v>1.5</v>
      </c>
      <c r="E3620">
        <v>7.5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</row>
    <row r="3623" spans="1:8" x14ac:dyDescent="0.35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H3623" s="1">
        <v>44947</v>
      </c>
    </row>
    <row r="3624" spans="1:8" x14ac:dyDescent="0.35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3644</v>
      </c>
      <c r="B3625" t="s">
        <v>26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3645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3646</v>
      </c>
      <c r="B3627" t="s">
        <v>9</v>
      </c>
      <c r="C3627">
        <v>4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3647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H3629" s="1">
        <v>45097</v>
      </c>
    </row>
    <row r="3630" spans="1:8" x14ac:dyDescent="0.35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</row>
    <row r="3633" spans="1:8" x14ac:dyDescent="0.35">
      <c r="A3633" t="s">
        <v>3652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3653</v>
      </c>
      <c r="B3634" t="s">
        <v>26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3654</v>
      </c>
      <c r="B3635" t="s">
        <v>37</v>
      </c>
      <c r="C3635">
        <v>5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3655</v>
      </c>
      <c r="C3636">
        <v>5</v>
      </c>
      <c r="D3636">
        <v>5</v>
      </c>
      <c r="E3636">
        <v>25</v>
      </c>
      <c r="F3636" t="s">
        <v>21</v>
      </c>
      <c r="H3636" s="1">
        <v>45280</v>
      </c>
    </row>
    <row r="3637" spans="1:8" x14ac:dyDescent="0.35">
      <c r="A3637" t="s">
        <v>3656</v>
      </c>
      <c r="B3637" t="s">
        <v>17</v>
      </c>
      <c r="C3637">
        <v>1</v>
      </c>
      <c r="D3637">
        <v>1</v>
      </c>
      <c r="E3637">
        <v>1</v>
      </c>
      <c r="F3637" t="s">
        <v>14</v>
      </c>
      <c r="H3637" s="1">
        <v>45133</v>
      </c>
    </row>
    <row r="3638" spans="1:8" x14ac:dyDescent="0.35">
      <c r="A3638" t="s">
        <v>3657</v>
      </c>
      <c r="B3638" t="s">
        <v>26</v>
      </c>
      <c r="C3638">
        <v>5</v>
      </c>
      <c r="D3638">
        <v>4</v>
      </c>
      <c r="E3638">
        <v>20</v>
      </c>
      <c r="H3638" s="1">
        <v>45066</v>
      </c>
    </row>
    <row r="3639" spans="1:8" x14ac:dyDescent="0.35">
      <c r="A3639" t="s">
        <v>3658</v>
      </c>
      <c r="C3639">
        <v>4</v>
      </c>
      <c r="D3639">
        <v>2</v>
      </c>
      <c r="E3639">
        <v>8</v>
      </c>
      <c r="H3639" s="1">
        <v>45019</v>
      </c>
    </row>
    <row r="3640" spans="1:8" x14ac:dyDescent="0.35">
      <c r="A3640" t="s">
        <v>3659</v>
      </c>
      <c r="B3640" t="s">
        <v>37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3664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</row>
    <row r="3646" spans="1:8" x14ac:dyDescent="0.35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3667</v>
      </c>
      <c r="B3648" t="s">
        <v>9</v>
      </c>
      <c r="C3648">
        <v>1</v>
      </c>
      <c r="D3648">
        <v>2</v>
      </c>
      <c r="E3648">
        <v>2</v>
      </c>
      <c r="H3648" s="1">
        <v>44945</v>
      </c>
    </row>
    <row r="3649" spans="1:8" x14ac:dyDescent="0.35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3670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</row>
    <row r="3653" spans="1:8" x14ac:dyDescent="0.35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</row>
    <row r="3654" spans="1:8" x14ac:dyDescent="0.35">
      <c r="A3654" t="s">
        <v>3673</v>
      </c>
      <c r="B3654" t="s">
        <v>13</v>
      </c>
      <c r="C3654">
        <v>4</v>
      </c>
      <c r="D3654">
        <v>3</v>
      </c>
      <c r="E3654">
        <v>12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3674</v>
      </c>
      <c r="B3655" t="s">
        <v>9</v>
      </c>
      <c r="C3655">
        <v>5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3675</v>
      </c>
      <c r="B3656" t="s">
        <v>23</v>
      </c>
      <c r="C3656">
        <v>2</v>
      </c>
      <c r="D3656">
        <v>4</v>
      </c>
      <c r="E3656">
        <v>8</v>
      </c>
      <c r="G3656" t="s">
        <v>11</v>
      </c>
      <c r="H3656" s="1">
        <v>45057</v>
      </c>
    </row>
    <row r="3657" spans="1:8" x14ac:dyDescent="0.35">
      <c r="A3657" t="s">
        <v>3676</v>
      </c>
      <c r="B3657" t="s">
        <v>23</v>
      </c>
      <c r="C3657">
        <v>3</v>
      </c>
      <c r="D3657">
        <v>4</v>
      </c>
      <c r="E3657">
        <v>12</v>
      </c>
      <c r="F3657" t="s">
        <v>10</v>
      </c>
      <c r="H3657" s="1">
        <v>45156</v>
      </c>
    </row>
    <row r="3658" spans="1:8" x14ac:dyDescent="0.35">
      <c r="A3658" t="s">
        <v>3677</v>
      </c>
      <c r="C3658">
        <v>4</v>
      </c>
      <c r="D3658">
        <v>3</v>
      </c>
      <c r="E3658">
        <v>12</v>
      </c>
      <c r="G3658" t="s">
        <v>15</v>
      </c>
      <c r="H3658" s="1">
        <v>45086</v>
      </c>
    </row>
    <row r="3659" spans="1:8" x14ac:dyDescent="0.35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</row>
    <row r="3660" spans="1:8" x14ac:dyDescent="0.35">
      <c r="A3660" t="s">
        <v>3679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3680</v>
      </c>
      <c r="C3661">
        <v>4</v>
      </c>
      <c r="D3661">
        <v>4</v>
      </c>
      <c r="E3661">
        <v>16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</row>
    <row r="3663" spans="1:8" x14ac:dyDescent="0.35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3683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3684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3687</v>
      </c>
      <c r="C3668">
        <v>2</v>
      </c>
      <c r="D3668">
        <v>1.5</v>
      </c>
      <c r="E3668">
        <v>3</v>
      </c>
      <c r="F3668" t="s">
        <v>21</v>
      </c>
      <c r="G3668" t="s">
        <v>11</v>
      </c>
      <c r="H3668" s="1">
        <v>45129</v>
      </c>
    </row>
    <row r="3669" spans="1:8" x14ac:dyDescent="0.35">
      <c r="A3669" t="s">
        <v>3688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</row>
    <row r="3673" spans="1:8" x14ac:dyDescent="0.35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</row>
    <row r="3675" spans="1:8" x14ac:dyDescent="0.35">
      <c r="A3675" t="s">
        <v>3694</v>
      </c>
      <c r="B3675" t="s">
        <v>23</v>
      </c>
      <c r="C3675">
        <v>2</v>
      </c>
      <c r="D3675">
        <v>4</v>
      </c>
      <c r="E3675">
        <v>8</v>
      </c>
    </row>
    <row r="3676" spans="1:8" x14ac:dyDescent="0.35">
      <c r="A3676" t="s">
        <v>3695</v>
      </c>
      <c r="B3676" t="s">
        <v>17</v>
      </c>
      <c r="C3676">
        <v>1</v>
      </c>
      <c r="D3676">
        <v>1</v>
      </c>
      <c r="E3676">
        <v>1</v>
      </c>
      <c r="H3676" s="1">
        <v>45094</v>
      </c>
    </row>
    <row r="3677" spans="1:8" x14ac:dyDescent="0.35">
      <c r="A3677" t="s">
        <v>3696</v>
      </c>
      <c r="B3677" t="s">
        <v>63</v>
      </c>
      <c r="C3677">
        <v>5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3697</v>
      </c>
      <c r="B3678" t="s">
        <v>9</v>
      </c>
      <c r="C3678">
        <v>3</v>
      </c>
      <c r="D3678">
        <v>2</v>
      </c>
      <c r="E3678">
        <v>6</v>
      </c>
      <c r="H3678" s="1">
        <v>45173</v>
      </c>
    </row>
    <row r="3679" spans="1:8" x14ac:dyDescent="0.35">
      <c r="A3679" t="s">
        <v>3698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3700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</row>
    <row r="3682" spans="1:8" x14ac:dyDescent="0.35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3702</v>
      </c>
      <c r="B3683" t="s">
        <v>23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3703</v>
      </c>
      <c r="B3684" t="s">
        <v>26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H3685" s="1">
        <v>44935</v>
      </c>
    </row>
    <row r="3686" spans="1:8" x14ac:dyDescent="0.35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H3686" s="1">
        <v>45009</v>
      </c>
    </row>
    <row r="3687" spans="1:8" x14ac:dyDescent="0.35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3708</v>
      </c>
      <c r="B3689" t="s">
        <v>9</v>
      </c>
      <c r="C3689">
        <v>2</v>
      </c>
      <c r="D3689">
        <v>2</v>
      </c>
      <c r="E3689">
        <v>4</v>
      </c>
      <c r="G3689" t="s">
        <v>11</v>
      </c>
      <c r="H3689" s="1">
        <v>45162</v>
      </c>
    </row>
    <row r="3690" spans="1:8" x14ac:dyDescent="0.35">
      <c r="A3690" t="s">
        <v>3709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3712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H3695" s="1">
        <v>45154</v>
      </c>
    </row>
    <row r="3696" spans="1:8" x14ac:dyDescent="0.35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3718</v>
      </c>
      <c r="C3699">
        <v>1</v>
      </c>
      <c r="D3699">
        <v>1.5</v>
      </c>
      <c r="E3699">
        <v>1.5</v>
      </c>
      <c r="H3699" s="1">
        <v>45246</v>
      </c>
    </row>
    <row r="3700" spans="1:8" x14ac:dyDescent="0.35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</row>
    <row r="3701" spans="1:8" x14ac:dyDescent="0.35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</row>
    <row r="3702" spans="1:8" x14ac:dyDescent="0.35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</row>
    <row r="3703" spans="1:8" x14ac:dyDescent="0.35">
      <c r="A3703" t="s">
        <v>3722</v>
      </c>
      <c r="B3703" t="s">
        <v>63</v>
      </c>
      <c r="C3703">
        <v>1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3724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3726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3727</v>
      </c>
      <c r="B3708" t="s">
        <v>23</v>
      </c>
      <c r="C3708">
        <v>4</v>
      </c>
      <c r="D3708">
        <v>4</v>
      </c>
      <c r="E3708">
        <v>16</v>
      </c>
      <c r="G3708" t="s">
        <v>15</v>
      </c>
      <c r="H3708" s="1">
        <v>45093</v>
      </c>
    </row>
    <row r="3709" spans="1:8" x14ac:dyDescent="0.35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3732</v>
      </c>
      <c r="C3713">
        <v>5</v>
      </c>
      <c r="D3713">
        <v>2</v>
      </c>
      <c r="E3713">
        <v>10</v>
      </c>
      <c r="G3713" t="s">
        <v>15</v>
      </c>
      <c r="H3713" s="1">
        <v>45244</v>
      </c>
    </row>
    <row r="3714" spans="1:8" x14ac:dyDescent="0.35">
      <c r="A3714" t="s">
        <v>3733</v>
      </c>
      <c r="B3714" t="s">
        <v>9</v>
      </c>
      <c r="C3714">
        <v>3</v>
      </c>
      <c r="D3714">
        <v>2</v>
      </c>
      <c r="E3714">
        <v>6</v>
      </c>
      <c r="G3714" t="s">
        <v>11</v>
      </c>
      <c r="H3714" s="1">
        <v>45178</v>
      </c>
    </row>
    <row r="3715" spans="1:8" x14ac:dyDescent="0.35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3735</v>
      </c>
      <c r="B3716" t="s">
        <v>26</v>
      </c>
      <c r="C3716">
        <v>2</v>
      </c>
      <c r="D3716">
        <v>4</v>
      </c>
      <c r="E3716">
        <v>8</v>
      </c>
      <c r="F3716" t="s">
        <v>21</v>
      </c>
      <c r="G3716" t="s">
        <v>15</v>
      </c>
      <c r="H3716" s="1">
        <v>45238</v>
      </c>
    </row>
    <row r="3717" spans="1:8" x14ac:dyDescent="0.35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3737</v>
      </c>
      <c r="B3718" t="s">
        <v>17</v>
      </c>
      <c r="C3718">
        <v>1</v>
      </c>
      <c r="D3718">
        <v>1</v>
      </c>
      <c r="E3718">
        <v>1</v>
      </c>
      <c r="F3718" t="s">
        <v>21</v>
      </c>
      <c r="H3718" s="1">
        <v>45232</v>
      </c>
    </row>
    <row r="3719" spans="1:8" x14ac:dyDescent="0.35">
      <c r="A3719" t="s">
        <v>3738</v>
      </c>
      <c r="C3719">
        <v>3</v>
      </c>
      <c r="D3719">
        <v>4</v>
      </c>
      <c r="E3719">
        <v>12</v>
      </c>
      <c r="F3719" t="s">
        <v>14</v>
      </c>
      <c r="H3719" s="1">
        <v>45073</v>
      </c>
    </row>
    <row r="3720" spans="1:8" x14ac:dyDescent="0.35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H3721" s="1">
        <v>45050</v>
      </c>
    </row>
    <row r="3722" spans="1:8" x14ac:dyDescent="0.35">
      <c r="A3722" t="s">
        <v>3741</v>
      </c>
      <c r="B3722" t="s">
        <v>26</v>
      </c>
      <c r="C3722">
        <v>2</v>
      </c>
      <c r="D3722">
        <v>4</v>
      </c>
      <c r="E3722">
        <v>8</v>
      </c>
      <c r="H3722" s="1">
        <v>45219</v>
      </c>
    </row>
    <row r="3723" spans="1:8" x14ac:dyDescent="0.35">
      <c r="A3723" t="s">
        <v>3742</v>
      </c>
      <c r="B3723" t="s">
        <v>26</v>
      </c>
      <c r="C3723">
        <v>3</v>
      </c>
      <c r="D3723">
        <v>4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</row>
    <row r="3725" spans="1:8" x14ac:dyDescent="0.35">
      <c r="A3725" t="s">
        <v>3744</v>
      </c>
      <c r="B3725" t="s">
        <v>26</v>
      </c>
      <c r="C3725">
        <v>5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3746</v>
      </c>
      <c r="B3727" t="s">
        <v>37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3748</v>
      </c>
      <c r="B3729" t="s">
        <v>19</v>
      </c>
      <c r="C3729">
        <v>5</v>
      </c>
      <c r="D3729">
        <v>5</v>
      </c>
      <c r="E3729">
        <v>25</v>
      </c>
      <c r="H3729" s="1">
        <v>44935</v>
      </c>
    </row>
    <row r="3730" spans="1:8" x14ac:dyDescent="0.35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</row>
    <row r="3731" spans="1:8" x14ac:dyDescent="0.35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3754</v>
      </c>
      <c r="B3735" t="s">
        <v>9</v>
      </c>
      <c r="C3735">
        <v>4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</row>
    <row r="3737" spans="1:8" x14ac:dyDescent="0.35">
      <c r="A3737" t="s">
        <v>3756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3759</v>
      </c>
      <c r="B3740" t="s">
        <v>63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3760</v>
      </c>
      <c r="C3741">
        <v>5</v>
      </c>
      <c r="D3741">
        <v>3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3763</v>
      </c>
      <c r="B3744" t="s">
        <v>19</v>
      </c>
      <c r="C3744">
        <v>5</v>
      </c>
      <c r="D3744">
        <v>5</v>
      </c>
      <c r="E3744">
        <v>25</v>
      </c>
      <c r="H3744" s="1">
        <v>45218</v>
      </c>
    </row>
    <row r="3745" spans="1:8" x14ac:dyDescent="0.35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H3745" s="1">
        <v>45083</v>
      </c>
    </row>
    <row r="3746" spans="1:8" x14ac:dyDescent="0.35">
      <c r="A3746" t="s">
        <v>3765</v>
      </c>
      <c r="B3746" t="s">
        <v>17</v>
      </c>
      <c r="C3746">
        <v>5</v>
      </c>
      <c r="D3746">
        <v>1</v>
      </c>
      <c r="E3746">
        <v>5</v>
      </c>
      <c r="G3746" t="s">
        <v>11</v>
      </c>
      <c r="H3746" s="1">
        <v>44952</v>
      </c>
    </row>
    <row r="3747" spans="1:8" x14ac:dyDescent="0.35">
      <c r="A3747" t="s">
        <v>3766</v>
      </c>
      <c r="B3747" t="s">
        <v>19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3768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3769</v>
      </c>
      <c r="B3750" t="s">
        <v>17</v>
      </c>
      <c r="C3750">
        <v>2</v>
      </c>
      <c r="D3750">
        <v>1</v>
      </c>
      <c r="E3750">
        <v>2</v>
      </c>
      <c r="F3750" t="s">
        <v>14</v>
      </c>
      <c r="H3750" s="1">
        <v>45022</v>
      </c>
    </row>
    <row r="3751" spans="1:8" x14ac:dyDescent="0.35">
      <c r="A3751" t="s">
        <v>3770</v>
      </c>
      <c r="B3751" t="s">
        <v>23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H3753" s="1">
        <v>45249</v>
      </c>
    </row>
    <row r="3754" spans="1:8" x14ac:dyDescent="0.35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</row>
    <row r="3755" spans="1:8" x14ac:dyDescent="0.35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H3755" s="1">
        <v>45078</v>
      </c>
    </row>
    <row r="3756" spans="1:8" x14ac:dyDescent="0.35">
      <c r="A3756" t="s">
        <v>3775</v>
      </c>
      <c r="B3756" t="s">
        <v>17</v>
      </c>
      <c r="C3756">
        <v>4</v>
      </c>
      <c r="D3756">
        <v>1</v>
      </c>
      <c r="E3756">
        <v>4</v>
      </c>
      <c r="G3756" t="s">
        <v>11</v>
      </c>
      <c r="H3756" s="1">
        <v>45095</v>
      </c>
    </row>
    <row r="3757" spans="1:8" x14ac:dyDescent="0.35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</row>
    <row r="3758" spans="1:8" x14ac:dyDescent="0.35">
      <c r="A3758" t="s">
        <v>3777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3778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3780</v>
      </c>
      <c r="C3761">
        <v>2</v>
      </c>
      <c r="D3761">
        <v>5</v>
      </c>
      <c r="E3761">
        <v>10</v>
      </c>
      <c r="F3761" t="s">
        <v>21</v>
      </c>
      <c r="H3761" s="1">
        <v>44960</v>
      </c>
    </row>
    <row r="3762" spans="1:8" x14ac:dyDescent="0.35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3782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</row>
    <row r="3764" spans="1:8" x14ac:dyDescent="0.35">
      <c r="A3764" t="s">
        <v>3783</v>
      </c>
      <c r="B3764" t="s">
        <v>19</v>
      </c>
      <c r="C3764">
        <v>4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</row>
    <row r="3766" spans="1:8" x14ac:dyDescent="0.35">
      <c r="A3766" t="s">
        <v>3785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</row>
    <row r="3771" spans="1:8" x14ac:dyDescent="0.35">
      <c r="A3771" t="s">
        <v>3790</v>
      </c>
      <c r="B3771" t="s">
        <v>63</v>
      </c>
      <c r="C3771">
        <v>5</v>
      </c>
      <c r="D3771">
        <v>1.5</v>
      </c>
      <c r="E3771">
        <v>7.5</v>
      </c>
      <c r="G3771" t="s">
        <v>15</v>
      </c>
    </row>
    <row r="3772" spans="1:8" x14ac:dyDescent="0.35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H3773" s="1">
        <v>45130</v>
      </c>
    </row>
    <row r="3774" spans="1:8" x14ac:dyDescent="0.35">
      <c r="A3774" t="s">
        <v>3793</v>
      </c>
      <c r="B3774" t="s">
        <v>26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3794</v>
      </c>
      <c r="B3775" t="s">
        <v>19</v>
      </c>
      <c r="C3775">
        <v>4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3795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3796</v>
      </c>
      <c r="B3777" t="s">
        <v>19</v>
      </c>
      <c r="C3777">
        <v>5</v>
      </c>
      <c r="D3777">
        <v>5</v>
      </c>
      <c r="E3777">
        <v>25</v>
      </c>
      <c r="F3777" t="s">
        <v>21</v>
      </c>
      <c r="G3777" t="s">
        <v>15</v>
      </c>
      <c r="H3777" s="1">
        <v>45239</v>
      </c>
    </row>
    <row r="3778" spans="1:8" x14ac:dyDescent="0.35">
      <c r="A3778" t="s">
        <v>3797</v>
      </c>
      <c r="B3778" t="s">
        <v>9</v>
      </c>
      <c r="C3778">
        <v>5</v>
      </c>
      <c r="D3778">
        <v>2</v>
      </c>
      <c r="E3778">
        <v>10</v>
      </c>
      <c r="G3778" t="s">
        <v>11</v>
      </c>
      <c r="H3778" s="1">
        <v>44979</v>
      </c>
    </row>
    <row r="3779" spans="1:8" x14ac:dyDescent="0.35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</row>
    <row r="3780" spans="1:8" x14ac:dyDescent="0.35">
      <c r="A3780" t="s">
        <v>3799</v>
      </c>
      <c r="B3780" t="s">
        <v>19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3800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H3782" s="1">
        <v>45151</v>
      </c>
    </row>
    <row r="3783" spans="1:8" x14ac:dyDescent="0.35">
      <c r="A3783" t="s">
        <v>3802</v>
      </c>
      <c r="B3783" t="s">
        <v>9</v>
      </c>
      <c r="C3783">
        <v>2</v>
      </c>
      <c r="D3783">
        <v>2</v>
      </c>
      <c r="E3783">
        <v>4</v>
      </c>
      <c r="H3783" s="1">
        <v>44977</v>
      </c>
    </row>
    <row r="3784" spans="1:8" x14ac:dyDescent="0.35">
      <c r="A3784" t="s">
        <v>3803</v>
      </c>
      <c r="B3784" t="s">
        <v>26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3804</v>
      </c>
      <c r="B3785" t="s">
        <v>26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3805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H3787" s="1">
        <v>45263</v>
      </c>
    </row>
    <row r="3788" spans="1:8" x14ac:dyDescent="0.35">
      <c r="A3788" t="s">
        <v>3807</v>
      </c>
      <c r="B3788" t="s">
        <v>23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</row>
    <row r="3792" spans="1:8" x14ac:dyDescent="0.35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</row>
    <row r="3793" spans="1:8" x14ac:dyDescent="0.35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</row>
    <row r="3794" spans="1:8" x14ac:dyDescent="0.35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H3795" s="1">
        <v>45023</v>
      </c>
    </row>
    <row r="3796" spans="1:8" x14ac:dyDescent="0.35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</row>
    <row r="3797" spans="1:8" x14ac:dyDescent="0.35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</row>
    <row r="3798" spans="1:8" x14ac:dyDescent="0.35">
      <c r="A3798" t="s">
        <v>3817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</row>
    <row r="3802" spans="1:8" x14ac:dyDescent="0.35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3822</v>
      </c>
      <c r="B3803" t="s">
        <v>63</v>
      </c>
      <c r="C3803">
        <v>3</v>
      </c>
      <c r="D3803">
        <v>1.5</v>
      </c>
      <c r="E3803">
        <v>4.5</v>
      </c>
    </row>
    <row r="3804" spans="1:8" x14ac:dyDescent="0.35">
      <c r="A3804" t="s">
        <v>3823</v>
      </c>
      <c r="B3804" t="s">
        <v>37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3824</v>
      </c>
      <c r="B3805" t="s">
        <v>23</v>
      </c>
      <c r="C3805">
        <v>2</v>
      </c>
      <c r="D3805">
        <v>4</v>
      </c>
      <c r="E3805">
        <v>8</v>
      </c>
      <c r="F3805" t="s">
        <v>14</v>
      </c>
      <c r="H3805" s="1">
        <v>45069</v>
      </c>
    </row>
    <row r="3806" spans="1:8" x14ac:dyDescent="0.35">
      <c r="A3806" t="s">
        <v>3825</v>
      </c>
      <c r="B3806" t="s">
        <v>9</v>
      </c>
      <c r="C3806">
        <v>2</v>
      </c>
      <c r="D3806">
        <v>2</v>
      </c>
      <c r="E3806">
        <v>4</v>
      </c>
      <c r="F3806" t="s">
        <v>21</v>
      </c>
      <c r="G3806" t="s">
        <v>15</v>
      </c>
      <c r="H3806" s="1">
        <v>45259</v>
      </c>
    </row>
    <row r="3807" spans="1:8" x14ac:dyDescent="0.35">
      <c r="A3807" t="s">
        <v>3826</v>
      </c>
      <c r="C3807">
        <v>3</v>
      </c>
      <c r="D3807">
        <v>4</v>
      </c>
      <c r="E3807">
        <v>12</v>
      </c>
      <c r="H3807" s="1">
        <v>45266</v>
      </c>
    </row>
    <row r="3808" spans="1:8" x14ac:dyDescent="0.35">
      <c r="A3808" t="s">
        <v>3827</v>
      </c>
      <c r="B3808" t="s">
        <v>9</v>
      </c>
      <c r="C3808">
        <v>3</v>
      </c>
      <c r="D3808">
        <v>2</v>
      </c>
      <c r="E3808">
        <v>6</v>
      </c>
      <c r="F3808" t="s">
        <v>21</v>
      </c>
      <c r="H3808" s="1">
        <v>45116</v>
      </c>
    </row>
    <row r="3809" spans="1:8" x14ac:dyDescent="0.35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3829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3830</v>
      </c>
      <c r="B3811" t="s">
        <v>63</v>
      </c>
      <c r="C3811">
        <v>4</v>
      </c>
      <c r="D3811">
        <v>1.5</v>
      </c>
      <c r="E3811">
        <v>6</v>
      </c>
      <c r="G3811" t="s">
        <v>15</v>
      </c>
    </row>
    <row r="3812" spans="1:8" x14ac:dyDescent="0.35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</row>
    <row r="3813" spans="1:8" x14ac:dyDescent="0.35">
      <c r="A3813" t="s">
        <v>3832</v>
      </c>
      <c r="B3813" t="s">
        <v>37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</row>
    <row r="3816" spans="1:8" x14ac:dyDescent="0.35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3838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3839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3840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H3822" s="1">
        <v>45010</v>
      </c>
    </row>
    <row r="3823" spans="1:8" x14ac:dyDescent="0.35">
      <c r="A3823" t="s">
        <v>3842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</row>
    <row r="3825" spans="1:8" x14ac:dyDescent="0.35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H3825" s="1">
        <v>45110</v>
      </c>
    </row>
    <row r="3826" spans="1:8" x14ac:dyDescent="0.35">
      <c r="A3826" t="s">
        <v>3845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</row>
    <row r="3828" spans="1:8" x14ac:dyDescent="0.35">
      <c r="A3828" t="s">
        <v>3847</v>
      </c>
      <c r="B3828" t="s">
        <v>63</v>
      </c>
      <c r="C3828">
        <v>1</v>
      </c>
      <c r="D3828">
        <v>1.5</v>
      </c>
      <c r="E3828">
        <v>1.5</v>
      </c>
      <c r="F3828" t="s">
        <v>14</v>
      </c>
      <c r="H3828" s="1">
        <v>44938</v>
      </c>
    </row>
    <row r="3829" spans="1:8" x14ac:dyDescent="0.35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</row>
    <row r="3830" spans="1:8" x14ac:dyDescent="0.35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3852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3853</v>
      </c>
      <c r="C3834">
        <v>1</v>
      </c>
      <c r="D3834">
        <v>1.5</v>
      </c>
      <c r="E3834">
        <v>1.5</v>
      </c>
      <c r="F3834" t="s">
        <v>10</v>
      </c>
      <c r="H3834" s="1">
        <v>44941</v>
      </c>
    </row>
    <row r="3835" spans="1:8" x14ac:dyDescent="0.35">
      <c r="A3835" t="s">
        <v>3854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3855</v>
      </c>
      <c r="B3836" t="s">
        <v>9</v>
      </c>
      <c r="C3836">
        <v>1</v>
      </c>
      <c r="D3836">
        <v>2</v>
      </c>
      <c r="E3836">
        <v>2</v>
      </c>
      <c r="H3836" s="1">
        <v>45129</v>
      </c>
    </row>
    <row r="3837" spans="1:8" x14ac:dyDescent="0.35">
      <c r="A3837" t="s">
        <v>3856</v>
      </c>
      <c r="B3837" t="s">
        <v>13</v>
      </c>
      <c r="C3837">
        <v>4</v>
      </c>
      <c r="D3837">
        <v>3</v>
      </c>
      <c r="E3837">
        <v>12</v>
      </c>
      <c r="H3837" s="1">
        <v>44992</v>
      </c>
    </row>
    <row r="3838" spans="1:8" x14ac:dyDescent="0.35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3858</v>
      </c>
      <c r="B3839" t="s">
        <v>19</v>
      </c>
      <c r="C3839">
        <v>2</v>
      </c>
      <c r="D3839">
        <v>5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3859</v>
      </c>
      <c r="B3840" t="s">
        <v>13</v>
      </c>
      <c r="C3840">
        <v>1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3860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</row>
    <row r="3844" spans="1:8" x14ac:dyDescent="0.35">
      <c r="A3844" t="s">
        <v>3863</v>
      </c>
      <c r="B3844" t="s">
        <v>19</v>
      </c>
      <c r="C3844">
        <v>4</v>
      </c>
      <c r="D3844">
        <v>5</v>
      </c>
      <c r="E3844">
        <v>20</v>
      </c>
      <c r="F3844" t="s">
        <v>21</v>
      </c>
      <c r="H3844" s="1">
        <v>44957</v>
      </c>
    </row>
    <row r="3845" spans="1:8" x14ac:dyDescent="0.35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</row>
    <row r="3846" spans="1:8" x14ac:dyDescent="0.35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H3846" s="1">
        <v>45066</v>
      </c>
    </row>
    <row r="3847" spans="1:8" x14ac:dyDescent="0.35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</row>
    <row r="3849" spans="1:8" x14ac:dyDescent="0.35">
      <c r="A3849" t="s">
        <v>3868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3869</v>
      </c>
      <c r="C3850">
        <v>3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3871</v>
      </c>
      <c r="B3852" t="s">
        <v>13</v>
      </c>
      <c r="C3852">
        <v>2</v>
      </c>
      <c r="D3852">
        <v>3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3872</v>
      </c>
      <c r="B3853" t="s">
        <v>23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3873</v>
      </c>
      <c r="B3854" t="s">
        <v>63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3874</v>
      </c>
      <c r="B3855" t="s">
        <v>9</v>
      </c>
      <c r="C3855">
        <v>3</v>
      </c>
      <c r="D3855">
        <v>2</v>
      </c>
      <c r="E3855">
        <v>6</v>
      </c>
      <c r="G3855" t="s">
        <v>11</v>
      </c>
      <c r="H3855" s="1">
        <v>44979</v>
      </c>
    </row>
    <row r="3856" spans="1:8" x14ac:dyDescent="0.35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H3856" s="1">
        <v>45190</v>
      </c>
    </row>
    <row r="3857" spans="1:8" x14ac:dyDescent="0.35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</row>
    <row r="3858" spans="1:8" x14ac:dyDescent="0.35">
      <c r="A3858" t="s">
        <v>3877</v>
      </c>
      <c r="B3858" t="s">
        <v>37</v>
      </c>
      <c r="C3858">
        <v>2</v>
      </c>
      <c r="D3858">
        <v>3</v>
      </c>
      <c r="E3858">
        <v>6</v>
      </c>
      <c r="G3858" t="s">
        <v>15</v>
      </c>
      <c r="H3858" s="1">
        <v>45207</v>
      </c>
    </row>
    <row r="3859" spans="1:8" x14ac:dyDescent="0.35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</row>
    <row r="3863" spans="1:8" x14ac:dyDescent="0.35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3884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H3866" s="1">
        <v>44991</v>
      </c>
    </row>
    <row r="3867" spans="1:8" x14ac:dyDescent="0.35">
      <c r="A3867" t="s">
        <v>3886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</row>
    <row r="3871" spans="1:8" x14ac:dyDescent="0.35">
      <c r="A3871" t="s">
        <v>3890</v>
      </c>
      <c r="B3871" t="s">
        <v>63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3891</v>
      </c>
      <c r="B3872" t="s">
        <v>63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3892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3893</v>
      </c>
      <c r="B3874" t="s">
        <v>26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3895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3896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3897</v>
      </c>
      <c r="B3878" t="s">
        <v>63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3898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3899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H3881" s="1">
        <v>45288</v>
      </c>
    </row>
    <row r="3882" spans="1:8" x14ac:dyDescent="0.35">
      <c r="A3882" t="s">
        <v>3901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3902</v>
      </c>
      <c r="B3883" t="s">
        <v>9</v>
      </c>
      <c r="C3883">
        <v>5</v>
      </c>
      <c r="D3883">
        <v>2</v>
      </c>
      <c r="E3883">
        <v>10</v>
      </c>
      <c r="G3883" t="s">
        <v>11</v>
      </c>
      <c r="H3883" s="1">
        <v>44987</v>
      </c>
    </row>
    <row r="3884" spans="1:8" x14ac:dyDescent="0.35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3904</v>
      </c>
      <c r="B3885" t="s">
        <v>26</v>
      </c>
      <c r="C3885">
        <v>3</v>
      </c>
      <c r="D3885">
        <v>4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3907</v>
      </c>
      <c r="B3888" t="s">
        <v>26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</row>
    <row r="3890" spans="1:8" x14ac:dyDescent="0.35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3910</v>
      </c>
      <c r="B3891" t="s">
        <v>9</v>
      </c>
      <c r="C3891">
        <v>2</v>
      </c>
      <c r="D3891">
        <v>2</v>
      </c>
      <c r="E3891">
        <v>4</v>
      </c>
      <c r="H3891" s="1">
        <v>45063</v>
      </c>
    </row>
    <row r="3892" spans="1:8" x14ac:dyDescent="0.35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3912</v>
      </c>
      <c r="B3893" t="s">
        <v>19</v>
      </c>
      <c r="C3893">
        <v>1</v>
      </c>
      <c r="D3893">
        <v>5</v>
      </c>
      <c r="E3893">
        <v>5</v>
      </c>
      <c r="H3893" s="1">
        <v>45204</v>
      </c>
    </row>
    <row r="3894" spans="1:8" x14ac:dyDescent="0.35">
      <c r="A3894" t="s">
        <v>3913</v>
      </c>
      <c r="B3894" t="s">
        <v>26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3915</v>
      </c>
      <c r="B3896" t="s">
        <v>26</v>
      </c>
      <c r="C3896">
        <v>5</v>
      </c>
      <c r="D3896">
        <v>4</v>
      </c>
      <c r="E3896">
        <v>20</v>
      </c>
      <c r="G3896" t="s">
        <v>11</v>
      </c>
      <c r="H3896" s="1">
        <v>45042</v>
      </c>
    </row>
    <row r="3897" spans="1:8" x14ac:dyDescent="0.35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H3897" s="1">
        <v>44930</v>
      </c>
    </row>
    <row r="3898" spans="1:8" x14ac:dyDescent="0.35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H3899" s="1">
        <v>44963</v>
      </c>
    </row>
    <row r="3900" spans="1:8" x14ac:dyDescent="0.35">
      <c r="A3900" t="s">
        <v>3919</v>
      </c>
      <c r="B3900" t="s">
        <v>17</v>
      </c>
      <c r="C3900">
        <v>3</v>
      </c>
      <c r="D3900">
        <v>1</v>
      </c>
      <c r="E3900">
        <v>3</v>
      </c>
      <c r="F3900" t="s">
        <v>21</v>
      </c>
      <c r="H3900" s="1">
        <v>45222</v>
      </c>
    </row>
    <row r="3901" spans="1:8" x14ac:dyDescent="0.35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H3901" s="1">
        <v>45052</v>
      </c>
    </row>
    <row r="3902" spans="1:8" x14ac:dyDescent="0.35">
      <c r="A3902" t="s">
        <v>3921</v>
      </c>
      <c r="C3902">
        <v>4</v>
      </c>
      <c r="D3902">
        <v>1.5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3922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</row>
    <row r="3906" spans="1:8" x14ac:dyDescent="0.35">
      <c r="A3906" t="s">
        <v>3925</v>
      </c>
      <c r="B3906" t="s">
        <v>17</v>
      </c>
      <c r="C3906">
        <v>1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</row>
    <row r="3910" spans="1:8" x14ac:dyDescent="0.35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</row>
    <row r="3911" spans="1:8" x14ac:dyDescent="0.35">
      <c r="A3911" t="s">
        <v>3930</v>
      </c>
      <c r="B3911" t="s">
        <v>26</v>
      </c>
      <c r="C3911">
        <v>2</v>
      </c>
      <c r="D3911">
        <v>4</v>
      </c>
      <c r="E3911">
        <v>8</v>
      </c>
      <c r="F3911" t="s">
        <v>21</v>
      </c>
      <c r="H3911" s="1">
        <v>45044</v>
      </c>
    </row>
    <row r="3912" spans="1:8" x14ac:dyDescent="0.35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H3912" s="1">
        <v>45177</v>
      </c>
    </row>
    <row r="3913" spans="1:8" x14ac:dyDescent="0.35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H3914" s="1">
        <v>45087</v>
      </c>
    </row>
    <row r="3915" spans="1:8" x14ac:dyDescent="0.35">
      <c r="A3915" t="s">
        <v>3934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</row>
    <row r="3917" spans="1:8" x14ac:dyDescent="0.35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3938</v>
      </c>
      <c r="C3919">
        <v>4</v>
      </c>
      <c r="D3919">
        <v>5</v>
      </c>
      <c r="E3919">
        <v>20</v>
      </c>
      <c r="F3919" t="s">
        <v>14</v>
      </c>
      <c r="H3919" s="1">
        <v>45285</v>
      </c>
    </row>
    <row r="3920" spans="1:8" x14ac:dyDescent="0.35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</row>
    <row r="3921" spans="1:8" x14ac:dyDescent="0.35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H3921" s="1">
        <v>44998</v>
      </c>
    </row>
    <row r="3922" spans="1:8" x14ac:dyDescent="0.35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3942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3943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</row>
    <row r="3927" spans="1:8" x14ac:dyDescent="0.35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H3927" s="1">
        <v>44981</v>
      </c>
    </row>
    <row r="3928" spans="1:8" x14ac:dyDescent="0.35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H3928" s="1">
        <v>45232</v>
      </c>
    </row>
    <row r="3929" spans="1:8" x14ac:dyDescent="0.35">
      <c r="A3929" t="s">
        <v>3948</v>
      </c>
      <c r="B3929" t="s">
        <v>19</v>
      </c>
      <c r="C3929">
        <v>1</v>
      </c>
      <c r="D3929">
        <v>5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</row>
    <row r="3932" spans="1:8" x14ac:dyDescent="0.35">
      <c r="A3932" t="s">
        <v>3951</v>
      </c>
      <c r="B3932" t="s">
        <v>19</v>
      </c>
      <c r="C3932">
        <v>2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3952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</row>
    <row r="3935" spans="1:8" x14ac:dyDescent="0.35">
      <c r="A3935" t="s">
        <v>3954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</row>
    <row r="3937" spans="1:8" x14ac:dyDescent="0.35">
      <c r="A3937" t="s">
        <v>3956</v>
      </c>
      <c r="B3937" t="s">
        <v>17</v>
      </c>
      <c r="C3937">
        <v>4</v>
      </c>
      <c r="D3937">
        <v>1</v>
      </c>
      <c r="E3937">
        <v>4</v>
      </c>
      <c r="G3937" t="s">
        <v>15</v>
      </c>
      <c r="H3937" s="1">
        <v>44961</v>
      </c>
    </row>
    <row r="3938" spans="1:8" x14ac:dyDescent="0.35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3959</v>
      </c>
      <c r="B3940" t="s">
        <v>63</v>
      </c>
      <c r="C3940">
        <v>3</v>
      </c>
      <c r="D3940">
        <v>1.5</v>
      </c>
      <c r="E3940">
        <v>4.5</v>
      </c>
      <c r="H3940" s="1">
        <v>45042</v>
      </c>
    </row>
    <row r="3941" spans="1:8" x14ac:dyDescent="0.35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H3941" s="1">
        <v>45121</v>
      </c>
    </row>
    <row r="3942" spans="1:8" x14ac:dyDescent="0.35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</row>
    <row r="3943" spans="1:8" x14ac:dyDescent="0.35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</row>
    <row r="3945" spans="1:8" x14ac:dyDescent="0.35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3965</v>
      </c>
      <c r="B3946" t="s">
        <v>63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3966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3967</v>
      </c>
      <c r="B3948" t="s">
        <v>26</v>
      </c>
      <c r="C3948">
        <v>4</v>
      </c>
      <c r="D3948">
        <v>4</v>
      </c>
      <c r="E3948">
        <v>16</v>
      </c>
      <c r="G3948" t="s">
        <v>11</v>
      </c>
      <c r="H3948" s="1">
        <v>44970</v>
      </c>
    </row>
    <row r="3949" spans="1:8" x14ac:dyDescent="0.35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</row>
    <row r="3951" spans="1:8" x14ac:dyDescent="0.35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3971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</row>
    <row r="3955" spans="1:8" x14ac:dyDescent="0.35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3976</v>
      </c>
      <c r="B3957" t="s">
        <v>17</v>
      </c>
      <c r="C3957">
        <v>1</v>
      </c>
      <c r="D3957">
        <v>1</v>
      </c>
      <c r="E3957">
        <v>1</v>
      </c>
      <c r="G3957" t="s">
        <v>11</v>
      </c>
      <c r="H3957" s="1">
        <v>45193</v>
      </c>
    </row>
    <row r="3958" spans="1:8" x14ac:dyDescent="0.35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3978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3980</v>
      </c>
      <c r="B3961" t="s">
        <v>9</v>
      </c>
      <c r="C3961">
        <v>5</v>
      </c>
      <c r="D3961">
        <v>2</v>
      </c>
      <c r="E3961">
        <v>10</v>
      </c>
      <c r="F3961" t="s">
        <v>21</v>
      </c>
      <c r="G3961" t="s">
        <v>11</v>
      </c>
      <c r="H3961" s="1">
        <v>45085</v>
      </c>
    </row>
    <row r="3962" spans="1:8" x14ac:dyDescent="0.35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H3962" s="1">
        <v>45238</v>
      </c>
    </row>
    <row r="3963" spans="1:8" x14ac:dyDescent="0.35">
      <c r="A3963" t="s">
        <v>3982</v>
      </c>
      <c r="B3963" t="s">
        <v>26</v>
      </c>
      <c r="C3963">
        <v>3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3983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3985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</row>
    <row r="3973" spans="1:8" x14ac:dyDescent="0.35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H3973" s="1">
        <v>45196</v>
      </c>
    </row>
    <row r="3974" spans="1:8" x14ac:dyDescent="0.35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</row>
    <row r="3975" spans="1:8" x14ac:dyDescent="0.35">
      <c r="A3975" t="s">
        <v>3994</v>
      </c>
      <c r="B3975" t="s">
        <v>63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3995</v>
      </c>
      <c r="C3976">
        <v>3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</row>
    <row r="3978" spans="1:8" x14ac:dyDescent="0.35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H3978" s="1">
        <v>45025</v>
      </c>
    </row>
    <row r="3979" spans="1:8" x14ac:dyDescent="0.35">
      <c r="A3979" t="s">
        <v>3998</v>
      </c>
      <c r="B3979" t="s">
        <v>37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4002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4003</v>
      </c>
      <c r="B3984" t="s">
        <v>19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4004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4005</v>
      </c>
      <c r="B3986" t="s">
        <v>26</v>
      </c>
      <c r="C3986">
        <v>1</v>
      </c>
      <c r="D3986">
        <v>4</v>
      </c>
      <c r="E3986">
        <v>4</v>
      </c>
      <c r="F3986" t="s">
        <v>21</v>
      </c>
      <c r="G3986" t="s">
        <v>11</v>
      </c>
      <c r="H3986" s="1">
        <v>45273</v>
      </c>
    </row>
    <row r="3987" spans="1:8" x14ac:dyDescent="0.35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</row>
    <row r="3989" spans="1:8" x14ac:dyDescent="0.35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4009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4011</v>
      </c>
      <c r="B3992" t="s">
        <v>37</v>
      </c>
      <c r="C3992">
        <v>2</v>
      </c>
      <c r="D3992">
        <v>3</v>
      </c>
      <c r="E3992">
        <v>6</v>
      </c>
      <c r="G3992" t="s">
        <v>15</v>
      </c>
      <c r="H3992" s="1">
        <v>45284</v>
      </c>
    </row>
    <row r="3993" spans="1:8" x14ac:dyDescent="0.35">
      <c r="A3993" t="s">
        <v>4012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4013</v>
      </c>
      <c r="B3994" t="s">
        <v>37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4014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4017</v>
      </c>
      <c r="B3998" t="s">
        <v>26</v>
      </c>
      <c r="C3998">
        <v>4</v>
      </c>
      <c r="D3998">
        <v>4</v>
      </c>
      <c r="E3998">
        <v>16</v>
      </c>
      <c r="H3998" s="1">
        <v>45138</v>
      </c>
    </row>
    <row r="3999" spans="1:8" x14ac:dyDescent="0.35">
      <c r="A3999" t="s">
        <v>4018</v>
      </c>
      <c r="B3999" t="s">
        <v>37</v>
      </c>
      <c r="C3999">
        <v>4</v>
      </c>
      <c r="D3999">
        <v>3</v>
      </c>
      <c r="E3999">
        <v>12</v>
      </c>
      <c r="F3999" t="s">
        <v>10</v>
      </c>
      <c r="H3999" s="1">
        <v>45223</v>
      </c>
    </row>
    <row r="4000" spans="1:8" x14ac:dyDescent="0.35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H4003" s="1">
        <v>45172</v>
      </c>
    </row>
    <row r="4004" spans="1:8" x14ac:dyDescent="0.35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4024</v>
      </c>
      <c r="C4005">
        <v>3</v>
      </c>
      <c r="D4005">
        <v>3</v>
      </c>
      <c r="E4005">
        <v>9</v>
      </c>
      <c r="F4005" t="s">
        <v>14</v>
      </c>
      <c r="H4005" s="1">
        <v>45285</v>
      </c>
    </row>
    <row r="4006" spans="1:8" x14ac:dyDescent="0.35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</row>
    <row r="4008" spans="1:8" x14ac:dyDescent="0.35">
      <c r="A4008" t="s">
        <v>4027</v>
      </c>
      <c r="B4008" t="s">
        <v>19</v>
      </c>
      <c r="C4008">
        <v>2</v>
      </c>
      <c r="D4008">
        <v>5</v>
      </c>
      <c r="E4008">
        <v>10</v>
      </c>
      <c r="H4008" s="1">
        <v>45106</v>
      </c>
    </row>
    <row r="4009" spans="1:8" x14ac:dyDescent="0.35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</row>
    <row r="4013" spans="1:8" x14ac:dyDescent="0.35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</row>
    <row r="4014" spans="1:8" x14ac:dyDescent="0.35">
      <c r="A4014" t="s">
        <v>4033</v>
      </c>
      <c r="B4014" t="s">
        <v>23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4034</v>
      </c>
      <c r="B4015" t="s">
        <v>19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4035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4037</v>
      </c>
      <c r="B4018" t="s">
        <v>23</v>
      </c>
      <c r="C4018">
        <v>1</v>
      </c>
      <c r="D4018">
        <v>4</v>
      </c>
      <c r="E4018">
        <v>4</v>
      </c>
      <c r="G4018" t="s">
        <v>11</v>
      </c>
      <c r="H4018" s="1">
        <v>45248</v>
      </c>
    </row>
    <row r="4019" spans="1:8" x14ac:dyDescent="0.35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4039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</row>
    <row r="4022" spans="1:8" x14ac:dyDescent="0.35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4042</v>
      </c>
      <c r="B4023" t="s">
        <v>17</v>
      </c>
      <c r="C4023">
        <v>2</v>
      </c>
      <c r="D4023">
        <v>1</v>
      </c>
      <c r="E4023">
        <v>2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4044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4046</v>
      </c>
      <c r="B4027" t="s">
        <v>37</v>
      </c>
      <c r="C4027">
        <v>3</v>
      </c>
      <c r="D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4049</v>
      </c>
      <c r="B4030" t="s">
        <v>37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</row>
    <row r="4032" spans="1:8" x14ac:dyDescent="0.35">
      <c r="A4032" t="s">
        <v>4051</v>
      </c>
      <c r="B4032" t="s">
        <v>23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4054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4056</v>
      </c>
      <c r="B4037" t="s">
        <v>37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4058</v>
      </c>
      <c r="B4039" t="s">
        <v>23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4060</v>
      </c>
      <c r="B4041" t="s">
        <v>26</v>
      </c>
      <c r="C4041">
        <v>2</v>
      </c>
      <c r="D4041">
        <v>4</v>
      </c>
      <c r="E4041">
        <v>8</v>
      </c>
      <c r="H4041" s="1">
        <v>45058</v>
      </c>
    </row>
    <row r="4042" spans="1:8" x14ac:dyDescent="0.35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H4042" s="1">
        <v>45212</v>
      </c>
    </row>
    <row r="4043" spans="1:8" x14ac:dyDescent="0.35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</row>
    <row r="4044" spans="1:8" x14ac:dyDescent="0.35">
      <c r="A4044" t="s">
        <v>4063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4064</v>
      </c>
      <c r="B4045" t="s">
        <v>23</v>
      </c>
      <c r="C4045">
        <v>5</v>
      </c>
      <c r="D4045">
        <v>4</v>
      </c>
      <c r="E4045">
        <v>20</v>
      </c>
      <c r="F4045" t="s">
        <v>21</v>
      </c>
      <c r="G4045" t="s">
        <v>15</v>
      </c>
      <c r="H4045" s="1">
        <v>44976</v>
      </c>
    </row>
    <row r="4046" spans="1:8" x14ac:dyDescent="0.35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</row>
    <row r="4047" spans="1:8" x14ac:dyDescent="0.35">
      <c r="A4047" t="s">
        <v>4066</v>
      </c>
      <c r="B4047" t="s">
        <v>63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4067</v>
      </c>
      <c r="B4048" t="s">
        <v>26</v>
      </c>
      <c r="C4048">
        <v>5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4068</v>
      </c>
      <c r="B4049" t="s">
        <v>17</v>
      </c>
      <c r="C4049">
        <v>4</v>
      </c>
      <c r="D4049">
        <v>1</v>
      </c>
      <c r="E4049">
        <v>4</v>
      </c>
      <c r="G4049" t="s">
        <v>11</v>
      </c>
    </row>
    <row r="4050" spans="1:8" x14ac:dyDescent="0.35">
      <c r="A4050" t="s">
        <v>4069</v>
      </c>
      <c r="B4050" t="s">
        <v>26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4071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4072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4075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4076</v>
      </c>
      <c r="B4057" t="s">
        <v>23</v>
      </c>
      <c r="C4057">
        <v>1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</row>
    <row r="4058" spans="1:8" x14ac:dyDescent="0.35">
      <c r="A4058" t="s">
        <v>4077</v>
      </c>
      <c r="B4058" t="s">
        <v>19</v>
      </c>
      <c r="C4058">
        <v>1</v>
      </c>
      <c r="D4058">
        <v>5</v>
      </c>
      <c r="E4058">
        <v>5</v>
      </c>
      <c r="G4058" t="s">
        <v>15</v>
      </c>
      <c r="H4058" s="1">
        <v>45079</v>
      </c>
    </row>
    <row r="4059" spans="1:8" x14ac:dyDescent="0.35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4079</v>
      </c>
      <c r="C4060">
        <v>2</v>
      </c>
      <c r="D4060">
        <v>1.5</v>
      </c>
      <c r="E4060">
        <v>3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</row>
    <row r="4062" spans="1:8" x14ac:dyDescent="0.35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</row>
    <row r="4063" spans="1:8" x14ac:dyDescent="0.35">
      <c r="A4063" t="s">
        <v>4082</v>
      </c>
      <c r="B4063" t="s">
        <v>63</v>
      </c>
      <c r="C4063">
        <v>4</v>
      </c>
      <c r="D4063">
        <v>1.5</v>
      </c>
      <c r="E4063">
        <v>6</v>
      </c>
      <c r="G4063" t="s">
        <v>15</v>
      </c>
      <c r="H4063" s="1">
        <v>45020</v>
      </c>
    </row>
    <row r="4064" spans="1:8" x14ac:dyDescent="0.35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4085</v>
      </c>
      <c r="B4066" t="s">
        <v>17</v>
      </c>
      <c r="C4066">
        <v>1</v>
      </c>
      <c r="D4066">
        <v>1</v>
      </c>
      <c r="E4066">
        <v>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</row>
    <row r="4068" spans="1:8" x14ac:dyDescent="0.35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H4068" s="1">
        <v>45027</v>
      </c>
    </row>
    <row r="4069" spans="1:8" x14ac:dyDescent="0.35">
      <c r="A4069" t="s">
        <v>4088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</row>
    <row r="4071" spans="1:8" x14ac:dyDescent="0.35">
      <c r="A4071" t="s">
        <v>4090</v>
      </c>
      <c r="C4071">
        <v>4</v>
      </c>
      <c r="D4071">
        <v>5</v>
      </c>
      <c r="E4071">
        <v>20</v>
      </c>
      <c r="F4071" t="s">
        <v>21</v>
      </c>
      <c r="H4071" s="1">
        <v>45015</v>
      </c>
    </row>
    <row r="4072" spans="1:8" x14ac:dyDescent="0.35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4093</v>
      </c>
      <c r="B4074" t="s">
        <v>63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H4075" s="1">
        <v>45156</v>
      </c>
    </row>
    <row r="4076" spans="1:8" x14ac:dyDescent="0.35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4096</v>
      </c>
      <c r="C4077">
        <v>4</v>
      </c>
      <c r="D4077">
        <v>1.5</v>
      </c>
      <c r="E4077">
        <v>6</v>
      </c>
      <c r="G4077" t="s">
        <v>15</v>
      </c>
      <c r="H4077" s="1">
        <v>45001</v>
      </c>
    </row>
    <row r="4078" spans="1:8" x14ac:dyDescent="0.35">
      <c r="A4078" t="s">
        <v>4097</v>
      </c>
      <c r="B4078" t="s">
        <v>9</v>
      </c>
      <c r="C4078">
        <v>1</v>
      </c>
      <c r="D4078">
        <v>2</v>
      </c>
      <c r="E4078">
        <v>2</v>
      </c>
      <c r="H4078" s="1">
        <v>44974</v>
      </c>
    </row>
    <row r="4079" spans="1:8" x14ac:dyDescent="0.35">
      <c r="A4079" t="s">
        <v>4098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</row>
    <row r="4080" spans="1:8" x14ac:dyDescent="0.35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4100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</row>
    <row r="4083" spans="1:8" x14ac:dyDescent="0.35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H4083" s="1">
        <v>45156</v>
      </c>
    </row>
    <row r="4084" spans="1:8" x14ac:dyDescent="0.35">
      <c r="A4084" t="s">
        <v>4103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4104</v>
      </c>
      <c r="B4085" t="s">
        <v>17</v>
      </c>
      <c r="C4085">
        <v>1</v>
      </c>
      <c r="D4085">
        <v>1</v>
      </c>
      <c r="E4085">
        <v>1</v>
      </c>
      <c r="F4085" t="s">
        <v>14</v>
      </c>
      <c r="G4085" t="s">
        <v>15</v>
      </c>
    </row>
    <row r="4086" spans="1:8" x14ac:dyDescent="0.35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</row>
    <row r="4087" spans="1:8" x14ac:dyDescent="0.35">
      <c r="A4087" t="s">
        <v>4106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4107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4108</v>
      </c>
      <c r="B4089" t="s">
        <v>17</v>
      </c>
      <c r="C4089">
        <v>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4109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4113</v>
      </c>
      <c r="C4094">
        <v>1</v>
      </c>
      <c r="D4094">
        <v>5</v>
      </c>
      <c r="E4094">
        <v>5</v>
      </c>
      <c r="H4094" s="1">
        <v>45080</v>
      </c>
    </row>
    <row r="4095" spans="1:8" x14ac:dyDescent="0.35">
      <c r="A4095" t="s">
        <v>4114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</row>
    <row r="4096" spans="1:8" x14ac:dyDescent="0.35">
      <c r="A4096" t="s">
        <v>4115</v>
      </c>
      <c r="B4096" t="s">
        <v>19</v>
      </c>
      <c r="C4096">
        <v>1</v>
      </c>
      <c r="D4096">
        <v>5</v>
      </c>
      <c r="E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4116</v>
      </c>
      <c r="B4097" t="s">
        <v>19</v>
      </c>
      <c r="C4097">
        <v>5</v>
      </c>
      <c r="D4097">
        <v>5</v>
      </c>
      <c r="E4097">
        <v>25</v>
      </c>
      <c r="H4097" s="1">
        <v>45153</v>
      </c>
    </row>
    <row r="4098" spans="1:8" x14ac:dyDescent="0.35">
      <c r="A4098" t="s">
        <v>4117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4118</v>
      </c>
      <c r="B4099" t="s">
        <v>23</v>
      </c>
      <c r="C4099">
        <v>3</v>
      </c>
      <c r="D4099">
        <v>4</v>
      </c>
      <c r="E4099">
        <v>12</v>
      </c>
      <c r="G4099" t="s">
        <v>11</v>
      </c>
      <c r="H4099" s="1">
        <v>45041</v>
      </c>
    </row>
    <row r="4100" spans="1:8" x14ac:dyDescent="0.35">
      <c r="A4100" t="s">
        <v>4119</v>
      </c>
      <c r="B4100" t="s">
        <v>63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4120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4121</v>
      </c>
      <c r="C4102">
        <v>4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4125</v>
      </c>
      <c r="B4106" t="s">
        <v>19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H4107" s="1">
        <v>45231</v>
      </c>
    </row>
    <row r="4108" spans="1:8" x14ac:dyDescent="0.35">
      <c r="A4108" t="s">
        <v>4127</v>
      </c>
      <c r="B4108" t="s">
        <v>63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4128</v>
      </c>
      <c r="B4109" t="s">
        <v>37</v>
      </c>
      <c r="C4109">
        <v>4</v>
      </c>
      <c r="D4109">
        <v>3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</row>
    <row r="4112" spans="1:8" x14ac:dyDescent="0.35">
      <c r="A4112" t="s">
        <v>4131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4132</v>
      </c>
      <c r="B4113" t="s">
        <v>23</v>
      </c>
      <c r="C4113">
        <v>1</v>
      </c>
      <c r="D4113">
        <v>4</v>
      </c>
      <c r="E4113">
        <v>4</v>
      </c>
      <c r="F4113" t="s">
        <v>10</v>
      </c>
      <c r="H4113" s="1">
        <v>45100</v>
      </c>
    </row>
    <row r="4114" spans="1:8" x14ac:dyDescent="0.35">
      <c r="A4114" t="s">
        <v>4133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4135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4136</v>
      </c>
      <c r="C4117">
        <v>5</v>
      </c>
      <c r="D4117">
        <v>4</v>
      </c>
      <c r="E4117">
        <v>20</v>
      </c>
      <c r="G4117" t="s">
        <v>15</v>
      </c>
      <c r="H4117" s="1">
        <v>45078</v>
      </c>
    </row>
    <row r="4118" spans="1:8" x14ac:dyDescent="0.35">
      <c r="A4118" t="s">
        <v>4137</v>
      </c>
      <c r="C4118">
        <v>2</v>
      </c>
      <c r="D4118">
        <v>4</v>
      </c>
      <c r="E4118">
        <v>8</v>
      </c>
      <c r="F4118" t="s">
        <v>14</v>
      </c>
      <c r="H4118" s="1">
        <v>45288</v>
      </c>
    </row>
    <row r="4119" spans="1:8" x14ac:dyDescent="0.35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H4119" s="1">
        <v>45108</v>
      </c>
    </row>
    <row r="4120" spans="1:8" x14ac:dyDescent="0.35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4140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</row>
    <row r="4123" spans="1:8" x14ac:dyDescent="0.35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H4124" s="1">
        <v>45049</v>
      </c>
    </row>
    <row r="4125" spans="1:8" x14ac:dyDescent="0.35">
      <c r="A4125" t="s">
        <v>4144</v>
      </c>
      <c r="B4125" t="s">
        <v>17</v>
      </c>
      <c r="C4125">
        <v>3</v>
      </c>
      <c r="D4125">
        <v>1</v>
      </c>
      <c r="E4125">
        <v>3</v>
      </c>
      <c r="G4125" t="s">
        <v>15</v>
      </c>
    </row>
    <row r="4126" spans="1:8" x14ac:dyDescent="0.35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4146</v>
      </c>
      <c r="B4127" t="s">
        <v>26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4148</v>
      </c>
      <c r="B4129" t="s">
        <v>17</v>
      </c>
      <c r="C4129">
        <v>4</v>
      </c>
      <c r="D4129">
        <v>1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4150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4151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4152</v>
      </c>
      <c r="B4133" t="s">
        <v>63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4153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4154</v>
      </c>
      <c r="B4135" t="s">
        <v>37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4156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4157</v>
      </c>
      <c r="B4138" t="s">
        <v>9</v>
      </c>
      <c r="C4138">
        <v>1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4158</v>
      </c>
      <c r="B4139" t="s">
        <v>63</v>
      </c>
      <c r="C4139">
        <v>1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</row>
    <row r="4141" spans="1:8" x14ac:dyDescent="0.35">
      <c r="A4141" t="s">
        <v>4160</v>
      </c>
      <c r="B4141" t="s">
        <v>13</v>
      </c>
      <c r="C4141">
        <v>2</v>
      </c>
      <c r="D4141">
        <v>3</v>
      </c>
      <c r="E4141">
        <v>6</v>
      </c>
      <c r="G4141" t="s">
        <v>15</v>
      </c>
      <c r="H4141" s="1">
        <v>45167</v>
      </c>
    </row>
    <row r="4142" spans="1:8" x14ac:dyDescent="0.35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</row>
    <row r="4144" spans="1:8" x14ac:dyDescent="0.35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4164</v>
      </c>
      <c r="B4145" t="s">
        <v>26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4165</v>
      </c>
      <c r="B4146" t="s">
        <v>9</v>
      </c>
      <c r="C4146">
        <v>2</v>
      </c>
      <c r="D4146">
        <v>2</v>
      </c>
      <c r="E4146">
        <v>4</v>
      </c>
      <c r="H4146" s="1">
        <v>45220</v>
      </c>
    </row>
    <row r="4147" spans="1:8" x14ac:dyDescent="0.35">
      <c r="A4147" t="s">
        <v>4166</v>
      </c>
      <c r="B4147" t="s">
        <v>37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4168</v>
      </c>
      <c r="B4149" t="s">
        <v>63</v>
      </c>
      <c r="C4149">
        <v>2</v>
      </c>
      <c r="D4149">
        <v>1.5</v>
      </c>
      <c r="E4149">
        <v>3</v>
      </c>
      <c r="F4149" t="s">
        <v>10</v>
      </c>
      <c r="H4149" s="1">
        <v>45166</v>
      </c>
    </row>
    <row r="4150" spans="1:8" x14ac:dyDescent="0.35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4171</v>
      </c>
      <c r="B4152" t="s">
        <v>19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4172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4173</v>
      </c>
      <c r="C4154">
        <v>2</v>
      </c>
      <c r="G4154" t="s">
        <v>15</v>
      </c>
      <c r="H4154" s="1">
        <v>45274</v>
      </c>
    </row>
    <row r="4155" spans="1:8" x14ac:dyDescent="0.35">
      <c r="A4155" t="s">
        <v>4174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4176</v>
      </c>
      <c r="B4157" t="s">
        <v>26</v>
      </c>
      <c r="C4157">
        <v>2</v>
      </c>
      <c r="D4157">
        <v>4</v>
      </c>
      <c r="E4157">
        <v>8</v>
      </c>
      <c r="F4157" t="s">
        <v>10</v>
      </c>
      <c r="H4157" s="1">
        <v>44957</v>
      </c>
    </row>
    <row r="4158" spans="1:8" x14ac:dyDescent="0.35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H4158" s="1">
        <v>45195</v>
      </c>
    </row>
    <row r="4159" spans="1:8" x14ac:dyDescent="0.35">
      <c r="A4159" t="s">
        <v>4178</v>
      </c>
      <c r="B4159" t="s">
        <v>23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4179</v>
      </c>
      <c r="B4160" t="s">
        <v>63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4181</v>
      </c>
      <c r="B4162" t="s">
        <v>13</v>
      </c>
      <c r="C4162">
        <v>5</v>
      </c>
      <c r="D4162">
        <v>3</v>
      </c>
      <c r="E4162">
        <v>15</v>
      </c>
      <c r="F4162" t="s">
        <v>10</v>
      </c>
      <c r="H4162" s="1">
        <v>45234</v>
      </c>
    </row>
    <row r="4163" spans="1:8" x14ac:dyDescent="0.35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4190</v>
      </c>
      <c r="B4171" t="s">
        <v>37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4191</v>
      </c>
      <c r="B4172" t="s">
        <v>37</v>
      </c>
      <c r="C4172">
        <v>4</v>
      </c>
      <c r="D4172">
        <v>3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H4173" s="1">
        <v>45093</v>
      </c>
    </row>
    <row r="4174" spans="1:8" x14ac:dyDescent="0.35">
      <c r="A4174" t="s">
        <v>4193</v>
      </c>
      <c r="B4174" t="s">
        <v>63</v>
      </c>
      <c r="C4174">
        <v>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</row>
    <row r="4176" spans="1:8" x14ac:dyDescent="0.35">
      <c r="A4176" t="s">
        <v>4195</v>
      </c>
      <c r="B4176" t="s">
        <v>26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</row>
    <row r="4178" spans="1:8" x14ac:dyDescent="0.35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</row>
    <row r="4179" spans="1:8" x14ac:dyDescent="0.35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H4179" s="1">
        <v>45022</v>
      </c>
    </row>
    <row r="4180" spans="1:8" x14ac:dyDescent="0.35">
      <c r="A4180" t="s">
        <v>4199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4200</v>
      </c>
      <c r="B4181" t="s">
        <v>63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4201</v>
      </c>
      <c r="B4182" t="s">
        <v>23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</row>
    <row r="4187" spans="1:8" x14ac:dyDescent="0.35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H4188" s="1">
        <v>44998</v>
      </c>
    </row>
    <row r="4189" spans="1:8" x14ac:dyDescent="0.35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</row>
    <row r="4190" spans="1:8" x14ac:dyDescent="0.35">
      <c r="A4190" t="s">
        <v>4209</v>
      </c>
      <c r="B4190" t="s">
        <v>17</v>
      </c>
      <c r="C4190">
        <v>3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</row>
    <row r="4192" spans="1:8" x14ac:dyDescent="0.35">
      <c r="A4192" t="s">
        <v>4211</v>
      </c>
      <c r="B4192" t="s">
        <v>19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4213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4214</v>
      </c>
      <c r="B4195" t="s">
        <v>23</v>
      </c>
      <c r="C4195">
        <v>4</v>
      </c>
      <c r="D4195">
        <v>4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4215</v>
      </c>
      <c r="B4196" t="s">
        <v>23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</row>
    <row r="4205" spans="1:8" x14ac:dyDescent="0.35">
      <c r="A4205" t="s">
        <v>4224</v>
      </c>
      <c r="B4205" t="s">
        <v>19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H4208" s="1">
        <v>45187</v>
      </c>
    </row>
    <row r="4209" spans="1:8" x14ac:dyDescent="0.35">
      <c r="A4209" t="s">
        <v>4228</v>
      </c>
      <c r="B4209" t="s">
        <v>23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4232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</row>
    <row r="4214" spans="1:8" x14ac:dyDescent="0.35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</row>
    <row r="4215" spans="1:8" x14ac:dyDescent="0.35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H4215" s="1">
        <v>45160</v>
      </c>
    </row>
    <row r="4216" spans="1:8" x14ac:dyDescent="0.35">
      <c r="A4216" t="s">
        <v>4235</v>
      </c>
      <c r="B4216" t="s">
        <v>63</v>
      </c>
      <c r="C4216">
        <v>1</v>
      </c>
      <c r="D4216">
        <v>1.5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4236</v>
      </c>
      <c r="C4217">
        <v>5</v>
      </c>
      <c r="D4217">
        <v>4</v>
      </c>
      <c r="E4217">
        <v>20</v>
      </c>
      <c r="F4217" t="s">
        <v>21</v>
      </c>
      <c r="H4217" s="1">
        <v>44963</v>
      </c>
    </row>
    <row r="4218" spans="1:8" x14ac:dyDescent="0.35">
      <c r="A4218" t="s">
        <v>4237</v>
      </c>
      <c r="B4218" t="s">
        <v>37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H4220" s="1">
        <v>45161</v>
      </c>
    </row>
    <row r="4221" spans="1:8" x14ac:dyDescent="0.35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</row>
    <row r="4222" spans="1:8" x14ac:dyDescent="0.35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4244</v>
      </c>
      <c r="B4225" t="s">
        <v>63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4245</v>
      </c>
      <c r="B4226" t="s">
        <v>13</v>
      </c>
      <c r="C4226">
        <v>3</v>
      </c>
      <c r="D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4246</v>
      </c>
      <c r="B4227" t="s">
        <v>13</v>
      </c>
      <c r="C4227">
        <v>3</v>
      </c>
      <c r="D4227">
        <v>3</v>
      </c>
      <c r="E4227">
        <v>9</v>
      </c>
    </row>
    <row r="4228" spans="1:8" x14ac:dyDescent="0.35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4249</v>
      </c>
      <c r="B4230" t="s">
        <v>23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</row>
    <row r="4235" spans="1:8" x14ac:dyDescent="0.35">
      <c r="A4235" t="s">
        <v>4254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</row>
    <row r="4236" spans="1:8" x14ac:dyDescent="0.35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H4236" s="1">
        <v>45183</v>
      </c>
    </row>
    <row r="4237" spans="1:8" x14ac:dyDescent="0.35">
      <c r="A4237" t="s">
        <v>4256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H4239" s="1">
        <v>45282</v>
      </c>
    </row>
    <row r="4240" spans="1:8" x14ac:dyDescent="0.35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</row>
    <row r="4241" spans="1:8" x14ac:dyDescent="0.35">
      <c r="A4241" t="s">
        <v>4260</v>
      </c>
      <c r="B4241" t="s">
        <v>23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4261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H4243" s="1">
        <v>45135</v>
      </c>
    </row>
    <row r="4244" spans="1:8" x14ac:dyDescent="0.35">
      <c r="A4244" t="s">
        <v>4263</v>
      </c>
      <c r="B4244" t="s">
        <v>9</v>
      </c>
      <c r="C4244">
        <v>1</v>
      </c>
      <c r="D4244">
        <v>2</v>
      </c>
      <c r="E4244">
        <v>2</v>
      </c>
      <c r="G4244" t="s">
        <v>11</v>
      </c>
      <c r="H4244" s="1">
        <v>45269</v>
      </c>
    </row>
    <row r="4245" spans="1:8" x14ac:dyDescent="0.35">
      <c r="A4245" t="s">
        <v>4264</v>
      </c>
      <c r="B4245" t="s">
        <v>63</v>
      </c>
      <c r="C4245">
        <v>1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4265</v>
      </c>
      <c r="B4246" t="s">
        <v>37</v>
      </c>
      <c r="C4246">
        <v>1</v>
      </c>
      <c r="D4246">
        <v>3</v>
      </c>
      <c r="E4246">
        <v>3</v>
      </c>
      <c r="H4246" s="1">
        <v>45126</v>
      </c>
    </row>
    <row r="4247" spans="1:8" x14ac:dyDescent="0.35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</row>
    <row r="4248" spans="1:8" x14ac:dyDescent="0.35">
      <c r="A4248" t="s">
        <v>4267</v>
      </c>
      <c r="B4248" t="s">
        <v>26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4268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4270</v>
      </c>
      <c r="C4251">
        <v>2</v>
      </c>
      <c r="D4251">
        <v>3</v>
      </c>
      <c r="E4251">
        <v>6</v>
      </c>
      <c r="F4251" t="s">
        <v>21</v>
      </c>
      <c r="H4251" s="1">
        <v>45031</v>
      </c>
    </row>
    <row r="4252" spans="1:8" x14ac:dyDescent="0.35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H4254" s="1">
        <v>44967</v>
      </c>
    </row>
    <row r="4255" spans="1:8" x14ac:dyDescent="0.35">
      <c r="A4255" t="s">
        <v>4274</v>
      </c>
      <c r="B4255" t="s">
        <v>63</v>
      </c>
      <c r="C4255">
        <v>2</v>
      </c>
      <c r="D4255">
        <v>1.5</v>
      </c>
      <c r="E4255">
        <v>3</v>
      </c>
      <c r="G4255" t="s">
        <v>15</v>
      </c>
    </row>
    <row r="4256" spans="1:8" x14ac:dyDescent="0.35">
      <c r="A4256" t="s">
        <v>4275</v>
      </c>
      <c r="B4256" t="s">
        <v>23</v>
      </c>
      <c r="C4256">
        <v>3</v>
      </c>
      <c r="D4256">
        <v>4</v>
      </c>
      <c r="E4256">
        <v>12</v>
      </c>
      <c r="H4256" s="1">
        <v>45277</v>
      </c>
    </row>
    <row r="4257" spans="1:8" x14ac:dyDescent="0.35">
      <c r="A4257" t="s">
        <v>4276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4277</v>
      </c>
      <c r="B4258" t="s">
        <v>23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4278</v>
      </c>
      <c r="B4259" t="s">
        <v>9</v>
      </c>
      <c r="D4259">
        <v>2</v>
      </c>
      <c r="F4259" t="s">
        <v>21</v>
      </c>
      <c r="G4259" t="s">
        <v>11</v>
      </c>
      <c r="H4259" s="1">
        <v>45187</v>
      </c>
    </row>
    <row r="4260" spans="1:8" x14ac:dyDescent="0.35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4280</v>
      </c>
      <c r="B4261" t="s">
        <v>17</v>
      </c>
      <c r="C4261">
        <v>1</v>
      </c>
      <c r="D4261">
        <v>1</v>
      </c>
      <c r="E4261">
        <v>1</v>
      </c>
      <c r="F4261" t="s">
        <v>14</v>
      </c>
      <c r="H4261" s="1">
        <v>45212</v>
      </c>
    </row>
    <row r="4262" spans="1:8" x14ac:dyDescent="0.35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</row>
    <row r="4263" spans="1:8" x14ac:dyDescent="0.35">
      <c r="A4263" t="s">
        <v>4282</v>
      </c>
      <c r="B4263" t="s">
        <v>37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4286</v>
      </c>
      <c r="B4267" t="s">
        <v>9</v>
      </c>
      <c r="C4267">
        <v>1</v>
      </c>
      <c r="D4267">
        <v>2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H4270" s="1">
        <v>45029</v>
      </c>
    </row>
    <row r="4271" spans="1:8" x14ac:dyDescent="0.35">
      <c r="A4271" t="s">
        <v>4290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4291</v>
      </c>
      <c r="B4272" t="s">
        <v>13</v>
      </c>
      <c r="C4272">
        <v>4</v>
      </c>
      <c r="D4272">
        <v>3</v>
      </c>
      <c r="E4272">
        <v>12</v>
      </c>
      <c r="G4272" t="s">
        <v>15</v>
      </c>
      <c r="H4272" s="1">
        <v>45209</v>
      </c>
    </row>
    <row r="4273" spans="1:8" x14ac:dyDescent="0.35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H4274" s="1">
        <v>45242</v>
      </c>
    </row>
    <row r="4275" spans="1:8" x14ac:dyDescent="0.35">
      <c r="A4275" t="s">
        <v>4294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</row>
    <row r="4277" spans="1:8" x14ac:dyDescent="0.35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4297</v>
      </c>
      <c r="B4278" t="s">
        <v>26</v>
      </c>
      <c r="C4278">
        <v>1</v>
      </c>
      <c r="D4278">
        <v>4</v>
      </c>
      <c r="E4278">
        <v>4</v>
      </c>
      <c r="G4278" t="s">
        <v>11</v>
      </c>
      <c r="H4278" s="1">
        <v>45107</v>
      </c>
    </row>
    <row r="4279" spans="1:8" x14ac:dyDescent="0.35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H4279" s="1">
        <v>45182</v>
      </c>
    </row>
    <row r="4280" spans="1:8" x14ac:dyDescent="0.35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4300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4303</v>
      </c>
      <c r="B4284" t="s">
        <v>63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</row>
    <row r="4287" spans="1:8" x14ac:dyDescent="0.35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4309</v>
      </c>
      <c r="B4290" t="s">
        <v>26</v>
      </c>
      <c r="C4290">
        <v>2</v>
      </c>
      <c r="D4290">
        <v>4</v>
      </c>
      <c r="E4290">
        <v>8</v>
      </c>
      <c r="G4290" t="s">
        <v>15</v>
      </c>
    </row>
    <row r="4291" spans="1:8" x14ac:dyDescent="0.35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</row>
    <row r="4292" spans="1:8" x14ac:dyDescent="0.35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</row>
    <row r="4294" spans="1:8" x14ac:dyDescent="0.35">
      <c r="A4294" t="s">
        <v>4313</v>
      </c>
      <c r="B4294" t="s">
        <v>63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H4297" s="1">
        <v>45123</v>
      </c>
    </row>
    <row r="4298" spans="1:8" x14ac:dyDescent="0.35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</row>
    <row r="4299" spans="1:8" x14ac:dyDescent="0.35">
      <c r="A4299" t="s">
        <v>4318</v>
      </c>
      <c r="B4299" t="s">
        <v>13</v>
      </c>
      <c r="C4299">
        <v>5</v>
      </c>
      <c r="D4299">
        <v>3</v>
      </c>
      <c r="E4299">
        <v>15</v>
      </c>
      <c r="H4299" s="1">
        <v>45061</v>
      </c>
    </row>
    <row r="4300" spans="1:8" x14ac:dyDescent="0.35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</row>
    <row r="4301" spans="1:8" x14ac:dyDescent="0.35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</row>
    <row r="4302" spans="1:8" x14ac:dyDescent="0.35">
      <c r="A4302" t="s">
        <v>4321</v>
      </c>
      <c r="C4302">
        <v>4</v>
      </c>
      <c r="D4302">
        <v>3</v>
      </c>
      <c r="E4302">
        <v>12</v>
      </c>
      <c r="H4302" s="1">
        <v>45269</v>
      </c>
    </row>
    <row r="4303" spans="1:8" x14ac:dyDescent="0.35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</row>
    <row r="4305" spans="1:8" x14ac:dyDescent="0.35">
      <c r="A4305" t="s">
        <v>4324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4327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4328</v>
      </c>
      <c r="C4309">
        <v>5</v>
      </c>
      <c r="D4309">
        <v>2</v>
      </c>
      <c r="E4309">
        <v>10</v>
      </c>
      <c r="F4309" t="s">
        <v>10</v>
      </c>
      <c r="H4309" s="1">
        <v>45106</v>
      </c>
    </row>
    <row r="4310" spans="1:8" x14ac:dyDescent="0.35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4330</v>
      </c>
      <c r="B4311" t="s">
        <v>63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</row>
    <row r="4313" spans="1:8" x14ac:dyDescent="0.35">
      <c r="A4313" t="s">
        <v>4332</v>
      </c>
      <c r="B4313" t="s">
        <v>19</v>
      </c>
      <c r="C4313">
        <v>2</v>
      </c>
      <c r="D4313">
        <v>5</v>
      </c>
      <c r="E4313">
        <v>10</v>
      </c>
      <c r="F4313" t="s">
        <v>21</v>
      </c>
      <c r="G4313" t="s">
        <v>11</v>
      </c>
      <c r="H4313" s="1">
        <v>45026</v>
      </c>
    </row>
    <row r="4314" spans="1:8" x14ac:dyDescent="0.35">
      <c r="A4314" t="s">
        <v>4333</v>
      </c>
      <c r="B4314" t="s">
        <v>37</v>
      </c>
      <c r="C4314">
        <v>5</v>
      </c>
      <c r="D4314">
        <v>3</v>
      </c>
      <c r="E4314">
        <v>15</v>
      </c>
      <c r="H4314" s="1">
        <v>44995</v>
      </c>
    </row>
    <row r="4315" spans="1:8" x14ac:dyDescent="0.35">
      <c r="A4315" t="s">
        <v>4334</v>
      </c>
      <c r="B4315" t="s">
        <v>63</v>
      </c>
      <c r="C4315">
        <v>5</v>
      </c>
      <c r="D4315">
        <v>1.5</v>
      </c>
      <c r="E4315">
        <v>7.5</v>
      </c>
      <c r="F4315" t="s">
        <v>10</v>
      </c>
      <c r="H4315" s="1">
        <v>45028</v>
      </c>
    </row>
    <row r="4316" spans="1:8" x14ac:dyDescent="0.35">
      <c r="A4316" t="s">
        <v>4335</v>
      </c>
      <c r="B4316" t="s">
        <v>19</v>
      </c>
      <c r="C4316">
        <v>5</v>
      </c>
      <c r="D4316">
        <v>5</v>
      </c>
      <c r="E4316">
        <v>25</v>
      </c>
      <c r="G4316" t="s">
        <v>11</v>
      </c>
      <c r="H4316" s="1">
        <v>45054</v>
      </c>
    </row>
    <row r="4317" spans="1:8" x14ac:dyDescent="0.35">
      <c r="A4317" t="s">
        <v>4336</v>
      </c>
      <c r="B4317" t="s">
        <v>19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</row>
    <row r="4319" spans="1:8" x14ac:dyDescent="0.35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4339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4340</v>
      </c>
      <c r="C4321">
        <v>3</v>
      </c>
      <c r="D4321">
        <v>3</v>
      </c>
      <c r="E4321">
        <v>9</v>
      </c>
      <c r="F4321" t="s">
        <v>21</v>
      </c>
      <c r="G4321" t="s">
        <v>15</v>
      </c>
    </row>
    <row r="4322" spans="1:8" x14ac:dyDescent="0.35">
      <c r="A4322" t="s">
        <v>4341</v>
      </c>
      <c r="B4322" t="s">
        <v>23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</row>
    <row r="4324" spans="1:8" x14ac:dyDescent="0.35">
      <c r="A4324" t="s">
        <v>4343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4344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4345</v>
      </c>
      <c r="C4326">
        <v>5</v>
      </c>
      <c r="D4326">
        <v>4</v>
      </c>
      <c r="E4326">
        <v>20</v>
      </c>
      <c r="G4326" t="s">
        <v>15</v>
      </c>
      <c r="H4326" s="1">
        <v>45148</v>
      </c>
    </row>
    <row r="4327" spans="1:8" x14ac:dyDescent="0.35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H4327" s="1">
        <v>45013</v>
      </c>
    </row>
    <row r="4328" spans="1:8" x14ac:dyDescent="0.35">
      <c r="A4328" t="s">
        <v>4347</v>
      </c>
      <c r="B4328" t="s">
        <v>19</v>
      </c>
      <c r="C4328">
        <v>5</v>
      </c>
      <c r="D4328">
        <v>5</v>
      </c>
      <c r="E4328">
        <v>25</v>
      </c>
      <c r="H4328" s="1">
        <v>45153</v>
      </c>
    </row>
    <row r="4329" spans="1:8" x14ac:dyDescent="0.35">
      <c r="A4329" t="s">
        <v>4348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H4330" s="1">
        <v>45130</v>
      </c>
    </row>
    <row r="4331" spans="1:8" x14ac:dyDescent="0.35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4351</v>
      </c>
      <c r="B4332" t="s">
        <v>63</v>
      </c>
      <c r="C4332">
        <v>1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H4333" s="1">
        <v>45232</v>
      </c>
    </row>
    <row r="4334" spans="1:8" x14ac:dyDescent="0.35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H4334" s="1">
        <v>44948</v>
      </c>
    </row>
    <row r="4335" spans="1:8" x14ac:dyDescent="0.35">
      <c r="A4335" t="s">
        <v>4354</v>
      </c>
      <c r="B4335" t="s">
        <v>26</v>
      </c>
      <c r="C4335">
        <v>5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4355</v>
      </c>
      <c r="B4336" t="s">
        <v>13</v>
      </c>
      <c r="C4336">
        <v>4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4359</v>
      </c>
      <c r="B4340" t="s">
        <v>9</v>
      </c>
      <c r="C4340">
        <v>3</v>
      </c>
      <c r="D4340">
        <v>2</v>
      </c>
      <c r="E4340">
        <v>6</v>
      </c>
      <c r="F4340" t="s">
        <v>10</v>
      </c>
      <c r="G4340" t="s">
        <v>15</v>
      </c>
    </row>
    <row r="4341" spans="1:8" x14ac:dyDescent="0.35">
      <c r="A4341" t="s">
        <v>4360</v>
      </c>
      <c r="B4341" t="s">
        <v>37</v>
      </c>
      <c r="C4341">
        <v>5</v>
      </c>
      <c r="D4341">
        <v>3</v>
      </c>
      <c r="E4341">
        <v>15</v>
      </c>
      <c r="G4341" t="s">
        <v>11</v>
      </c>
    </row>
    <row r="4342" spans="1:8" x14ac:dyDescent="0.35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H4344" s="1">
        <v>45103</v>
      </c>
    </row>
    <row r="4345" spans="1:8" x14ac:dyDescent="0.35">
      <c r="A4345" t="s">
        <v>4364</v>
      </c>
      <c r="B4345" t="s">
        <v>26</v>
      </c>
      <c r="C4345">
        <v>3</v>
      </c>
      <c r="D4345">
        <v>4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H4348" s="1">
        <v>45234</v>
      </c>
    </row>
    <row r="4349" spans="1:8" x14ac:dyDescent="0.35">
      <c r="A4349" t="s">
        <v>4368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4369</v>
      </c>
      <c r="B4350" t="s">
        <v>26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4371</v>
      </c>
      <c r="C4352">
        <v>5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4372</v>
      </c>
      <c r="B4353" t="s">
        <v>26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4373</v>
      </c>
      <c r="B4354" t="s">
        <v>17</v>
      </c>
      <c r="C4354">
        <v>3</v>
      </c>
      <c r="D4354">
        <v>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4374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</row>
    <row r="4356" spans="1:8" x14ac:dyDescent="0.35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4376</v>
      </c>
      <c r="B4357" t="s">
        <v>13</v>
      </c>
      <c r="C4357">
        <v>2</v>
      </c>
      <c r="D4357">
        <v>3</v>
      </c>
      <c r="E4357">
        <v>6</v>
      </c>
      <c r="H4357" s="1">
        <v>45064</v>
      </c>
    </row>
    <row r="4358" spans="1:8" x14ac:dyDescent="0.35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H4358" s="1">
        <v>45086</v>
      </c>
    </row>
    <row r="4359" spans="1:8" x14ac:dyDescent="0.35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4380</v>
      </c>
      <c r="B4361" t="s">
        <v>23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4381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H4363" s="1">
        <v>45135</v>
      </c>
    </row>
    <row r="4364" spans="1:8" x14ac:dyDescent="0.35">
      <c r="A4364" t="s">
        <v>4383</v>
      </c>
      <c r="B4364" t="s">
        <v>26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4384</v>
      </c>
      <c r="B4365" t="s">
        <v>17</v>
      </c>
      <c r="C4365">
        <v>5</v>
      </c>
      <c r="D4365">
        <v>1</v>
      </c>
      <c r="E4365">
        <v>5</v>
      </c>
      <c r="F4365" t="s">
        <v>21</v>
      </c>
    </row>
    <row r="4366" spans="1:8" x14ac:dyDescent="0.35">
      <c r="A4366" t="s">
        <v>4385</v>
      </c>
      <c r="C4366">
        <v>1</v>
      </c>
      <c r="D4366">
        <v>1</v>
      </c>
      <c r="E4366">
        <v>1</v>
      </c>
      <c r="F4366" t="s">
        <v>14</v>
      </c>
      <c r="H4366" s="1">
        <v>45037</v>
      </c>
    </row>
    <row r="4367" spans="1:8" x14ac:dyDescent="0.35">
      <c r="A4367" t="s">
        <v>4386</v>
      </c>
      <c r="B4367" t="s">
        <v>13</v>
      </c>
      <c r="C4367">
        <v>2</v>
      </c>
      <c r="D4367">
        <v>3</v>
      </c>
      <c r="E4367">
        <v>6</v>
      </c>
    </row>
    <row r="4368" spans="1:8" x14ac:dyDescent="0.35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4389</v>
      </c>
      <c r="B4370" t="s">
        <v>23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H4371" s="1">
        <v>45140</v>
      </c>
    </row>
    <row r="4372" spans="1:8" x14ac:dyDescent="0.35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4392</v>
      </c>
      <c r="B4373" t="s">
        <v>19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4393</v>
      </c>
      <c r="B4374" t="s">
        <v>63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4394</v>
      </c>
      <c r="C4375">
        <v>4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4396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4397</v>
      </c>
      <c r="B4378" t="s">
        <v>26</v>
      </c>
      <c r="C4378">
        <v>5</v>
      </c>
      <c r="D4378">
        <v>4</v>
      </c>
      <c r="E4378">
        <v>20</v>
      </c>
      <c r="F4378" t="s">
        <v>21</v>
      </c>
      <c r="H4378" s="1">
        <v>45197</v>
      </c>
    </row>
    <row r="4379" spans="1:8" x14ac:dyDescent="0.35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H4379" s="1">
        <v>45000</v>
      </c>
    </row>
    <row r="4380" spans="1:8" x14ac:dyDescent="0.35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</row>
    <row r="4381" spans="1:8" x14ac:dyDescent="0.35">
      <c r="A4381" t="s">
        <v>4400</v>
      </c>
      <c r="B4381" t="s">
        <v>37</v>
      </c>
      <c r="C4381">
        <v>5</v>
      </c>
      <c r="D4381">
        <v>3</v>
      </c>
      <c r="E4381">
        <v>15</v>
      </c>
      <c r="H4381" s="1">
        <v>45110</v>
      </c>
    </row>
    <row r="4382" spans="1:8" x14ac:dyDescent="0.35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</row>
    <row r="4383" spans="1:8" x14ac:dyDescent="0.35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H4384" s="1">
        <v>45143</v>
      </c>
    </row>
    <row r="4385" spans="1:8" x14ac:dyDescent="0.35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</row>
    <row r="4386" spans="1:8" x14ac:dyDescent="0.35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H4390" s="1">
        <v>45216</v>
      </c>
    </row>
    <row r="4391" spans="1:8" x14ac:dyDescent="0.35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4411</v>
      </c>
      <c r="B4392" t="s">
        <v>23</v>
      </c>
      <c r="C4392">
        <v>2</v>
      </c>
      <c r="D4392">
        <v>4</v>
      </c>
      <c r="E4392">
        <v>8</v>
      </c>
      <c r="H4392" s="1">
        <v>45043</v>
      </c>
    </row>
    <row r="4393" spans="1:8" x14ac:dyDescent="0.35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4413</v>
      </c>
      <c r="B4394" t="s">
        <v>19</v>
      </c>
      <c r="C4394">
        <v>5</v>
      </c>
      <c r="D4394">
        <v>5</v>
      </c>
      <c r="E4394">
        <v>25</v>
      </c>
    </row>
    <row r="4395" spans="1:8" x14ac:dyDescent="0.35">
      <c r="A4395" t="s">
        <v>4414</v>
      </c>
      <c r="B4395" t="s">
        <v>13</v>
      </c>
      <c r="C4395">
        <v>2</v>
      </c>
      <c r="D4395">
        <v>3</v>
      </c>
      <c r="E4395">
        <v>6</v>
      </c>
      <c r="F4395" t="s">
        <v>14</v>
      </c>
      <c r="H4395" s="1">
        <v>45022</v>
      </c>
    </row>
    <row r="4396" spans="1:8" x14ac:dyDescent="0.35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</row>
    <row r="4398" spans="1:8" x14ac:dyDescent="0.35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4419</v>
      </c>
      <c r="B4400" t="s">
        <v>63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4420</v>
      </c>
      <c r="B4401" t="s">
        <v>63</v>
      </c>
      <c r="C4401">
        <v>2</v>
      </c>
      <c r="D4401">
        <v>1.5</v>
      </c>
      <c r="E4401">
        <v>3</v>
      </c>
    </row>
    <row r="4402" spans="1:8" x14ac:dyDescent="0.35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4425</v>
      </c>
      <c r="B4406" t="s">
        <v>63</v>
      </c>
      <c r="C4406">
        <v>4</v>
      </c>
      <c r="D4406">
        <v>1.5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4426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4427</v>
      </c>
      <c r="B4408" t="s">
        <v>26</v>
      </c>
      <c r="C4408">
        <v>4</v>
      </c>
      <c r="D4408">
        <v>4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H4409" s="1">
        <v>45169</v>
      </c>
    </row>
    <row r="4410" spans="1:8" x14ac:dyDescent="0.35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4433</v>
      </c>
      <c r="C4414">
        <v>3</v>
      </c>
      <c r="D4414">
        <v>3</v>
      </c>
      <c r="E4414">
        <v>9</v>
      </c>
      <c r="G4414" t="s">
        <v>11</v>
      </c>
      <c r="H4414" s="1">
        <v>45002</v>
      </c>
    </row>
    <row r="4415" spans="1:8" x14ac:dyDescent="0.35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H4415" s="1">
        <v>45083</v>
      </c>
    </row>
    <row r="4416" spans="1:8" x14ac:dyDescent="0.35">
      <c r="A4416" t="s">
        <v>4435</v>
      </c>
      <c r="B4416" t="s">
        <v>23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</row>
    <row r="4419" spans="1:8" x14ac:dyDescent="0.35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4441</v>
      </c>
      <c r="B4422" t="s">
        <v>17</v>
      </c>
      <c r="C4422">
        <v>2</v>
      </c>
      <c r="D4422">
        <v>1</v>
      </c>
      <c r="E4422">
        <v>2</v>
      </c>
      <c r="F4422" t="s">
        <v>14</v>
      </c>
      <c r="H4422" s="1">
        <v>45119</v>
      </c>
    </row>
    <row r="4423" spans="1:8" x14ac:dyDescent="0.35">
      <c r="A4423" t="s">
        <v>4442</v>
      </c>
      <c r="C4423">
        <v>5</v>
      </c>
      <c r="D4423">
        <v>3</v>
      </c>
      <c r="E4423">
        <v>15</v>
      </c>
      <c r="F4423" t="s">
        <v>14</v>
      </c>
      <c r="H4423" s="1">
        <v>45194</v>
      </c>
    </row>
    <row r="4424" spans="1:8" x14ac:dyDescent="0.35">
      <c r="A4424" t="s">
        <v>4443</v>
      </c>
      <c r="B4424" t="s">
        <v>17</v>
      </c>
      <c r="C4424">
        <v>3</v>
      </c>
      <c r="D4424">
        <v>1</v>
      </c>
      <c r="E4424">
        <v>3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4444</v>
      </c>
      <c r="B4425" t="s">
        <v>9</v>
      </c>
      <c r="C4425">
        <v>4</v>
      </c>
      <c r="D4425">
        <v>2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</row>
    <row r="4428" spans="1:8" x14ac:dyDescent="0.35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</row>
    <row r="4431" spans="1:8" x14ac:dyDescent="0.35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</row>
    <row r="4432" spans="1:8" x14ac:dyDescent="0.35">
      <c r="A4432" t="s">
        <v>4451</v>
      </c>
      <c r="C4432">
        <v>5</v>
      </c>
      <c r="D4432">
        <v>3</v>
      </c>
      <c r="E4432">
        <v>15</v>
      </c>
      <c r="G4432" t="s">
        <v>11</v>
      </c>
      <c r="H4432" s="1">
        <v>45176</v>
      </c>
    </row>
    <row r="4433" spans="1:8" x14ac:dyDescent="0.35">
      <c r="A4433" t="s">
        <v>4452</v>
      </c>
      <c r="B4433" t="s">
        <v>19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4453</v>
      </c>
      <c r="B4434" t="s">
        <v>63</v>
      </c>
      <c r="C4434">
        <v>4</v>
      </c>
      <c r="D4434">
        <v>1.5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</row>
    <row r="4436" spans="1:8" x14ac:dyDescent="0.35">
      <c r="A4436" t="s">
        <v>4455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4456</v>
      </c>
      <c r="B4437" t="s">
        <v>19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4457</v>
      </c>
      <c r="B4438" t="s">
        <v>23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4458</v>
      </c>
      <c r="B4439" t="s">
        <v>13</v>
      </c>
      <c r="C4439">
        <v>3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4459</v>
      </c>
      <c r="B4440" t="s">
        <v>9</v>
      </c>
      <c r="C4440">
        <v>3</v>
      </c>
      <c r="D4440">
        <v>2</v>
      </c>
      <c r="E4440">
        <v>6</v>
      </c>
      <c r="H4440" s="1">
        <v>45140</v>
      </c>
    </row>
    <row r="4441" spans="1:8" x14ac:dyDescent="0.35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H4441" s="1">
        <v>45272</v>
      </c>
    </row>
    <row r="4442" spans="1:8" x14ac:dyDescent="0.35">
      <c r="A4442" t="s">
        <v>4461</v>
      </c>
      <c r="B4442" t="s">
        <v>37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4462</v>
      </c>
      <c r="C4443">
        <v>1</v>
      </c>
      <c r="D4443">
        <v>2</v>
      </c>
      <c r="E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H4444" s="1">
        <v>45152</v>
      </c>
    </row>
    <row r="4445" spans="1:8" x14ac:dyDescent="0.35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4466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</row>
    <row r="4449" spans="1:8" x14ac:dyDescent="0.35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H4449" s="1">
        <v>45086</v>
      </c>
    </row>
    <row r="4450" spans="1:8" x14ac:dyDescent="0.35">
      <c r="A4450" t="s">
        <v>4469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4470</v>
      </c>
      <c r="B4451" t="s">
        <v>63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4471</v>
      </c>
      <c r="B4452" t="s">
        <v>19</v>
      </c>
      <c r="C4452">
        <v>3</v>
      </c>
      <c r="D4452">
        <v>5</v>
      </c>
      <c r="E4452">
        <v>15</v>
      </c>
      <c r="F4452" t="s">
        <v>21</v>
      </c>
      <c r="H4452" s="1">
        <v>45006</v>
      </c>
    </row>
    <row r="4453" spans="1:8" x14ac:dyDescent="0.35">
      <c r="A4453" t="s">
        <v>4472</v>
      </c>
      <c r="B4453" t="s">
        <v>63</v>
      </c>
      <c r="C4453">
        <v>2</v>
      </c>
      <c r="D4453">
        <v>1.5</v>
      </c>
      <c r="E4453">
        <v>3</v>
      </c>
      <c r="H4453" s="1">
        <v>45229</v>
      </c>
    </row>
    <row r="4454" spans="1:8" x14ac:dyDescent="0.35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H4454" s="1">
        <v>45002</v>
      </c>
    </row>
    <row r="4455" spans="1:8" x14ac:dyDescent="0.35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</row>
    <row r="4457" spans="1:8" x14ac:dyDescent="0.35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4477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4478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</row>
    <row r="4462" spans="1:8" x14ac:dyDescent="0.35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4482</v>
      </c>
      <c r="B4463" t="s">
        <v>13</v>
      </c>
      <c r="C4463">
        <v>2</v>
      </c>
      <c r="D4463">
        <v>3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</row>
    <row r="4465" spans="1:8" x14ac:dyDescent="0.35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4485</v>
      </c>
      <c r="B4466" t="s">
        <v>9</v>
      </c>
      <c r="C4466">
        <v>4</v>
      </c>
      <c r="D4466">
        <v>2</v>
      </c>
      <c r="E4466">
        <v>8</v>
      </c>
      <c r="G4466" t="s">
        <v>15</v>
      </c>
      <c r="H4466" s="1">
        <v>44992</v>
      </c>
    </row>
    <row r="4467" spans="1:8" x14ac:dyDescent="0.35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4488</v>
      </c>
      <c r="B4469" t="s">
        <v>26</v>
      </c>
      <c r="C4469">
        <v>3</v>
      </c>
      <c r="D4469">
        <v>4</v>
      </c>
      <c r="E4469">
        <v>12</v>
      </c>
      <c r="F4469" t="s">
        <v>21</v>
      </c>
      <c r="G4469" t="s">
        <v>15</v>
      </c>
      <c r="H4469" s="1">
        <v>45152</v>
      </c>
    </row>
    <row r="4470" spans="1:8" x14ac:dyDescent="0.35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H4470" s="1">
        <v>44997</v>
      </c>
    </row>
    <row r="4471" spans="1:8" x14ac:dyDescent="0.35">
      <c r="A4471" t="s">
        <v>4490</v>
      </c>
      <c r="B4471" t="s">
        <v>26</v>
      </c>
      <c r="C4471">
        <v>1</v>
      </c>
      <c r="D4471">
        <v>4</v>
      </c>
      <c r="E4471">
        <v>4</v>
      </c>
      <c r="G4471" t="s">
        <v>15</v>
      </c>
      <c r="H4471" s="1">
        <v>44942</v>
      </c>
    </row>
    <row r="4472" spans="1:8" x14ac:dyDescent="0.35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H4472" s="1">
        <v>45279</v>
      </c>
    </row>
    <row r="4473" spans="1:8" x14ac:dyDescent="0.35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4493</v>
      </c>
      <c r="B4474" t="s">
        <v>26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4494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H4477" s="1">
        <v>45029</v>
      </c>
    </row>
    <row r="4478" spans="1:8" x14ac:dyDescent="0.35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4498</v>
      </c>
      <c r="B4479" t="s">
        <v>13</v>
      </c>
      <c r="C4479">
        <v>5</v>
      </c>
      <c r="D4479">
        <v>3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</row>
    <row r="4481" spans="1:8" x14ac:dyDescent="0.35">
      <c r="A4481" t="s">
        <v>4500</v>
      </c>
      <c r="B4481" t="s">
        <v>19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H4482" s="1">
        <v>45215</v>
      </c>
    </row>
    <row r="4483" spans="1:8" x14ac:dyDescent="0.35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4504</v>
      </c>
      <c r="B4485" t="s">
        <v>17</v>
      </c>
      <c r="C4485">
        <v>1</v>
      </c>
      <c r="D4485">
        <v>1</v>
      </c>
      <c r="E4485">
        <v>1</v>
      </c>
      <c r="F4485" t="s">
        <v>21</v>
      </c>
      <c r="G4485" t="s">
        <v>15</v>
      </c>
      <c r="H4485" s="1">
        <v>45051</v>
      </c>
    </row>
    <row r="4486" spans="1:8" x14ac:dyDescent="0.35">
      <c r="A4486" t="s">
        <v>4505</v>
      </c>
      <c r="B4486" t="s">
        <v>17</v>
      </c>
      <c r="C4486">
        <v>5</v>
      </c>
      <c r="D4486">
        <v>1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4506</v>
      </c>
      <c r="B4487" t="s">
        <v>63</v>
      </c>
      <c r="C4487">
        <v>2</v>
      </c>
      <c r="D4487">
        <v>1.5</v>
      </c>
      <c r="E4487">
        <v>3</v>
      </c>
    </row>
    <row r="4488" spans="1:8" x14ac:dyDescent="0.35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4508</v>
      </c>
      <c r="B4489" t="s">
        <v>19</v>
      </c>
      <c r="C4489">
        <v>4</v>
      </c>
      <c r="D4489">
        <v>5</v>
      </c>
      <c r="E4489">
        <v>20</v>
      </c>
      <c r="H4489" s="1">
        <v>45032</v>
      </c>
    </row>
    <row r="4490" spans="1:8" x14ac:dyDescent="0.35">
      <c r="A4490" t="s">
        <v>4509</v>
      </c>
      <c r="B4490" t="s">
        <v>63</v>
      </c>
      <c r="C4490">
        <v>4</v>
      </c>
      <c r="D4490">
        <v>1.5</v>
      </c>
      <c r="E4490">
        <v>6</v>
      </c>
      <c r="G4490" t="s">
        <v>15</v>
      </c>
      <c r="H4490" s="1">
        <v>45092</v>
      </c>
    </row>
    <row r="4491" spans="1:8" x14ac:dyDescent="0.35">
      <c r="A4491" t="s">
        <v>4510</v>
      </c>
      <c r="B4491" t="s">
        <v>19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</row>
    <row r="4493" spans="1:8" x14ac:dyDescent="0.35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4513</v>
      </c>
      <c r="B4494" t="s">
        <v>23</v>
      </c>
      <c r="C4494">
        <v>4</v>
      </c>
      <c r="D4494">
        <v>4</v>
      </c>
      <c r="E4494">
        <v>16</v>
      </c>
      <c r="F4494" t="s">
        <v>21</v>
      </c>
      <c r="G4494" t="s">
        <v>15</v>
      </c>
      <c r="H4494" s="1">
        <v>45260</v>
      </c>
    </row>
    <row r="4495" spans="1:8" x14ac:dyDescent="0.35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4515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</row>
    <row r="4499" spans="1:8" x14ac:dyDescent="0.35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4520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4521</v>
      </c>
      <c r="B4502" t="s">
        <v>9</v>
      </c>
      <c r="C4502">
        <v>1</v>
      </c>
      <c r="D4502">
        <v>2</v>
      </c>
      <c r="E4502">
        <v>2</v>
      </c>
      <c r="H4502" s="1">
        <v>45232</v>
      </c>
    </row>
    <row r="4503" spans="1:8" x14ac:dyDescent="0.35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H4503" s="1">
        <v>45149</v>
      </c>
    </row>
    <row r="4504" spans="1:8" x14ac:dyDescent="0.35">
      <c r="A4504" t="s">
        <v>4523</v>
      </c>
      <c r="B4504" t="s">
        <v>63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H4505" s="1">
        <v>45269</v>
      </c>
    </row>
    <row r="4506" spans="1:8" x14ac:dyDescent="0.35">
      <c r="A4506" t="s">
        <v>4525</v>
      </c>
      <c r="B4506" t="s">
        <v>63</v>
      </c>
      <c r="C4506">
        <v>5</v>
      </c>
      <c r="D4506">
        <v>1.5</v>
      </c>
      <c r="E4506">
        <v>7.5</v>
      </c>
      <c r="G4506" t="s">
        <v>15</v>
      </c>
    </row>
    <row r="4507" spans="1:8" x14ac:dyDescent="0.35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4527</v>
      </c>
      <c r="B4508" t="s">
        <v>37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</row>
    <row r="4510" spans="1:8" x14ac:dyDescent="0.35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4530</v>
      </c>
      <c r="B4511" t="s">
        <v>23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H4512" s="1">
        <v>45185</v>
      </c>
    </row>
    <row r="4513" spans="1:8" x14ac:dyDescent="0.35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4534</v>
      </c>
      <c r="B4515" t="s">
        <v>17</v>
      </c>
      <c r="C4515">
        <v>1</v>
      </c>
      <c r="D4515">
        <v>1</v>
      </c>
      <c r="E4515">
        <v>1</v>
      </c>
      <c r="F4515" t="s">
        <v>10</v>
      </c>
      <c r="H4515" s="1">
        <v>45041</v>
      </c>
    </row>
    <row r="4516" spans="1:8" x14ac:dyDescent="0.35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</row>
    <row r="4517" spans="1:8" x14ac:dyDescent="0.35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4539</v>
      </c>
      <c r="B4520" t="s">
        <v>63</v>
      </c>
      <c r="C4520">
        <v>1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</row>
    <row r="4521" spans="1:8" x14ac:dyDescent="0.35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H4523" s="1">
        <v>45199</v>
      </c>
    </row>
    <row r="4524" spans="1:8" x14ac:dyDescent="0.35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4546</v>
      </c>
      <c r="B4527" t="s">
        <v>63</v>
      </c>
      <c r="C4527">
        <v>1</v>
      </c>
      <c r="D4527">
        <v>1.5</v>
      </c>
      <c r="E4527">
        <v>1.5</v>
      </c>
      <c r="G4527" t="s">
        <v>11</v>
      </c>
      <c r="H4527" s="1">
        <v>45224</v>
      </c>
    </row>
    <row r="4528" spans="1:8" x14ac:dyDescent="0.35">
      <c r="A4528" t="s">
        <v>4547</v>
      </c>
      <c r="B4528" t="s">
        <v>63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4549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4550</v>
      </c>
      <c r="B4531" t="s">
        <v>17</v>
      </c>
      <c r="C4531">
        <v>5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</row>
    <row r="4532" spans="1:8" x14ac:dyDescent="0.35">
      <c r="A4532" t="s">
        <v>4551</v>
      </c>
      <c r="B4532" t="s">
        <v>19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</row>
    <row r="4535" spans="1:8" x14ac:dyDescent="0.35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</row>
    <row r="4536" spans="1:8" x14ac:dyDescent="0.35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H4536" s="1">
        <v>45164</v>
      </c>
    </row>
    <row r="4537" spans="1:8" x14ac:dyDescent="0.35">
      <c r="A4537" t="s">
        <v>4556</v>
      </c>
      <c r="B4537" t="s">
        <v>23</v>
      </c>
      <c r="C4537">
        <v>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4557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4561</v>
      </c>
      <c r="B4542" t="s">
        <v>63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4562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</row>
    <row r="4545" spans="1:8" x14ac:dyDescent="0.35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H4545" s="1">
        <v>45131</v>
      </c>
    </row>
    <row r="4546" spans="1:8" x14ac:dyDescent="0.35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H4546" s="1">
        <v>44959</v>
      </c>
    </row>
    <row r="4547" spans="1:8" x14ac:dyDescent="0.35">
      <c r="A4547" t="s">
        <v>4566</v>
      </c>
      <c r="C4547">
        <v>3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4568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4569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4571</v>
      </c>
      <c r="B4552" t="s">
        <v>19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</row>
    <row r="4555" spans="1:8" x14ac:dyDescent="0.35">
      <c r="A4555" t="s">
        <v>4574</v>
      </c>
      <c r="C4555">
        <v>4</v>
      </c>
      <c r="D4555">
        <v>1</v>
      </c>
      <c r="E4555">
        <v>4</v>
      </c>
      <c r="G4555" t="s">
        <v>11</v>
      </c>
      <c r="H4555" s="1">
        <v>45094</v>
      </c>
    </row>
    <row r="4556" spans="1:8" x14ac:dyDescent="0.35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H4556" s="1">
        <v>45218</v>
      </c>
    </row>
    <row r="4557" spans="1:8" x14ac:dyDescent="0.35">
      <c r="A4557" t="s">
        <v>4576</v>
      </c>
      <c r="B4557" t="s">
        <v>13</v>
      </c>
      <c r="C4557">
        <v>5</v>
      </c>
      <c r="D4557">
        <v>3</v>
      </c>
      <c r="E4557">
        <v>15</v>
      </c>
      <c r="F4557" t="s">
        <v>21</v>
      </c>
      <c r="G4557" t="s">
        <v>15</v>
      </c>
      <c r="H4557" s="1">
        <v>45076</v>
      </c>
    </row>
    <row r="4558" spans="1:8" x14ac:dyDescent="0.35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4578</v>
      </c>
      <c r="B4559" t="s">
        <v>37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4579</v>
      </c>
      <c r="B4560" t="s">
        <v>26</v>
      </c>
      <c r="C4560">
        <v>5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</row>
    <row r="4562" spans="1:8" x14ac:dyDescent="0.35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</row>
    <row r="4565" spans="1:8" x14ac:dyDescent="0.35">
      <c r="A4565" t="s">
        <v>4584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4585</v>
      </c>
      <c r="B4566" t="s">
        <v>13</v>
      </c>
      <c r="C4566">
        <v>5</v>
      </c>
      <c r="D4566">
        <v>3</v>
      </c>
      <c r="E4566">
        <v>15</v>
      </c>
      <c r="G4566" t="s">
        <v>15</v>
      </c>
      <c r="H4566" s="1">
        <v>44939</v>
      </c>
    </row>
    <row r="4567" spans="1:8" x14ac:dyDescent="0.35">
      <c r="A4567" t="s">
        <v>4586</v>
      </c>
      <c r="B4567" t="s">
        <v>26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4587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4588</v>
      </c>
      <c r="B4569" t="s">
        <v>37</v>
      </c>
      <c r="C4569">
        <v>3</v>
      </c>
      <c r="D4569">
        <v>3</v>
      </c>
      <c r="E4569">
        <v>9</v>
      </c>
      <c r="G4569" t="s">
        <v>15</v>
      </c>
      <c r="H4569" s="1">
        <v>45226</v>
      </c>
    </row>
    <row r="4570" spans="1:8" x14ac:dyDescent="0.35">
      <c r="A4570" t="s">
        <v>4589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</row>
    <row r="4572" spans="1:8" x14ac:dyDescent="0.35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4593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</row>
    <row r="4575" spans="1:8" x14ac:dyDescent="0.35">
      <c r="A4575" t="s">
        <v>4594</v>
      </c>
      <c r="B4575" t="s">
        <v>26</v>
      </c>
      <c r="C4575">
        <v>1</v>
      </c>
      <c r="D4575">
        <v>4</v>
      </c>
      <c r="E4575">
        <v>4</v>
      </c>
      <c r="H4575" s="1">
        <v>45196</v>
      </c>
    </row>
    <row r="4576" spans="1:8" x14ac:dyDescent="0.35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H4576" s="1">
        <v>45271</v>
      </c>
    </row>
    <row r="4577" spans="1:8" x14ac:dyDescent="0.35">
      <c r="A4577" t="s">
        <v>4596</v>
      </c>
      <c r="B4577" t="s">
        <v>37</v>
      </c>
      <c r="C4577">
        <v>4</v>
      </c>
      <c r="D4577">
        <v>3</v>
      </c>
      <c r="E4577">
        <v>12</v>
      </c>
      <c r="G4577" t="s">
        <v>15</v>
      </c>
      <c r="H4577" s="1">
        <v>45073</v>
      </c>
    </row>
    <row r="4578" spans="1:8" x14ac:dyDescent="0.35">
      <c r="A4578" t="s">
        <v>4597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H4579" s="1">
        <v>45214</v>
      </c>
    </row>
    <row r="4580" spans="1:8" x14ac:dyDescent="0.35">
      <c r="A4580" t="s">
        <v>4599</v>
      </c>
      <c r="B4580" t="s">
        <v>19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4600</v>
      </c>
      <c r="B4581" t="s">
        <v>17</v>
      </c>
      <c r="C4581">
        <v>4</v>
      </c>
      <c r="D4581">
        <v>1</v>
      </c>
      <c r="E4581">
        <v>4</v>
      </c>
      <c r="G4581" t="s">
        <v>15</v>
      </c>
      <c r="H4581" s="1">
        <v>45278</v>
      </c>
    </row>
    <row r="4582" spans="1:8" x14ac:dyDescent="0.35">
      <c r="A4582" t="s">
        <v>4601</v>
      </c>
      <c r="B4582" t="s">
        <v>23</v>
      </c>
      <c r="C4582">
        <v>1</v>
      </c>
      <c r="D4582">
        <v>4</v>
      </c>
      <c r="E4582">
        <v>4</v>
      </c>
      <c r="G4582" t="s">
        <v>15</v>
      </c>
      <c r="H4582" s="1">
        <v>45120</v>
      </c>
    </row>
    <row r="4583" spans="1:8" x14ac:dyDescent="0.35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4604</v>
      </c>
      <c r="B4585" t="s">
        <v>37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4605</v>
      </c>
      <c r="B4586" t="s">
        <v>23</v>
      </c>
      <c r="C4586">
        <v>2</v>
      </c>
      <c r="D4586">
        <v>4</v>
      </c>
      <c r="E4586">
        <v>8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</row>
    <row r="4588" spans="1:8" x14ac:dyDescent="0.35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</row>
    <row r="4589" spans="1:8" x14ac:dyDescent="0.35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H4590" s="1">
        <v>45203</v>
      </c>
    </row>
    <row r="4591" spans="1:8" x14ac:dyDescent="0.35">
      <c r="A4591" t="s">
        <v>4610</v>
      </c>
      <c r="B4591" t="s">
        <v>26</v>
      </c>
      <c r="C4591">
        <v>3</v>
      </c>
      <c r="D4591">
        <v>4</v>
      </c>
      <c r="E4591">
        <v>12</v>
      </c>
      <c r="H4591" s="1">
        <v>45150</v>
      </c>
    </row>
    <row r="4592" spans="1:8" x14ac:dyDescent="0.35">
      <c r="A4592" t="s">
        <v>4611</v>
      </c>
      <c r="B4592" t="s">
        <v>9</v>
      </c>
      <c r="C4592">
        <v>4</v>
      </c>
      <c r="D4592">
        <v>2</v>
      </c>
      <c r="E4592">
        <v>8</v>
      </c>
      <c r="H4592" s="1">
        <v>45015</v>
      </c>
    </row>
    <row r="4593" spans="1:8" x14ac:dyDescent="0.35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4613</v>
      </c>
      <c r="B4594" t="s">
        <v>13</v>
      </c>
      <c r="C4594">
        <v>2</v>
      </c>
      <c r="D4594">
        <v>3</v>
      </c>
      <c r="E4594">
        <v>6</v>
      </c>
      <c r="G4594" t="s">
        <v>11</v>
      </c>
      <c r="H4594" s="1">
        <v>45018</v>
      </c>
    </row>
    <row r="4595" spans="1:8" x14ac:dyDescent="0.35">
      <c r="A4595" t="s">
        <v>4614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4615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4616</v>
      </c>
      <c r="B4597" t="s">
        <v>19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4617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4619</v>
      </c>
      <c r="B4600" t="s">
        <v>63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4620</v>
      </c>
      <c r="B4601" t="s">
        <v>23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4621</v>
      </c>
      <c r="B4602" t="s">
        <v>37</v>
      </c>
      <c r="C4602">
        <v>2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4622</v>
      </c>
      <c r="B4603" t="s">
        <v>9</v>
      </c>
      <c r="C4603">
        <v>5</v>
      </c>
      <c r="D4603">
        <v>2</v>
      </c>
      <c r="E4603">
        <v>10</v>
      </c>
      <c r="H4603" s="1">
        <v>45010</v>
      </c>
    </row>
    <row r="4604" spans="1:8" x14ac:dyDescent="0.35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H4605" s="1">
        <v>44991</v>
      </c>
    </row>
    <row r="4606" spans="1:8" x14ac:dyDescent="0.35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</row>
    <row r="4607" spans="1:8" x14ac:dyDescent="0.35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H4609" s="1">
        <v>45093</v>
      </c>
    </row>
    <row r="4610" spans="1:8" x14ac:dyDescent="0.35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</row>
    <row r="4611" spans="1:8" x14ac:dyDescent="0.35">
      <c r="A4611" t="s">
        <v>4630</v>
      </c>
      <c r="C4611">
        <v>1</v>
      </c>
      <c r="D4611">
        <v>1</v>
      </c>
      <c r="E4611">
        <v>1</v>
      </c>
      <c r="G4611" t="s">
        <v>11</v>
      </c>
      <c r="H4611" s="1">
        <v>45054</v>
      </c>
    </row>
    <row r="4612" spans="1:8" x14ac:dyDescent="0.35">
      <c r="A4612" t="s">
        <v>4631</v>
      </c>
      <c r="B4612" t="s">
        <v>37</v>
      </c>
      <c r="C4612">
        <v>4</v>
      </c>
      <c r="D4612">
        <v>3</v>
      </c>
      <c r="E4612">
        <v>12</v>
      </c>
      <c r="H4612" s="1">
        <v>44948</v>
      </c>
    </row>
    <row r="4613" spans="1:8" x14ac:dyDescent="0.35">
      <c r="A4613" t="s">
        <v>4632</v>
      </c>
      <c r="B4613" t="s">
        <v>26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4635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4637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4638</v>
      </c>
      <c r="B4619" t="s">
        <v>26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H4621" s="1">
        <v>45244</v>
      </c>
    </row>
    <row r="4622" spans="1:8" x14ac:dyDescent="0.35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4642</v>
      </c>
      <c r="C4623">
        <v>2</v>
      </c>
      <c r="D4623">
        <v>3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4643</v>
      </c>
      <c r="B4624" t="s">
        <v>23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4645</v>
      </c>
      <c r="B4626" t="s">
        <v>63</v>
      </c>
      <c r="C4626">
        <v>4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</row>
    <row r="4628" spans="1:8" x14ac:dyDescent="0.35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</row>
    <row r="4629" spans="1:8" x14ac:dyDescent="0.35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H4629" s="1">
        <v>44953</v>
      </c>
    </row>
    <row r="4630" spans="1:8" x14ac:dyDescent="0.35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</row>
    <row r="4632" spans="1:8" x14ac:dyDescent="0.35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4652</v>
      </c>
      <c r="B4633" t="s">
        <v>37</v>
      </c>
      <c r="C4633">
        <v>2</v>
      </c>
      <c r="D4633">
        <v>3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4653</v>
      </c>
      <c r="B4634" t="s">
        <v>26</v>
      </c>
      <c r="C4634">
        <v>5</v>
      </c>
      <c r="D4634">
        <v>4</v>
      </c>
      <c r="E4634">
        <v>20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H4635" s="1">
        <v>45064</v>
      </c>
    </row>
    <row r="4636" spans="1:8" x14ac:dyDescent="0.35">
      <c r="A4636" t="s">
        <v>4655</v>
      </c>
      <c r="C4636">
        <v>2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</row>
    <row r="4638" spans="1:8" x14ac:dyDescent="0.35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4659</v>
      </c>
      <c r="B4640" t="s">
        <v>17</v>
      </c>
      <c r="C4640">
        <v>4</v>
      </c>
      <c r="D4640">
        <v>1</v>
      </c>
      <c r="E4640">
        <v>4</v>
      </c>
      <c r="H4640" s="1">
        <v>44935</v>
      </c>
    </row>
    <row r="4641" spans="1:8" x14ac:dyDescent="0.35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</row>
    <row r="4642" spans="1:8" x14ac:dyDescent="0.35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4662</v>
      </c>
      <c r="B4643" t="s">
        <v>9</v>
      </c>
      <c r="C4643">
        <v>2</v>
      </c>
      <c r="D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4663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4664</v>
      </c>
      <c r="B4645" t="s">
        <v>26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</row>
    <row r="4647" spans="1:8" x14ac:dyDescent="0.35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4670</v>
      </c>
      <c r="C4651">
        <v>1</v>
      </c>
      <c r="D4651">
        <v>3</v>
      </c>
      <c r="E4651">
        <v>3</v>
      </c>
      <c r="G4651" t="s">
        <v>15</v>
      </c>
      <c r="H4651" s="1">
        <v>45201</v>
      </c>
    </row>
    <row r="4652" spans="1:8" x14ac:dyDescent="0.35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4672</v>
      </c>
      <c r="C4653">
        <v>3</v>
      </c>
      <c r="D4653">
        <v>3</v>
      </c>
      <c r="E4653">
        <v>9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H4654" s="1">
        <v>45182</v>
      </c>
    </row>
    <row r="4655" spans="1:8" x14ac:dyDescent="0.35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H4655" s="1">
        <v>44954</v>
      </c>
    </row>
    <row r="4656" spans="1:8" x14ac:dyDescent="0.35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4676</v>
      </c>
      <c r="B4657" t="s">
        <v>9</v>
      </c>
      <c r="C4657">
        <v>2</v>
      </c>
      <c r="D4657">
        <v>2</v>
      </c>
      <c r="E4657">
        <v>4</v>
      </c>
      <c r="H4657" s="1">
        <v>45147</v>
      </c>
    </row>
    <row r="4658" spans="1:8" x14ac:dyDescent="0.35">
      <c r="A4658" t="s">
        <v>4677</v>
      </c>
      <c r="C4658">
        <v>3</v>
      </c>
      <c r="D4658">
        <v>3</v>
      </c>
      <c r="E4658">
        <v>9</v>
      </c>
      <c r="H4658" s="1">
        <v>45013</v>
      </c>
    </row>
    <row r="4659" spans="1:8" x14ac:dyDescent="0.35">
      <c r="A4659" t="s">
        <v>4678</v>
      </c>
      <c r="B4659" t="s">
        <v>26</v>
      </c>
      <c r="C4659">
        <v>3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4679</v>
      </c>
      <c r="B4660" t="s">
        <v>37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4680</v>
      </c>
      <c r="B4661" t="s">
        <v>63</v>
      </c>
      <c r="C4661">
        <v>2</v>
      </c>
      <c r="D4661">
        <v>1.5</v>
      </c>
      <c r="E4661">
        <v>3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H4666" s="1">
        <v>45161</v>
      </c>
    </row>
    <row r="4667" spans="1:8" x14ac:dyDescent="0.35">
      <c r="A4667" t="s">
        <v>4686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4689</v>
      </c>
      <c r="B4670" t="s">
        <v>19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4690</v>
      </c>
      <c r="B4671" t="s">
        <v>23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4691</v>
      </c>
      <c r="B4672" t="s">
        <v>37</v>
      </c>
      <c r="C4672">
        <v>5</v>
      </c>
      <c r="D4672">
        <v>3</v>
      </c>
      <c r="E4672">
        <v>15</v>
      </c>
      <c r="G4672" t="s">
        <v>11</v>
      </c>
      <c r="H4672" s="1">
        <v>45097</v>
      </c>
    </row>
    <row r="4673" spans="1:8" x14ac:dyDescent="0.35">
      <c r="A4673" t="s">
        <v>4692</v>
      </c>
      <c r="B4673" t="s">
        <v>26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4693</v>
      </c>
      <c r="B4674" t="s">
        <v>9</v>
      </c>
      <c r="C4674">
        <v>3</v>
      </c>
      <c r="D4674">
        <v>2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4694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4695</v>
      </c>
      <c r="B4676" t="s">
        <v>23</v>
      </c>
      <c r="C4676">
        <v>3</v>
      </c>
      <c r="D4676">
        <v>4</v>
      </c>
      <c r="E4676">
        <v>12</v>
      </c>
      <c r="F4676" t="s">
        <v>10</v>
      </c>
      <c r="H4676" s="1">
        <v>45128</v>
      </c>
    </row>
    <row r="4677" spans="1:8" x14ac:dyDescent="0.35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4698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</row>
    <row r="4681" spans="1:8" x14ac:dyDescent="0.35">
      <c r="A4681" t="s">
        <v>4700</v>
      </c>
      <c r="B4681" t="s">
        <v>37</v>
      </c>
      <c r="C4681">
        <v>1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</row>
    <row r="4682" spans="1:8" x14ac:dyDescent="0.35">
      <c r="A4682" t="s">
        <v>4701</v>
      </c>
      <c r="B4682" t="s">
        <v>23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4702</v>
      </c>
      <c r="B4683" t="s">
        <v>63</v>
      </c>
      <c r="C4683">
        <v>4</v>
      </c>
      <c r="D4683">
        <v>1.5</v>
      </c>
      <c r="E4683">
        <v>6</v>
      </c>
      <c r="H4683" s="1">
        <v>45185</v>
      </c>
    </row>
    <row r="4684" spans="1:8" x14ac:dyDescent="0.35">
      <c r="A4684" t="s">
        <v>4703</v>
      </c>
      <c r="B4684" t="s">
        <v>26</v>
      </c>
      <c r="C4684">
        <v>1</v>
      </c>
      <c r="D4684">
        <v>4</v>
      </c>
      <c r="E4684">
        <v>4</v>
      </c>
      <c r="G4684" t="s">
        <v>11</v>
      </c>
      <c r="H4684" s="1">
        <v>45207</v>
      </c>
    </row>
    <row r="4685" spans="1:8" x14ac:dyDescent="0.35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4706</v>
      </c>
      <c r="B4687" t="s">
        <v>17</v>
      </c>
      <c r="C4687">
        <v>1</v>
      </c>
      <c r="D4687">
        <v>1</v>
      </c>
      <c r="E4687">
        <v>1</v>
      </c>
      <c r="H4687" s="1">
        <v>45097</v>
      </c>
    </row>
    <row r="4688" spans="1:8" x14ac:dyDescent="0.35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4708</v>
      </c>
      <c r="B4689" t="s">
        <v>17</v>
      </c>
      <c r="C4689">
        <v>1</v>
      </c>
      <c r="D4689">
        <v>1</v>
      </c>
      <c r="E4689">
        <v>1</v>
      </c>
      <c r="F4689" t="s">
        <v>21</v>
      </c>
      <c r="G4689" t="s">
        <v>15</v>
      </c>
      <c r="H4689" s="1">
        <v>45035</v>
      </c>
    </row>
    <row r="4690" spans="1:8" x14ac:dyDescent="0.35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</row>
    <row r="4691" spans="1:8" x14ac:dyDescent="0.35">
      <c r="A4691" t="s">
        <v>4710</v>
      </c>
      <c r="B4691" t="s">
        <v>23</v>
      </c>
      <c r="C4691">
        <v>3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4712</v>
      </c>
      <c r="B4693" t="s">
        <v>37</v>
      </c>
      <c r="C4693">
        <v>3</v>
      </c>
      <c r="D4693">
        <v>3</v>
      </c>
      <c r="E4693">
        <v>9</v>
      </c>
      <c r="H4693" s="1">
        <v>45001</v>
      </c>
    </row>
    <row r="4694" spans="1:8" x14ac:dyDescent="0.35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H4695" s="1">
        <v>45083</v>
      </c>
    </row>
    <row r="4696" spans="1:8" x14ac:dyDescent="0.35">
      <c r="A4696" t="s">
        <v>4715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</row>
    <row r="4698" spans="1:8" x14ac:dyDescent="0.35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4718</v>
      </c>
      <c r="B4699" t="s">
        <v>26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4721</v>
      </c>
      <c r="B4702" t="s">
        <v>19</v>
      </c>
      <c r="C4702">
        <v>1</v>
      </c>
      <c r="D4702">
        <v>5</v>
      </c>
      <c r="E4702">
        <v>5</v>
      </c>
      <c r="H4702" s="1">
        <v>45169</v>
      </c>
    </row>
    <row r="4703" spans="1:8" x14ac:dyDescent="0.35">
      <c r="A4703" t="s">
        <v>4722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</row>
    <row r="4704" spans="1:8" x14ac:dyDescent="0.35">
      <c r="A4704" t="s">
        <v>4723</v>
      </c>
      <c r="B4704" t="s">
        <v>26</v>
      </c>
      <c r="C4704">
        <v>3</v>
      </c>
      <c r="D4704">
        <v>4</v>
      </c>
      <c r="E4704">
        <v>12</v>
      </c>
      <c r="F4704" t="s">
        <v>10</v>
      </c>
      <c r="H4704" s="1">
        <v>45265</v>
      </c>
    </row>
    <row r="4705" spans="1:8" x14ac:dyDescent="0.35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4725</v>
      </c>
      <c r="B4706" t="s">
        <v>19</v>
      </c>
      <c r="C4706">
        <v>3</v>
      </c>
      <c r="D4706">
        <v>5</v>
      </c>
      <c r="E4706">
        <v>15</v>
      </c>
      <c r="G4706" t="s">
        <v>15</v>
      </c>
    </row>
    <row r="4707" spans="1:8" x14ac:dyDescent="0.35">
      <c r="A4707" t="s">
        <v>4726</v>
      </c>
      <c r="B4707" t="s">
        <v>19</v>
      </c>
      <c r="C4707">
        <v>4</v>
      </c>
      <c r="D4707">
        <v>5</v>
      </c>
      <c r="E4707">
        <v>20</v>
      </c>
      <c r="H4707" s="1">
        <v>44963</v>
      </c>
    </row>
    <row r="4708" spans="1:8" x14ac:dyDescent="0.35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H4708" s="1">
        <v>45128</v>
      </c>
    </row>
    <row r="4709" spans="1:8" x14ac:dyDescent="0.35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H4711" s="1">
        <v>45120</v>
      </c>
    </row>
    <row r="4712" spans="1:8" x14ac:dyDescent="0.35">
      <c r="A4712" t="s">
        <v>4731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</row>
    <row r="4713" spans="1:8" x14ac:dyDescent="0.35">
      <c r="A4713" t="s">
        <v>4732</v>
      </c>
      <c r="B4713" t="s">
        <v>13</v>
      </c>
      <c r="C4713">
        <v>5</v>
      </c>
      <c r="D4713">
        <v>3</v>
      </c>
      <c r="E4713">
        <v>15</v>
      </c>
      <c r="G4713" t="s">
        <v>15</v>
      </c>
    </row>
    <row r="4714" spans="1:8" x14ac:dyDescent="0.35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</row>
    <row r="4716" spans="1:8" x14ac:dyDescent="0.35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4737</v>
      </c>
      <c r="B4718" t="s">
        <v>23</v>
      </c>
      <c r="C4718">
        <v>2</v>
      </c>
      <c r="D4718">
        <v>4</v>
      </c>
      <c r="E4718">
        <v>8</v>
      </c>
      <c r="H4718" s="1">
        <v>45278</v>
      </c>
    </row>
    <row r="4719" spans="1:8" x14ac:dyDescent="0.35">
      <c r="A4719" t="s">
        <v>4738</v>
      </c>
      <c r="B4719" t="s">
        <v>19</v>
      </c>
      <c r="C4719">
        <v>1</v>
      </c>
      <c r="D4719">
        <v>5</v>
      </c>
      <c r="E4719">
        <v>5</v>
      </c>
      <c r="H4719" s="1">
        <v>44972</v>
      </c>
    </row>
    <row r="4720" spans="1:8" x14ac:dyDescent="0.35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4742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4743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H4725" s="1">
        <v>45214</v>
      </c>
    </row>
    <row r="4726" spans="1:8" x14ac:dyDescent="0.35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</row>
    <row r="4727" spans="1:8" x14ac:dyDescent="0.35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H4730" s="1">
        <v>44934</v>
      </c>
    </row>
    <row r="4731" spans="1:8" x14ac:dyDescent="0.35">
      <c r="A4731" t="s">
        <v>4750</v>
      </c>
      <c r="B4731" t="s">
        <v>13</v>
      </c>
      <c r="C4731">
        <v>1</v>
      </c>
      <c r="D4731">
        <v>3</v>
      </c>
      <c r="E4731">
        <v>3</v>
      </c>
      <c r="G4731" t="s">
        <v>11</v>
      </c>
      <c r="H4731" s="1">
        <v>45018</v>
      </c>
    </row>
    <row r="4732" spans="1:8" x14ac:dyDescent="0.35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4752</v>
      </c>
      <c r="B4733" t="s">
        <v>63</v>
      </c>
      <c r="C4733">
        <v>3</v>
      </c>
      <c r="D4733">
        <v>1.5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4753</v>
      </c>
      <c r="B4734" t="s">
        <v>26</v>
      </c>
      <c r="C4734">
        <v>4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H4735" s="1">
        <v>45094</v>
      </c>
    </row>
    <row r="4736" spans="1:8" x14ac:dyDescent="0.35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</row>
    <row r="4737" spans="1:8" x14ac:dyDescent="0.35">
      <c r="A4737" t="s">
        <v>4756</v>
      </c>
      <c r="C4737">
        <v>3</v>
      </c>
      <c r="D4737">
        <v>5</v>
      </c>
      <c r="E4737">
        <v>15</v>
      </c>
    </row>
    <row r="4738" spans="1:8" x14ac:dyDescent="0.35">
      <c r="A4738" t="s">
        <v>4757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</row>
    <row r="4739" spans="1:8" x14ac:dyDescent="0.35">
      <c r="A4739" t="s">
        <v>4758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4761</v>
      </c>
      <c r="B4742" t="s">
        <v>63</v>
      </c>
      <c r="C4742">
        <v>1</v>
      </c>
      <c r="D4742">
        <v>1.5</v>
      </c>
      <c r="E4742">
        <v>1.5</v>
      </c>
      <c r="H4742" s="1">
        <v>45118</v>
      </c>
    </row>
    <row r="4743" spans="1:8" x14ac:dyDescent="0.35">
      <c r="A4743" t="s">
        <v>4762</v>
      </c>
      <c r="B4743" t="s">
        <v>19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4763</v>
      </c>
      <c r="B4744" t="s">
        <v>37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4766</v>
      </c>
      <c r="B4747" t="s">
        <v>37</v>
      </c>
      <c r="C4747">
        <v>2</v>
      </c>
      <c r="D4747">
        <v>3</v>
      </c>
      <c r="E4747">
        <v>6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4767</v>
      </c>
      <c r="B4748" t="s">
        <v>63</v>
      </c>
      <c r="C4748">
        <v>5</v>
      </c>
      <c r="D4748">
        <v>1.5</v>
      </c>
      <c r="E4748">
        <v>7.5</v>
      </c>
      <c r="H4748" s="1">
        <v>45037</v>
      </c>
    </row>
    <row r="4749" spans="1:8" x14ac:dyDescent="0.35">
      <c r="A4749" t="s">
        <v>4768</v>
      </c>
      <c r="B4749" t="s">
        <v>63</v>
      </c>
      <c r="C4749">
        <v>1</v>
      </c>
      <c r="D4749">
        <v>1.5</v>
      </c>
      <c r="E4749">
        <v>1.5</v>
      </c>
      <c r="G4749" t="s">
        <v>11</v>
      </c>
      <c r="H4749" s="1">
        <v>45247</v>
      </c>
    </row>
    <row r="4750" spans="1:8" x14ac:dyDescent="0.35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</row>
    <row r="4751" spans="1:8" x14ac:dyDescent="0.35">
      <c r="A4751" t="s">
        <v>4770</v>
      </c>
      <c r="B4751" t="s">
        <v>19</v>
      </c>
      <c r="C4751">
        <v>3</v>
      </c>
      <c r="D4751">
        <v>5</v>
      </c>
      <c r="E4751">
        <v>15</v>
      </c>
      <c r="H4751" s="1">
        <v>45091</v>
      </c>
    </row>
    <row r="4752" spans="1:8" x14ac:dyDescent="0.35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4772</v>
      </c>
      <c r="B4753" t="s">
        <v>19</v>
      </c>
      <c r="C4753">
        <v>5</v>
      </c>
      <c r="D4753">
        <v>5</v>
      </c>
      <c r="E4753">
        <v>25</v>
      </c>
      <c r="F4753" t="s">
        <v>21</v>
      </c>
      <c r="G4753" t="s">
        <v>11</v>
      </c>
      <c r="H4753" s="1">
        <v>45028</v>
      </c>
    </row>
    <row r="4754" spans="1:8" x14ac:dyDescent="0.35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4774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4775</v>
      </c>
      <c r="B4756" t="s">
        <v>63</v>
      </c>
      <c r="C4756">
        <v>1</v>
      </c>
      <c r="D4756">
        <v>1.5</v>
      </c>
      <c r="E4756">
        <v>1.5</v>
      </c>
      <c r="H4756" s="1">
        <v>45023</v>
      </c>
    </row>
    <row r="4757" spans="1:8" x14ac:dyDescent="0.35">
      <c r="A4757" t="s">
        <v>4776</v>
      </c>
      <c r="B4757" t="s">
        <v>23</v>
      </c>
      <c r="C4757">
        <v>4</v>
      </c>
      <c r="D4757">
        <v>4</v>
      </c>
      <c r="E4757">
        <v>16</v>
      </c>
    </row>
    <row r="4758" spans="1:8" x14ac:dyDescent="0.35">
      <c r="A4758" t="s">
        <v>4777</v>
      </c>
      <c r="B4758" t="s">
        <v>63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</row>
    <row r="4760" spans="1:8" x14ac:dyDescent="0.35">
      <c r="A4760" t="s">
        <v>4779</v>
      </c>
      <c r="B4760" t="s">
        <v>37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H4761" s="1">
        <v>45040</v>
      </c>
    </row>
    <row r="4762" spans="1:8" x14ac:dyDescent="0.35">
      <c r="A4762" t="s">
        <v>4781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</row>
    <row r="4766" spans="1:8" x14ac:dyDescent="0.35">
      <c r="A4766" t="s">
        <v>4785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4787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H4769" s="1">
        <v>45081</v>
      </c>
    </row>
    <row r="4770" spans="1:8" x14ac:dyDescent="0.35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4790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</row>
    <row r="4775" spans="1:8" x14ac:dyDescent="0.35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</row>
    <row r="4776" spans="1:8" x14ac:dyDescent="0.35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</row>
    <row r="4778" spans="1:8" x14ac:dyDescent="0.35">
      <c r="A4778" t="s">
        <v>4797</v>
      </c>
      <c r="B4778" t="s">
        <v>17</v>
      </c>
      <c r="C4778">
        <v>4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4798</v>
      </c>
      <c r="B4779" t="s">
        <v>13</v>
      </c>
      <c r="C4779">
        <v>1</v>
      </c>
      <c r="D4779">
        <v>3</v>
      </c>
      <c r="E4779">
        <v>3</v>
      </c>
      <c r="F4779" t="s">
        <v>21</v>
      </c>
      <c r="G4779" t="s">
        <v>11</v>
      </c>
      <c r="H4779" s="1">
        <v>45270</v>
      </c>
    </row>
    <row r="4780" spans="1:8" x14ac:dyDescent="0.35">
      <c r="A4780" t="s">
        <v>4799</v>
      </c>
      <c r="B4780" t="s">
        <v>23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H4781" s="1">
        <v>45084</v>
      </c>
    </row>
    <row r="4782" spans="1:8" x14ac:dyDescent="0.35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</row>
    <row r="4783" spans="1:8" x14ac:dyDescent="0.35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</row>
    <row r="4784" spans="1:8" x14ac:dyDescent="0.35">
      <c r="A4784" t="s">
        <v>4803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H4785" s="1">
        <v>45009</v>
      </c>
    </row>
    <row r="4786" spans="1:8" x14ac:dyDescent="0.35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4806</v>
      </c>
      <c r="B4787" t="s">
        <v>37</v>
      </c>
      <c r="C4787">
        <v>5</v>
      </c>
      <c r="D4787">
        <v>3</v>
      </c>
      <c r="E4787">
        <v>15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4807</v>
      </c>
      <c r="B4788" t="s">
        <v>13</v>
      </c>
      <c r="C4788">
        <v>3</v>
      </c>
      <c r="D4788">
        <v>3</v>
      </c>
      <c r="E4788">
        <v>9</v>
      </c>
      <c r="G4788" t="s">
        <v>15</v>
      </c>
      <c r="H4788" s="1">
        <v>45006</v>
      </c>
    </row>
    <row r="4789" spans="1:8" x14ac:dyDescent="0.35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4809</v>
      </c>
      <c r="B4790" t="s">
        <v>63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</row>
    <row r="4792" spans="1:8" x14ac:dyDescent="0.35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H4792" s="1">
        <v>45219</v>
      </c>
    </row>
    <row r="4793" spans="1:8" x14ac:dyDescent="0.35">
      <c r="A4793" t="s">
        <v>4812</v>
      </c>
      <c r="B4793" t="s">
        <v>19</v>
      </c>
      <c r="C4793">
        <v>3</v>
      </c>
      <c r="D4793">
        <v>5</v>
      </c>
      <c r="E4793">
        <v>15</v>
      </c>
      <c r="G4793" t="s">
        <v>11</v>
      </c>
      <c r="H4793" s="1">
        <v>45046</v>
      </c>
    </row>
    <row r="4794" spans="1:8" x14ac:dyDescent="0.35">
      <c r="A4794" t="s">
        <v>4813</v>
      </c>
      <c r="B4794" t="s">
        <v>19</v>
      </c>
      <c r="C4794">
        <v>2</v>
      </c>
      <c r="D4794">
        <v>5</v>
      </c>
      <c r="E4794">
        <v>10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</row>
    <row r="4796" spans="1:8" x14ac:dyDescent="0.35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4819</v>
      </c>
      <c r="B4800" t="s">
        <v>26</v>
      </c>
      <c r="C4800">
        <v>5</v>
      </c>
      <c r="D4800">
        <v>4</v>
      </c>
      <c r="E4800">
        <v>20</v>
      </c>
      <c r="F4800" t="s">
        <v>10</v>
      </c>
      <c r="H4800" s="1">
        <v>45197</v>
      </c>
    </row>
    <row r="4801" spans="1:8" x14ac:dyDescent="0.35">
      <c r="A4801" t="s">
        <v>4820</v>
      </c>
      <c r="B4801" t="s">
        <v>37</v>
      </c>
      <c r="C4801">
        <v>3</v>
      </c>
      <c r="D4801">
        <v>3</v>
      </c>
      <c r="E4801">
        <v>9</v>
      </c>
      <c r="G4801" t="s">
        <v>15</v>
      </c>
      <c r="H4801" s="1">
        <v>45235</v>
      </c>
    </row>
    <row r="4802" spans="1:8" x14ac:dyDescent="0.35">
      <c r="A4802" t="s">
        <v>4821</v>
      </c>
      <c r="B4802" t="s">
        <v>9</v>
      </c>
      <c r="C4802">
        <v>3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4822</v>
      </c>
      <c r="B4803" t="s">
        <v>37</v>
      </c>
      <c r="C4803">
        <v>1</v>
      </c>
      <c r="D4803">
        <v>3</v>
      </c>
      <c r="E4803">
        <v>3</v>
      </c>
      <c r="H4803" s="1">
        <v>45114</v>
      </c>
    </row>
    <row r="4804" spans="1:8" x14ac:dyDescent="0.35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4825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4827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</row>
    <row r="4809" spans="1:8" x14ac:dyDescent="0.35">
      <c r="A4809" t="s">
        <v>4828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</row>
    <row r="4810" spans="1:8" x14ac:dyDescent="0.35">
      <c r="A4810" t="s">
        <v>4829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</row>
    <row r="4813" spans="1:8" x14ac:dyDescent="0.35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H4814" s="1">
        <v>45094</v>
      </c>
    </row>
    <row r="4815" spans="1:8" x14ac:dyDescent="0.35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H4816" s="1">
        <v>45131</v>
      </c>
    </row>
    <row r="4817" spans="1:8" x14ac:dyDescent="0.35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4837</v>
      </c>
      <c r="B4818" t="s">
        <v>63</v>
      </c>
      <c r="C4818">
        <v>5</v>
      </c>
      <c r="D4818">
        <v>1.5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4838</v>
      </c>
      <c r="B4819" t="s">
        <v>13</v>
      </c>
      <c r="C4819">
        <v>1</v>
      </c>
      <c r="D4819">
        <v>3</v>
      </c>
      <c r="E4819">
        <v>3</v>
      </c>
      <c r="G4819" t="s">
        <v>15</v>
      </c>
      <c r="H4819" s="1">
        <v>44999</v>
      </c>
    </row>
    <row r="4820" spans="1:8" x14ac:dyDescent="0.35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4840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</row>
    <row r="4824" spans="1:8" x14ac:dyDescent="0.35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</row>
    <row r="4825" spans="1:8" x14ac:dyDescent="0.35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4845</v>
      </c>
      <c r="B4826" t="s">
        <v>23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H4830" s="1">
        <v>45255</v>
      </c>
    </row>
    <row r="4831" spans="1:8" x14ac:dyDescent="0.35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4851</v>
      </c>
      <c r="B4832" t="s">
        <v>63</v>
      </c>
      <c r="C4832">
        <v>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4852</v>
      </c>
      <c r="C4833">
        <v>2</v>
      </c>
      <c r="D4833">
        <v>4</v>
      </c>
      <c r="E4833">
        <v>8</v>
      </c>
      <c r="F4833" t="s">
        <v>21</v>
      </c>
      <c r="H4833" s="1">
        <v>45136</v>
      </c>
    </row>
    <row r="4834" spans="1:8" x14ac:dyDescent="0.35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H4834" s="1">
        <v>45133</v>
      </c>
    </row>
    <row r="4835" spans="1:8" x14ac:dyDescent="0.35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H4837" s="1">
        <v>45083</v>
      </c>
    </row>
    <row r="4838" spans="1:8" x14ac:dyDescent="0.35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H4838" s="1">
        <v>45129</v>
      </c>
    </row>
    <row r="4839" spans="1:8" x14ac:dyDescent="0.35">
      <c r="A4839" t="s">
        <v>4858</v>
      </c>
      <c r="B4839" t="s">
        <v>23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4859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4862</v>
      </c>
      <c r="B4843" t="s">
        <v>37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4863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4864</v>
      </c>
      <c r="B4845" t="s">
        <v>63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</row>
    <row r="4847" spans="1:8" x14ac:dyDescent="0.35">
      <c r="A4847" t="s">
        <v>4866</v>
      </c>
      <c r="B4847" t="s">
        <v>19</v>
      </c>
      <c r="C4847">
        <v>4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4867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H4849" s="1">
        <v>45133</v>
      </c>
    </row>
    <row r="4850" spans="1:8" x14ac:dyDescent="0.35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H4852" s="1">
        <v>45128</v>
      </c>
    </row>
    <row r="4853" spans="1:8" x14ac:dyDescent="0.35">
      <c r="A4853" t="s">
        <v>4872</v>
      </c>
      <c r="B4853" t="s">
        <v>37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4873</v>
      </c>
      <c r="B4854" t="s">
        <v>26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4874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4877</v>
      </c>
      <c r="B4858" t="s">
        <v>13</v>
      </c>
      <c r="C4858">
        <v>4</v>
      </c>
      <c r="D4858">
        <v>3</v>
      </c>
      <c r="E4858">
        <v>12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H4859" s="1">
        <v>45257</v>
      </c>
    </row>
    <row r="4860" spans="1:8" x14ac:dyDescent="0.35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4883</v>
      </c>
      <c r="B4864" t="s">
        <v>9</v>
      </c>
      <c r="C4864">
        <v>1</v>
      </c>
      <c r="D4864">
        <v>2</v>
      </c>
      <c r="E4864">
        <v>2</v>
      </c>
      <c r="H4864" s="1">
        <v>45215</v>
      </c>
    </row>
    <row r="4865" spans="1:8" x14ac:dyDescent="0.35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4885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H4868" s="1">
        <v>45034</v>
      </c>
    </row>
    <row r="4869" spans="1:8" x14ac:dyDescent="0.35">
      <c r="A4869" t="s">
        <v>4888</v>
      </c>
      <c r="B4869" t="s">
        <v>23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4889</v>
      </c>
      <c r="B4870" t="s">
        <v>26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4891</v>
      </c>
      <c r="B4872" t="s">
        <v>63</v>
      </c>
      <c r="C4872">
        <v>4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</row>
    <row r="4873" spans="1:8" x14ac:dyDescent="0.35">
      <c r="A4873" t="s">
        <v>4892</v>
      </c>
      <c r="B4873" t="s">
        <v>13</v>
      </c>
      <c r="C4873">
        <v>5</v>
      </c>
      <c r="D4873">
        <v>3</v>
      </c>
      <c r="E4873">
        <v>15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4893</v>
      </c>
      <c r="C4874">
        <v>3</v>
      </c>
      <c r="D4874">
        <v>3</v>
      </c>
      <c r="E4874">
        <v>9</v>
      </c>
      <c r="G4874" t="s">
        <v>15</v>
      </c>
      <c r="H4874" s="1">
        <v>45175</v>
      </c>
    </row>
    <row r="4875" spans="1:8" x14ac:dyDescent="0.35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H4876" s="1">
        <v>44938</v>
      </c>
    </row>
    <row r="4877" spans="1:8" x14ac:dyDescent="0.35">
      <c r="A4877" t="s">
        <v>4896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</row>
    <row r="4879" spans="1:8" x14ac:dyDescent="0.35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4902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4904</v>
      </c>
      <c r="B4885" t="s">
        <v>9</v>
      </c>
      <c r="C4885">
        <v>4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</row>
    <row r="4887" spans="1:8" x14ac:dyDescent="0.35">
      <c r="A4887" t="s">
        <v>4906</v>
      </c>
      <c r="B4887" t="s">
        <v>13</v>
      </c>
      <c r="C4887">
        <v>2</v>
      </c>
      <c r="D4887">
        <v>3</v>
      </c>
      <c r="E4887">
        <v>6</v>
      </c>
      <c r="H4887" s="1">
        <v>45030</v>
      </c>
    </row>
    <row r="4888" spans="1:8" x14ac:dyDescent="0.35">
      <c r="A4888" t="s">
        <v>4907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4909</v>
      </c>
      <c r="B4890" t="s">
        <v>37</v>
      </c>
      <c r="C4890">
        <v>4</v>
      </c>
      <c r="D4890">
        <v>3</v>
      </c>
      <c r="E4890">
        <v>12</v>
      </c>
      <c r="F4890" t="s">
        <v>21</v>
      </c>
      <c r="H4890" s="1">
        <v>45008</v>
      </c>
    </row>
    <row r="4891" spans="1:8" x14ac:dyDescent="0.35">
      <c r="A4891" t="s">
        <v>4910</v>
      </c>
      <c r="B4891" t="s">
        <v>37</v>
      </c>
      <c r="C4891">
        <v>1</v>
      </c>
      <c r="D4891">
        <v>3</v>
      </c>
      <c r="E4891">
        <v>3</v>
      </c>
      <c r="H4891" s="1">
        <v>44985</v>
      </c>
    </row>
    <row r="4892" spans="1:8" x14ac:dyDescent="0.35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H4892" s="1">
        <v>45190</v>
      </c>
    </row>
    <row r="4893" spans="1:8" x14ac:dyDescent="0.35">
      <c r="A4893" t="s">
        <v>4912</v>
      </c>
      <c r="B4893" t="s">
        <v>13</v>
      </c>
      <c r="C4893">
        <v>5</v>
      </c>
      <c r="D4893">
        <v>3</v>
      </c>
      <c r="E4893">
        <v>15</v>
      </c>
      <c r="H4893" s="1">
        <v>45073</v>
      </c>
    </row>
    <row r="4894" spans="1:8" x14ac:dyDescent="0.35">
      <c r="A4894" t="s">
        <v>4913</v>
      </c>
      <c r="B4894" t="s">
        <v>37</v>
      </c>
      <c r="C4894">
        <v>5</v>
      </c>
      <c r="D4894">
        <v>3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</row>
    <row r="4896" spans="1:8" x14ac:dyDescent="0.35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4917</v>
      </c>
      <c r="B4898" t="s">
        <v>19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4920</v>
      </c>
      <c r="B4901" t="s">
        <v>37</v>
      </c>
      <c r="C4901">
        <v>3</v>
      </c>
      <c r="D4901">
        <v>3</v>
      </c>
      <c r="E4901">
        <v>9</v>
      </c>
      <c r="H4901" s="1">
        <v>44983</v>
      </c>
    </row>
    <row r="4902" spans="1:8" x14ac:dyDescent="0.35">
      <c r="A4902" t="s">
        <v>4921</v>
      </c>
      <c r="B4902" t="s">
        <v>23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4922</v>
      </c>
      <c r="B4903" t="s">
        <v>37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4923</v>
      </c>
      <c r="B4904" t="s">
        <v>19</v>
      </c>
      <c r="C4904">
        <v>5</v>
      </c>
      <c r="D4904">
        <v>5</v>
      </c>
      <c r="E4904">
        <v>25</v>
      </c>
      <c r="H4904" s="1">
        <v>45230</v>
      </c>
    </row>
    <row r="4905" spans="1:8" x14ac:dyDescent="0.35">
      <c r="A4905" t="s">
        <v>4924</v>
      </c>
      <c r="B4905" t="s">
        <v>17</v>
      </c>
      <c r="C4905">
        <v>3</v>
      </c>
      <c r="D4905">
        <v>1</v>
      </c>
      <c r="E4905">
        <v>3</v>
      </c>
      <c r="H4905" s="1">
        <v>44962</v>
      </c>
    </row>
    <row r="4906" spans="1:8" x14ac:dyDescent="0.35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4926</v>
      </c>
      <c r="B4907" t="s">
        <v>26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4927</v>
      </c>
      <c r="C4908">
        <v>4</v>
      </c>
      <c r="D4908">
        <v>4</v>
      </c>
      <c r="E4908">
        <v>16</v>
      </c>
      <c r="G4908" t="s">
        <v>11</v>
      </c>
    </row>
    <row r="4909" spans="1:8" x14ac:dyDescent="0.35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</row>
    <row r="4910" spans="1:8" x14ac:dyDescent="0.35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4930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</row>
    <row r="4914" spans="1:8" x14ac:dyDescent="0.35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4935</v>
      </c>
      <c r="B4916" t="s">
        <v>26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4936</v>
      </c>
      <c r="C4917">
        <v>5</v>
      </c>
      <c r="D4917">
        <v>4</v>
      </c>
      <c r="E4917">
        <v>20</v>
      </c>
      <c r="F4917" t="s">
        <v>21</v>
      </c>
      <c r="G4917" t="s">
        <v>11</v>
      </c>
    </row>
    <row r="4918" spans="1:8" x14ac:dyDescent="0.35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</row>
    <row r="4919" spans="1:8" x14ac:dyDescent="0.35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</row>
    <row r="4920" spans="1:8" x14ac:dyDescent="0.35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</row>
    <row r="4923" spans="1:8" x14ac:dyDescent="0.35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4944</v>
      </c>
      <c r="B4925" t="s">
        <v>37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4945</v>
      </c>
      <c r="B4926" t="s">
        <v>17</v>
      </c>
      <c r="C4926">
        <v>5</v>
      </c>
      <c r="D4926">
        <v>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4948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</row>
    <row r="4931" spans="1:8" x14ac:dyDescent="0.35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</row>
    <row r="4933" spans="1:8" x14ac:dyDescent="0.35">
      <c r="A4933" t="s">
        <v>4952</v>
      </c>
      <c r="B4933" t="s">
        <v>17</v>
      </c>
      <c r="C4933">
        <v>1</v>
      </c>
      <c r="D4933">
        <v>1</v>
      </c>
      <c r="E4933">
        <v>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4955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4956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4958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4960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4961</v>
      </c>
      <c r="B4942" t="s">
        <v>19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4962</v>
      </c>
      <c r="B4943" t="s">
        <v>37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H4944" s="1">
        <v>45255</v>
      </c>
    </row>
    <row r="4945" spans="1:8" x14ac:dyDescent="0.35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</row>
    <row r="4948" spans="1:8" x14ac:dyDescent="0.35">
      <c r="A4948" t="s">
        <v>4967</v>
      </c>
      <c r="B4948" t="s">
        <v>26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4968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H4951" s="1">
        <v>44979</v>
      </c>
    </row>
    <row r="4952" spans="1:8" x14ac:dyDescent="0.35">
      <c r="A4952" t="s">
        <v>4971</v>
      </c>
      <c r="B4952" t="s">
        <v>23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4972</v>
      </c>
      <c r="B4953" t="s">
        <v>37</v>
      </c>
      <c r="C4953">
        <v>3</v>
      </c>
      <c r="D4953">
        <v>3</v>
      </c>
      <c r="E4953">
        <v>9</v>
      </c>
      <c r="H4953" s="1">
        <v>44940</v>
      </c>
    </row>
    <row r="4954" spans="1:8" x14ac:dyDescent="0.35">
      <c r="A4954" t="s">
        <v>4973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4974</v>
      </c>
      <c r="B4955" t="s">
        <v>26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4976</v>
      </c>
      <c r="B4957" t="s">
        <v>19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4978</v>
      </c>
      <c r="B4959" t="s">
        <v>63</v>
      </c>
      <c r="C4959">
        <v>4</v>
      </c>
      <c r="D4959">
        <v>1.5</v>
      </c>
      <c r="E4959">
        <v>6</v>
      </c>
      <c r="F4959" t="s">
        <v>14</v>
      </c>
      <c r="H4959" s="1">
        <v>45163</v>
      </c>
    </row>
    <row r="4960" spans="1:8" x14ac:dyDescent="0.35">
      <c r="A4960" t="s">
        <v>4979</v>
      </c>
      <c r="B4960" t="s">
        <v>23</v>
      </c>
      <c r="C4960">
        <v>5</v>
      </c>
      <c r="D4960">
        <v>4</v>
      </c>
      <c r="E4960">
        <v>20</v>
      </c>
      <c r="G4960" t="s">
        <v>11</v>
      </c>
      <c r="H4960" s="1">
        <v>45016</v>
      </c>
    </row>
    <row r="4961" spans="1:8" x14ac:dyDescent="0.35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</row>
    <row r="4962" spans="1:8" x14ac:dyDescent="0.35">
      <c r="A4962" t="s">
        <v>4981</v>
      </c>
      <c r="B4962" t="s">
        <v>37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4982</v>
      </c>
      <c r="B4963" t="s">
        <v>23</v>
      </c>
      <c r="C4963">
        <v>5</v>
      </c>
      <c r="D4963">
        <v>4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4984</v>
      </c>
      <c r="B4965" t="s">
        <v>26</v>
      </c>
      <c r="C4965">
        <v>5</v>
      </c>
      <c r="D4965">
        <v>4</v>
      </c>
      <c r="E4965">
        <v>20</v>
      </c>
      <c r="H4965" s="1">
        <v>45275</v>
      </c>
    </row>
    <row r="4966" spans="1:8" x14ac:dyDescent="0.35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</row>
    <row r="4967" spans="1:8" x14ac:dyDescent="0.35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</row>
    <row r="4968" spans="1:8" x14ac:dyDescent="0.35">
      <c r="A4968" t="s">
        <v>4987</v>
      </c>
      <c r="B4968" t="s">
        <v>63</v>
      </c>
      <c r="C4968">
        <v>2</v>
      </c>
      <c r="D4968">
        <v>1.5</v>
      </c>
      <c r="E4968">
        <v>3</v>
      </c>
      <c r="H4968" s="1">
        <v>45253</v>
      </c>
    </row>
    <row r="4969" spans="1:8" x14ac:dyDescent="0.35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</row>
    <row r="4970" spans="1:8" x14ac:dyDescent="0.35">
      <c r="A4970" t="s">
        <v>4989</v>
      </c>
      <c r="B4970" t="s">
        <v>37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4991</v>
      </c>
      <c r="B4972" t="s">
        <v>63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H4973" s="1">
        <v>45288</v>
      </c>
    </row>
    <row r="4974" spans="1:8" x14ac:dyDescent="0.35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</row>
    <row r="4975" spans="1:8" x14ac:dyDescent="0.35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4996</v>
      </c>
      <c r="B4977" t="s">
        <v>63</v>
      </c>
      <c r="C4977">
        <v>1</v>
      </c>
      <c r="D4977">
        <v>1.5</v>
      </c>
      <c r="E4977">
        <v>1.5</v>
      </c>
      <c r="H4977" s="1">
        <v>45173</v>
      </c>
    </row>
    <row r="4978" spans="1:8" x14ac:dyDescent="0.35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4999</v>
      </c>
      <c r="B4980" t="s">
        <v>19</v>
      </c>
      <c r="C4980">
        <v>5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5001</v>
      </c>
      <c r="B4982" t="s">
        <v>23</v>
      </c>
      <c r="C4982">
        <v>2</v>
      </c>
      <c r="D4982">
        <v>4</v>
      </c>
      <c r="E4982">
        <v>8</v>
      </c>
      <c r="H4982" s="1">
        <v>45166</v>
      </c>
    </row>
    <row r="4983" spans="1:8" x14ac:dyDescent="0.35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</row>
    <row r="4984" spans="1:8" x14ac:dyDescent="0.35">
      <c r="A4984" t="s">
        <v>5003</v>
      </c>
      <c r="B4984" t="s">
        <v>13</v>
      </c>
      <c r="C4984">
        <v>3</v>
      </c>
      <c r="D4984">
        <v>3</v>
      </c>
      <c r="E4984">
        <v>9</v>
      </c>
      <c r="F4984" t="s">
        <v>10</v>
      </c>
      <c r="H4984" s="1">
        <v>44943</v>
      </c>
    </row>
    <row r="4985" spans="1:8" x14ac:dyDescent="0.35">
      <c r="A4985" t="s">
        <v>5004</v>
      </c>
      <c r="B4985" t="s">
        <v>37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5006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</row>
    <row r="4989" spans="1:8" x14ac:dyDescent="0.35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H4990" s="1">
        <v>45037</v>
      </c>
    </row>
    <row r="4991" spans="1:8" x14ac:dyDescent="0.35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5011</v>
      </c>
      <c r="B4992" t="s">
        <v>19</v>
      </c>
      <c r="C4992">
        <v>5</v>
      </c>
      <c r="D4992">
        <v>5</v>
      </c>
      <c r="E4992">
        <v>25</v>
      </c>
      <c r="F4992" t="s">
        <v>21</v>
      </c>
      <c r="H4992" s="1">
        <v>44995</v>
      </c>
    </row>
    <row r="4993" spans="1:8" x14ac:dyDescent="0.35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</row>
    <row r="4994" spans="1:8" x14ac:dyDescent="0.35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H4994" s="1">
        <v>45243</v>
      </c>
    </row>
    <row r="4995" spans="1:8" x14ac:dyDescent="0.35">
      <c r="A4995" t="s">
        <v>5014</v>
      </c>
      <c r="B4995" t="s">
        <v>23</v>
      </c>
      <c r="C4995">
        <v>3</v>
      </c>
      <c r="D4995">
        <v>4</v>
      </c>
      <c r="E4995">
        <v>12</v>
      </c>
      <c r="H4995" s="1">
        <v>44977</v>
      </c>
    </row>
    <row r="4996" spans="1:8" x14ac:dyDescent="0.35">
      <c r="A4996" t="s">
        <v>5015</v>
      </c>
      <c r="B4996" t="s">
        <v>17</v>
      </c>
      <c r="C4996">
        <v>4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5016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H4998" s="1">
        <v>44930</v>
      </c>
    </row>
    <row r="4999" spans="1:8" x14ac:dyDescent="0.35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5019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5020</v>
      </c>
      <c r="B5001" t="s">
        <v>23</v>
      </c>
      <c r="C5001">
        <v>5</v>
      </c>
      <c r="D5001">
        <v>4</v>
      </c>
      <c r="E5001">
        <v>20</v>
      </c>
      <c r="H5001" s="1">
        <v>45063</v>
      </c>
    </row>
    <row r="5002" spans="1:8" x14ac:dyDescent="0.35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5022</v>
      </c>
      <c r="B5003" t="s">
        <v>37</v>
      </c>
      <c r="C5003">
        <v>2</v>
      </c>
      <c r="D5003">
        <v>3</v>
      </c>
      <c r="E5003">
        <v>6</v>
      </c>
      <c r="F5003" t="s">
        <v>21</v>
      </c>
      <c r="G5003" t="s">
        <v>11</v>
      </c>
      <c r="H5003" s="1">
        <v>44972</v>
      </c>
    </row>
    <row r="5004" spans="1:8" x14ac:dyDescent="0.35">
      <c r="A5004" t="s">
        <v>5023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</row>
    <row r="5006" spans="1:8" x14ac:dyDescent="0.35">
      <c r="A5006" t="s">
        <v>5025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5026</v>
      </c>
      <c r="B5007" t="s">
        <v>63</v>
      </c>
      <c r="C5007">
        <v>5</v>
      </c>
      <c r="D5007">
        <v>1.5</v>
      </c>
      <c r="E5007">
        <v>7.5</v>
      </c>
      <c r="F5007" t="s">
        <v>21</v>
      </c>
      <c r="H5007" s="1">
        <v>45286</v>
      </c>
    </row>
    <row r="5008" spans="1:8" x14ac:dyDescent="0.35">
      <c r="A5008" t="s">
        <v>5027</v>
      </c>
      <c r="B5008" t="s">
        <v>26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</row>
    <row r="5011" spans="1:8" x14ac:dyDescent="0.35">
      <c r="A5011" t="s">
        <v>5030</v>
      </c>
      <c r="B5011" t="s">
        <v>63</v>
      </c>
      <c r="C5011">
        <v>4</v>
      </c>
      <c r="D5011">
        <v>1.5</v>
      </c>
      <c r="E5011">
        <v>6</v>
      </c>
      <c r="G5011" t="s">
        <v>15</v>
      </c>
      <c r="H5011" s="1">
        <v>45194</v>
      </c>
    </row>
    <row r="5012" spans="1:8" x14ac:dyDescent="0.35">
      <c r="A5012" t="s">
        <v>5031</v>
      </c>
      <c r="B5012" t="s">
        <v>37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5032</v>
      </c>
      <c r="B5013" t="s">
        <v>19</v>
      </c>
      <c r="C5013">
        <v>1</v>
      </c>
      <c r="D5013">
        <v>5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5034</v>
      </c>
      <c r="C5015">
        <v>1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5035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H5019" s="1">
        <v>45073</v>
      </c>
    </row>
    <row r="5020" spans="1:8" x14ac:dyDescent="0.35">
      <c r="A5020" t="s">
        <v>5039</v>
      </c>
      <c r="B5020" t="s">
        <v>13</v>
      </c>
      <c r="C5020">
        <v>3</v>
      </c>
      <c r="D5020">
        <v>3</v>
      </c>
      <c r="E5020">
        <v>9</v>
      </c>
      <c r="H5020" s="1">
        <v>45199</v>
      </c>
    </row>
    <row r="5021" spans="1:8" x14ac:dyDescent="0.35">
      <c r="A5021" t="s">
        <v>5040</v>
      </c>
      <c r="B5021" t="s">
        <v>19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</row>
    <row r="5024" spans="1:8" x14ac:dyDescent="0.35">
      <c r="A5024" t="s">
        <v>5043</v>
      </c>
      <c r="B5024" t="s">
        <v>26</v>
      </c>
      <c r="C5024">
        <v>2</v>
      </c>
      <c r="D5024">
        <v>4</v>
      </c>
      <c r="E5024">
        <v>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5044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5045</v>
      </c>
      <c r="B5026" t="s">
        <v>23</v>
      </c>
      <c r="C5026">
        <v>3</v>
      </c>
      <c r="D5026">
        <v>4</v>
      </c>
      <c r="E5026">
        <v>12</v>
      </c>
      <c r="F5026" t="s">
        <v>21</v>
      </c>
      <c r="H5026" s="1">
        <v>45283</v>
      </c>
    </row>
    <row r="5027" spans="1:8" x14ac:dyDescent="0.35">
      <c r="A5027" t="s">
        <v>5046</v>
      </c>
      <c r="B5027" t="s">
        <v>63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5047</v>
      </c>
      <c r="B5028" t="s">
        <v>26</v>
      </c>
      <c r="C5028">
        <v>1</v>
      </c>
      <c r="D5028">
        <v>4</v>
      </c>
      <c r="E5028">
        <v>4</v>
      </c>
      <c r="G5028" t="s">
        <v>15</v>
      </c>
      <c r="H5028" s="1">
        <v>45097</v>
      </c>
    </row>
    <row r="5029" spans="1:8" x14ac:dyDescent="0.35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H5029" s="1">
        <v>45067</v>
      </c>
    </row>
    <row r="5030" spans="1:8" x14ac:dyDescent="0.35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5051</v>
      </c>
      <c r="B5032" t="s">
        <v>26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5052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5053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5054</v>
      </c>
      <c r="B5035" t="s">
        <v>13</v>
      </c>
      <c r="C5035">
        <v>2</v>
      </c>
      <c r="D5035">
        <v>3</v>
      </c>
      <c r="E5035">
        <v>6</v>
      </c>
      <c r="H5035" s="1">
        <v>45024</v>
      </c>
    </row>
    <row r="5036" spans="1:8" x14ac:dyDescent="0.35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5057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</row>
    <row r="5040" spans="1:8" x14ac:dyDescent="0.35">
      <c r="A5040" t="s">
        <v>5059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5060</v>
      </c>
      <c r="C5041">
        <v>5</v>
      </c>
      <c r="D5041">
        <v>2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5061</v>
      </c>
      <c r="B5042" t="s">
        <v>26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5062</v>
      </c>
      <c r="B5043" t="s">
        <v>23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5063</v>
      </c>
      <c r="B5044" t="s">
        <v>63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H5045" s="1">
        <v>45153</v>
      </c>
    </row>
    <row r="5046" spans="1:8" x14ac:dyDescent="0.35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5066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</row>
    <row r="5048" spans="1:8" x14ac:dyDescent="0.35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5068</v>
      </c>
      <c r="B5049" t="s">
        <v>63</v>
      </c>
      <c r="C5049">
        <v>3</v>
      </c>
      <c r="D5049">
        <v>1.5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5069</v>
      </c>
      <c r="B5050" t="s">
        <v>19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</row>
    <row r="5052" spans="1:8" x14ac:dyDescent="0.35">
      <c r="A5052" t="s">
        <v>5071</v>
      </c>
      <c r="B5052" t="s">
        <v>13</v>
      </c>
      <c r="C5052">
        <v>1</v>
      </c>
      <c r="D5052">
        <v>3</v>
      </c>
      <c r="E5052">
        <v>3</v>
      </c>
      <c r="H5052" s="1">
        <v>44983</v>
      </c>
    </row>
    <row r="5053" spans="1:8" x14ac:dyDescent="0.35">
      <c r="A5053" t="s">
        <v>5072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5074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</row>
    <row r="5057" spans="1:8" x14ac:dyDescent="0.35">
      <c r="A5057" t="s">
        <v>5076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5077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5081</v>
      </c>
      <c r="B5062" t="s">
        <v>37</v>
      </c>
      <c r="C5062">
        <v>2</v>
      </c>
      <c r="D5062">
        <v>3</v>
      </c>
      <c r="E5062">
        <v>6</v>
      </c>
      <c r="G5062" t="s">
        <v>11</v>
      </c>
      <c r="H5062" s="1">
        <v>45291</v>
      </c>
    </row>
    <row r="5063" spans="1:8" x14ac:dyDescent="0.35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5083</v>
      </c>
      <c r="B5064" t="s">
        <v>37</v>
      </c>
      <c r="C5064">
        <v>5</v>
      </c>
      <c r="D5064">
        <v>3</v>
      </c>
      <c r="E5064">
        <v>15</v>
      </c>
      <c r="G5064" t="s">
        <v>11</v>
      </c>
      <c r="H5064" s="1">
        <v>44978</v>
      </c>
    </row>
    <row r="5065" spans="1:8" x14ac:dyDescent="0.35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5085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5086</v>
      </c>
      <c r="B5067" t="s">
        <v>37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5087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5089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5090</v>
      </c>
      <c r="B5071" t="s">
        <v>37</v>
      </c>
      <c r="C5071">
        <v>3</v>
      </c>
      <c r="D5071">
        <v>3</v>
      </c>
      <c r="E5071">
        <v>9</v>
      </c>
      <c r="F5071" t="s">
        <v>10</v>
      </c>
      <c r="H5071" s="1">
        <v>45116</v>
      </c>
    </row>
    <row r="5072" spans="1:8" x14ac:dyDescent="0.35">
      <c r="A5072" t="s">
        <v>5091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</row>
    <row r="5074" spans="1:8" x14ac:dyDescent="0.35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H5075" s="1">
        <v>45018</v>
      </c>
    </row>
    <row r="5076" spans="1:8" x14ac:dyDescent="0.35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</row>
    <row r="5077" spans="1:8" x14ac:dyDescent="0.35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</row>
    <row r="5079" spans="1:8" x14ac:dyDescent="0.35">
      <c r="A5079" t="s">
        <v>5098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5099</v>
      </c>
      <c r="B5080" t="s">
        <v>17</v>
      </c>
      <c r="C5080">
        <v>3</v>
      </c>
      <c r="D5080">
        <v>1</v>
      </c>
      <c r="E5080">
        <v>3</v>
      </c>
    </row>
    <row r="5081" spans="1:8" x14ac:dyDescent="0.35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H5081" s="1">
        <v>45185</v>
      </c>
    </row>
    <row r="5082" spans="1:8" x14ac:dyDescent="0.35">
      <c r="A5082" t="s">
        <v>5101</v>
      </c>
      <c r="B5082" t="s">
        <v>19</v>
      </c>
      <c r="C5082">
        <v>2</v>
      </c>
      <c r="D5082">
        <v>5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5104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5106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5109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5110</v>
      </c>
      <c r="B5091" t="s">
        <v>63</v>
      </c>
      <c r="C5091">
        <v>3</v>
      </c>
      <c r="D5091">
        <v>1.5</v>
      </c>
      <c r="E5091">
        <v>4.5</v>
      </c>
      <c r="G5091" t="s">
        <v>11</v>
      </c>
      <c r="H5091" s="1">
        <v>45061</v>
      </c>
    </row>
    <row r="5092" spans="1:8" x14ac:dyDescent="0.35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</row>
    <row r="5093" spans="1:8" x14ac:dyDescent="0.35">
      <c r="A5093" t="s">
        <v>5112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5114</v>
      </c>
      <c r="B5095" t="s">
        <v>23</v>
      </c>
      <c r="C5095">
        <v>4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H5096" s="1">
        <v>45064</v>
      </c>
    </row>
    <row r="5097" spans="1:8" x14ac:dyDescent="0.35">
      <c r="A5097" t="s">
        <v>5116</v>
      </c>
      <c r="B5097" t="s">
        <v>9</v>
      </c>
      <c r="C5097">
        <v>3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5117</v>
      </c>
      <c r="B5098" t="s">
        <v>63</v>
      </c>
      <c r="C5098">
        <v>5</v>
      </c>
      <c r="D5098">
        <v>1.5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H5099" s="1">
        <v>44974</v>
      </c>
    </row>
    <row r="5100" spans="1:8" x14ac:dyDescent="0.35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</row>
    <row r="5101" spans="1:8" x14ac:dyDescent="0.35">
      <c r="A5101" t="s">
        <v>5120</v>
      </c>
      <c r="B5101" t="s">
        <v>17</v>
      </c>
      <c r="C5101">
        <v>5</v>
      </c>
      <c r="D5101">
        <v>1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5121</v>
      </c>
      <c r="B5102" t="s">
        <v>19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5123</v>
      </c>
      <c r="B5104" t="s">
        <v>23</v>
      </c>
      <c r="C5104">
        <v>2</v>
      </c>
      <c r="D5104">
        <v>4</v>
      </c>
      <c r="E5104">
        <v>8</v>
      </c>
      <c r="H5104" s="1">
        <v>44950</v>
      </c>
    </row>
    <row r="5105" spans="1:8" x14ac:dyDescent="0.35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</row>
    <row r="5106" spans="1:8" x14ac:dyDescent="0.35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5126</v>
      </c>
      <c r="B5107" t="s">
        <v>9</v>
      </c>
      <c r="C5107">
        <v>5</v>
      </c>
      <c r="D5107">
        <v>2</v>
      </c>
      <c r="E5107">
        <v>10</v>
      </c>
      <c r="F5107" t="s">
        <v>21</v>
      </c>
      <c r="G5107" t="s">
        <v>15</v>
      </c>
      <c r="H5107" s="1">
        <v>44960</v>
      </c>
    </row>
    <row r="5108" spans="1:8" x14ac:dyDescent="0.35">
      <c r="A5108" t="s">
        <v>5127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</row>
    <row r="5109" spans="1:8" x14ac:dyDescent="0.35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H5109" s="1">
        <v>45007</v>
      </c>
    </row>
    <row r="5110" spans="1:8" x14ac:dyDescent="0.35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5130</v>
      </c>
      <c r="B5111" t="s">
        <v>26</v>
      </c>
      <c r="C5111">
        <v>3</v>
      </c>
      <c r="D5111">
        <v>4</v>
      </c>
      <c r="E5111">
        <v>12</v>
      </c>
      <c r="G5111" t="s">
        <v>11</v>
      </c>
      <c r="H5111" s="1">
        <v>45236</v>
      </c>
    </row>
    <row r="5112" spans="1:8" x14ac:dyDescent="0.35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H5112" s="1">
        <v>45083</v>
      </c>
    </row>
    <row r="5113" spans="1:8" x14ac:dyDescent="0.35">
      <c r="A5113" t="s">
        <v>5132</v>
      </c>
      <c r="B5113" t="s">
        <v>19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5134</v>
      </c>
      <c r="B5115" t="s">
        <v>9</v>
      </c>
      <c r="C5115">
        <v>4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</row>
    <row r="5116" spans="1:8" x14ac:dyDescent="0.35">
      <c r="A5116" t="s">
        <v>5135</v>
      </c>
      <c r="C5116">
        <v>1</v>
      </c>
      <c r="D5116">
        <v>3</v>
      </c>
      <c r="E5116">
        <v>3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5137</v>
      </c>
      <c r="B5118" t="s">
        <v>23</v>
      </c>
      <c r="C5118">
        <v>3</v>
      </c>
      <c r="D5118">
        <v>4</v>
      </c>
      <c r="E5118">
        <v>12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5140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5141</v>
      </c>
      <c r="B5122" t="s">
        <v>23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5142</v>
      </c>
      <c r="B5123" t="s">
        <v>9</v>
      </c>
      <c r="C5123">
        <v>3</v>
      </c>
      <c r="D5123">
        <v>2</v>
      </c>
      <c r="E5123">
        <v>6</v>
      </c>
      <c r="F5123" t="s">
        <v>14</v>
      </c>
      <c r="H5123" s="1">
        <v>45196</v>
      </c>
    </row>
    <row r="5124" spans="1:8" x14ac:dyDescent="0.35">
      <c r="A5124" t="s">
        <v>5143</v>
      </c>
      <c r="B5124" t="s">
        <v>9</v>
      </c>
      <c r="C5124">
        <v>5</v>
      </c>
      <c r="D5124">
        <v>2</v>
      </c>
      <c r="E5124">
        <v>10</v>
      </c>
      <c r="F5124" t="s">
        <v>14</v>
      </c>
    </row>
    <row r="5125" spans="1:8" x14ac:dyDescent="0.35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H5126" s="1">
        <v>45235</v>
      </c>
    </row>
    <row r="5127" spans="1:8" x14ac:dyDescent="0.35">
      <c r="A5127" t="s">
        <v>5146</v>
      </c>
      <c r="C5127">
        <v>1</v>
      </c>
      <c r="D5127">
        <v>3</v>
      </c>
      <c r="E5127">
        <v>3</v>
      </c>
      <c r="H5127" s="1">
        <v>45172</v>
      </c>
    </row>
    <row r="5128" spans="1:8" x14ac:dyDescent="0.35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</row>
    <row r="5129" spans="1:8" x14ac:dyDescent="0.35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H5130" s="1">
        <v>45131</v>
      </c>
    </row>
    <row r="5131" spans="1:8" x14ac:dyDescent="0.35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</row>
    <row r="5132" spans="1:8" x14ac:dyDescent="0.35">
      <c r="A5132" t="s">
        <v>5151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5152</v>
      </c>
      <c r="B5133" t="s">
        <v>23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5153</v>
      </c>
      <c r="B5134" t="s">
        <v>23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5154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5156</v>
      </c>
      <c r="C5137">
        <v>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5157</v>
      </c>
      <c r="B5138" t="s">
        <v>23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5161</v>
      </c>
      <c r="B5142" t="s">
        <v>37</v>
      </c>
      <c r="C5142">
        <v>3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</row>
    <row r="5143" spans="1:8" x14ac:dyDescent="0.35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</row>
    <row r="5144" spans="1:8" x14ac:dyDescent="0.35">
      <c r="A5144" t="s">
        <v>5163</v>
      </c>
      <c r="B5144" t="s">
        <v>37</v>
      </c>
      <c r="C5144">
        <v>5</v>
      </c>
      <c r="D5144">
        <v>3</v>
      </c>
      <c r="E5144">
        <v>15</v>
      </c>
      <c r="G5144" t="s">
        <v>15</v>
      </c>
      <c r="H5144" s="1">
        <v>45218</v>
      </c>
    </row>
    <row r="5145" spans="1:8" x14ac:dyDescent="0.35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5167</v>
      </c>
      <c r="B5148" t="s">
        <v>26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5168</v>
      </c>
      <c r="B5149" t="s">
        <v>17</v>
      </c>
      <c r="C5149">
        <v>4</v>
      </c>
      <c r="D5149">
        <v>1</v>
      </c>
      <c r="E5149">
        <v>4</v>
      </c>
    </row>
    <row r="5150" spans="1:8" x14ac:dyDescent="0.35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</row>
    <row r="5151" spans="1:8" x14ac:dyDescent="0.35">
      <c r="A5151" t="s">
        <v>5170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5171</v>
      </c>
      <c r="B5152" t="s">
        <v>23</v>
      </c>
      <c r="C5152">
        <v>1</v>
      </c>
      <c r="D5152">
        <v>4</v>
      </c>
      <c r="E5152">
        <v>4</v>
      </c>
      <c r="G5152" t="s">
        <v>15</v>
      </c>
      <c r="H5152" s="1">
        <v>44993</v>
      </c>
    </row>
    <row r="5153" spans="1:8" x14ac:dyDescent="0.35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H5153" s="1">
        <v>45283</v>
      </c>
    </row>
    <row r="5154" spans="1:8" x14ac:dyDescent="0.35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H5154" s="1">
        <v>45005</v>
      </c>
    </row>
    <row r="5155" spans="1:8" x14ac:dyDescent="0.35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</row>
    <row r="5156" spans="1:8" x14ac:dyDescent="0.35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H5157" s="1">
        <v>45152</v>
      </c>
    </row>
    <row r="5158" spans="1:8" x14ac:dyDescent="0.35">
      <c r="A5158" t="s">
        <v>5177</v>
      </c>
      <c r="B5158" t="s">
        <v>19</v>
      </c>
      <c r="C5158">
        <v>1</v>
      </c>
      <c r="D5158">
        <v>5</v>
      </c>
      <c r="E5158">
        <v>5</v>
      </c>
      <c r="F5158" t="s">
        <v>21</v>
      </c>
      <c r="G5158" t="s">
        <v>11</v>
      </c>
      <c r="H5158" s="1">
        <v>45154</v>
      </c>
    </row>
    <row r="5159" spans="1:8" x14ac:dyDescent="0.35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H5159" s="1">
        <v>45137</v>
      </c>
    </row>
    <row r="5160" spans="1:8" x14ac:dyDescent="0.35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</row>
    <row r="5162" spans="1:8" x14ac:dyDescent="0.35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</row>
    <row r="5163" spans="1:8" x14ac:dyDescent="0.35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H5163" s="1">
        <v>45022</v>
      </c>
    </row>
    <row r="5164" spans="1:8" x14ac:dyDescent="0.35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5184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5185</v>
      </c>
      <c r="B5166" t="s">
        <v>26</v>
      </c>
      <c r="C5166">
        <v>5</v>
      </c>
      <c r="D5166">
        <v>4</v>
      </c>
      <c r="E5166">
        <v>20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5186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5188</v>
      </c>
      <c r="B5169" t="s">
        <v>23</v>
      </c>
      <c r="C5169">
        <v>5</v>
      </c>
      <c r="D5169">
        <v>4</v>
      </c>
      <c r="E5169">
        <v>20</v>
      </c>
      <c r="F5169" t="s">
        <v>21</v>
      </c>
      <c r="H5169" s="1">
        <v>45036</v>
      </c>
    </row>
    <row r="5170" spans="1:8" x14ac:dyDescent="0.35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H5170" s="1">
        <v>45145</v>
      </c>
    </row>
    <row r="5171" spans="1:8" x14ac:dyDescent="0.35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H5172" s="1">
        <v>45192</v>
      </c>
    </row>
    <row r="5173" spans="1:8" x14ac:dyDescent="0.35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</row>
    <row r="5174" spans="1:8" x14ac:dyDescent="0.35">
      <c r="A5174" t="s">
        <v>5193</v>
      </c>
      <c r="B5174" t="s">
        <v>23</v>
      </c>
      <c r="C5174">
        <v>2</v>
      </c>
      <c r="D5174">
        <v>4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5194</v>
      </c>
      <c r="B5175" t="s">
        <v>13</v>
      </c>
      <c r="C5175">
        <v>4</v>
      </c>
      <c r="D5175">
        <v>3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H5176" s="1">
        <v>45228</v>
      </c>
    </row>
    <row r="5177" spans="1:8" x14ac:dyDescent="0.35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</row>
    <row r="5178" spans="1:8" x14ac:dyDescent="0.35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</row>
    <row r="5180" spans="1:8" x14ac:dyDescent="0.35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H5180" s="1">
        <v>45117</v>
      </c>
    </row>
    <row r="5181" spans="1:8" x14ac:dyDescent="0.35">
      <c r="A5181" t="s">
        <v>5200</v>
      </c>
      <c r="B5181" t="s">
        <v>13</v>
      </c>
      <c r="C5181">
        <v>5</v>
      </c>
      <c r="D5181">
        <v>3</v>
      </c>
      <c r="E5181">
        <v>15</v>
      </c>
      <c r="G5181" t="s">
        <v>11</v>
      </c>
    </row>
    <row r="5182" spans="1:8" x14ac:dyDescent="0.35">
      <c r="A5182" t="s">
        <v>5201</v>
      </c>
      <c r="B5182" t="s">
        <v>19</v>
      </c>
      <c r="C5182">
        <v>4</v>
      </c>
      <c r="D5182">
        <v>5</v>
      </c>
      <c r="E5182">
        <v>20</v>
      </c>
      <c r="F5182" t="s">
        <v>21</v>
      </c>
      <c r="G5182" t="s">
        <v>15</v>
      </c>
      <c r="H5182" s="1">
        <v>45274</v>
      </c>
    </row>
    <row r="5183" spans="1:8" x14ac:dyDescent="0.35">
      <c r="A5183" t="s">
        <v>5202</v>
      </c>
      <c r="B5183" t="s">
        <v>23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5204</v>
      </c>
      <c r="B5185" t="s">
        <v>26</v>
      </c>
      <c r="C5185">
        <v>2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5206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5207</v>
      </c>
      <c r="B5188" t="s">
        <v>19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</row>
    <row r="5191" spans="1:8" x14ac:dyDescent="0.35">
      <c r="A5191" t="s">
        <v>5210</v>
      </c>
      <c r="B5191" t="s">
        <v>23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5213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5214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5215</v>
      </c>
      <c r="B5196" t="s">
        <v>63</v>
      </c>
      <c r="C5196">
        <v>3</v>
      </c>
      <c r="D5196">
        <v>1.5</v>
      </c>
      <c r="E5196">
        <v>4.5</v>
      </c>
      <c r="G5196" t="s">
        <v>15</v>
      </c>
    </row>
    <row r="5197" spans="1:8" x14ac:dyDescent="0.35">
      <c r="A5197" t="s">
        <v>5216</v>
      </c>
      <c r="B5197" t="s">
        <v>63</v>
      </c>
      <c r="C5197">
        <v>4</v>
      </c>
      <c r="D5197">
        <v>1.5</v>
      </c>
      <c r="E5197">
        <v>6</v>
      </c>
      <c r="G5197" t="s">
        <v>15</v>
      </c>
      <c r="H5197" s="1">
        <v>45095</v>
      </c>
    </row>
    <row r="5198" spans="1:8" x14ac:dyDescent="0.35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H5198" s="1">
        <v>45046</v>
      </c>
    </row>
    <row r="5199" spans="1:8" x14ac:dyDescent="0.35">
      <c r="A5199" t="s">
        <v>5218</v>
      </c>
      <c r="C5199">
        <v>5</v>
      </c>
      <c r="D5199">
        <v>3</v>
      </c>
      <c r="E5199">
        <v>15</v>
      </c>
      <c r="G5199" t="s">
        <v>11</v>
      </c>
    </row>
    <row r="5200" spans="1:8" x14ac:dyDescent="0.35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</row>
    <row r="5201" spans="1:8" x14ac:dyDescent="0.35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5221</v>
      </c>
      <c r="B5202" t="s">
        <v>63</v>
      </c>
      <c r="C5202">
        <v>3</v>
      </c>
      <c r="D5202">
        <v>1.5</v>
      </c>
      <c r="E5202">
        <v>4.5</v>
      </c>
      <c r="G5202" t="s">
        <v>15</v>
      </c>
      <c r="H5202" s="1">
        <v>45014</v>
      </c>
    </row>
    <row r="5203" spans="1:8" x14ac:dyDescent="0.35">
      <c r="A5203" t="s">
        <v>5222</v>
      </c>
      <c r="B5203" t="s">
        <v>63</v>
      </c>
      <c r="C5203">
        <v>5</v>
      </c>
      <c r="D5203">
        <v>1.5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5223</v>
      </c>
      <c r="C5204">
        <v>1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</row>
    <row r="5207" spans="1:8" x14ac:dyDescent="0.35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H5207" s="1">
        <v>45181</v>
      </c>
    </row>
    <row r="5208" spans="1:8" x14ac:dyDescent="0.35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</row>
    <row r="5209" spans="1:8" x14ac:dyDescent="0.35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H5211" s="1">
        <v>45198</v>
      </c>
    </row>
    <row r="5212" spans="1:8" x14ac:dyDescent="0.35">
      <c r="A5212" t="s">
        <v>5231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5232</v>
      </c>
      <c r="B5213" t="s">
        <v>17</v>
      </c>
      <c r="C5213">
        <v>2</v>
      </c>
      <c r="D5213">
        <v>1</v>
      </c>
      <c r="E5213">
        <v>2</v>
      </c>
      <c r="G5213" t="s">
        <v>15</v>
      </c>
      <c r="H5213" s="1">
        <v>45154</v>
      </c>
    </row>
    <row r="5214" spans="1:8" x14ac:dyDescent="0.35">
      <c r="A5214" t="s">
        <v>5233</v>
      </c>
      <c r="B5214" t="s">
        <v>37</v>
      </c>
      <c r="C5214">
        <v>4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</row>
    <row r="5215" spans="1:8" x14ac:dyDescent="0.35">
      <c r="A5215" t="s">
        <v>5234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5235</v>
      </c>
      <c r="B5216" t="s">
        <v>23</v>
      </c>
      <c r="C5216">
        <v>4</v>
      </c>
      <c r="D5216">
        <v>4</v>
      </c>
      <c r="E5216">
        <v>16</v>
      </c>
      <c r="F5216" t="s">
        <v>21</v>
      </c>
      <c r="G5216" t="s">
        <v>15</v>
      </c>
      <c r="H5216" s="1">
        <v>45286</v>
      </c>
    </row>
    <row r="5217" spans="1:8" x14ac:dyDescent="0.35">
      <c r="A5217" t="s">
        <v>5236</v>
      </c>
      <c r="B5217" t="s">
        <v>63</v>
      </c>
      <c r="C5217">
        <v>1</v>
      </c>
      <c r="D5217">
        <v>1.5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5237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</row>
    <row r="5221" spans="1:8" x14ac:dyDescent="0.35">
      <c r="A5221" t="s">
        <v>5240</v>
      </c>
      <c r="B5221" t="s">
        <v>37</v>
      </c>
      <c r="C5221">
        <v>5</v>
      </c>
      <c r="D5221">
        <v>3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5241</v>
      </c>
      <c r="B5222" t="s">
        <v>9</v>
      </c>
      <c r="C5222">
        <v>3</v>
      </c>
      <c r="D5222">
        <v>2</v>
      </c>
      <c r="E5222">
        <v>6</v>
      </c>
      <c r="G5222" t="s">
        <v>15</v>
      </c>
      <c r="H5222" s="1">
        <v>45111</v>
      </c>
    </row>
    <row r="5223" spans="1:8" x14ac:dyDescent="0.35">
      <c r="A5223" t="s">
        <v>5242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H5224" s="1">
        <v>44978</v>
      </c>
    </row>
    <row r="5225" spans="1:8" x14ac:dyDescent="0.35">
      <c r="A5225" t="s">
        <v>5244</v>
      </c>
      <c r="B5225" t="s">
        <v>19</v>
      </c>
      <c r="C5225">
        <v>3</v>
      </c>
      <c r="D5225">
        <v>5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5245</v>
      </c>
      <c r="B5226" t="s">
        <v>23</v>
      </c>
      <c r="C5226">
        <v>1</v>
      </c>
      <c r="D5226">
        <v>4</v>
      </c>
      <c r="E5226">
        <v>4</v>
      </c>
      <c r="F5226" t="s">
        <v>14</v>
      </c>
    </row>
    <row r="5227" spans="1:8" x14ac:dyDescent="0.35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</row>
    <row r="5228" spans="1:8" x14ac:dyDescent="0.35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</row>
    <row r="5231" spans="1:8" x14ac:dyDescent="0.35">
      <c r="A5231" t="s">
        <v>5250</v>
      </c>
      <c r="B5231" t="s">
        <v>23</v>
      </c>
      <c r="C5231">
        <v>4</v>
      </c>
      <c r="D5231">
        <v>4</v>
      </c>
      <c r="E5231">
        <v>16</v>
      </c>
      <c r="F5231" t="s">
        <v>21</v>
      </c>
      <c r="H5231" s="1">
        <v>45099</v>
      </c>
    </row>
    <row r="5232" spans="1:8" x14ac:dyDescent="0.35">
      <c r="A5232" t="s">
        <v>5251</v>
      </c>
      <c r="B5232" t="s">
        <v>37</v>
      </c>
      <c r="C5232">
        <v>5</v>
      </c>
      <c r="D5232">
        <v>3</v>
      </c>
      <c r="E5232">
        <v>15</v>
      </c>
      <c r="H5232" s="1">
        <v>44972</v>
      </c>
    </row>
    <row r="5233" spans="1:8" x14ac:dyDescent="0.35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</row>
    <row r="5234" spans="1:8" x14ac:dyDescent="0.35">
      <c r="A5234" t="s">
        <v>5253</v>
      </c>
      <c r="B5234" t="s">
        <v>9</v>
      </c>
      <c r="C5234">
        <v>1</v>
      </c>
      <c r="D5234">
        <v>2</v>
      </c>
      <c r="E5234">
        <v>2</v>
      </c>
      <c r="H5234" s="1">
        <v>45039</v>
      </c>
    </row>
    <row r="5235" spans="1:8" x14ac:dyDescent="0.35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</row>
    <row r="5237" spans="1:8" x14ac:dyDescent="0.35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</row>
    <row r="5239" spans="1:8" x14ac:dyDescent="0.35">
      <c r="A5239" t="s">
        <v>5258</v>
      </c>
      <c r="B5239" t="s">
        <v>37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</row>
    <row r="5243" spans="1:8" x14ac:dyDescent="0.35">
      <c r="A5243" t="s">
        <v>5262</v>
      </c>
      <c r="B5243" t="s">
        <v>63</v>
      </c>
      <c r="C5243">
        <v>1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</row>
    <row r="5244" spans="1:8" x14ac:dyDescent="0.35">
      <c r="A5244" t="s">
        <v>5263</v>
      </c>
      <c r="B5244" t="s">
        <v>23</v>
      </c>
      <c r="C5244">
        <v>5</v>
      </c>
      <c r="D5244">
        <v>4</v>
      </c>
      <c r="E5244">
        <v>20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5264</v>
      </c>
      <c r="B5245" t="s">
        <v>17</v>
      </c>
      <c r="C5245">
        <v>3</v>
      </c>
      <c r="D5245">
        <v>1</v>
      </c>
      <c r="E5245">
        <v>3</v>
      </c>
      <c r="F5245" t="s">
        <v>21</v>
      </c>
      <c r="G5245" t="s">
        <v>15</v>
      </c>
      <c r="H5245" s="1">
        <v>45196</v>
      </c>
    </row>
    <row r="5246" spans="1:8" x14ac:dyDescent="0.35">
      <c r="A5246" t="s">
        <v>5265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5266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</row>
    <row r="5249" spans="1:8" x14ac:dyDescent="0.35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</row>
    <row r="5250" spans="1:8" x14ac:dyDescent="0.35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H5250" s="1">
        <v>44970</v>
      </c>
    </row>
    <row r="5251" spans="1:8" x14ac:dyDescent="0.35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5273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5276</v>
      </c>
      <c r="B5257" t="s">
        <v>26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5277</v>
      </c>
      <c r="B5258" t="s">
        <v>9</v>
      </c>
      <c r="C5258">
        <v>5</v>
      </c>
      <c r="D5258">
        <v>2</v>
      </c>
      <c r="E5258">
        <v>10</v>
      </c>
      <c r="H5258" s="1">
        <v>45148</v>
      </c>
    </row>
    <row r="5259" spans="1:8" x14ac:dyDescent="0.35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5280</v>
      </c>
      <c r="B5261" t="s">
        <v>37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5281</v>
      </c>
      <c r="B5262" t="s">
        <v>37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H5263" s="1">
        <v>45212</v>
      </c>
    </row>
    <row r="5264" spans="1:8" x14ac:dyDescent="0.35">
      <c r="A5264" t="s">
        <v>5283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5284</v>
      </c>
      <c r="B5265" t="s">
        <v>19</v>
      </c>
      <c r="C5265">
        <v>5</v>
      </c>
      <c r="D5265">
        <v>5</v>
      </c>
      <c r="E5265">
        <v>25</v>
      </c>
      <c r="H5265" s="1">
        <v>45162</v>
      </c>
    </row>
    <row r="5266" spans="1:8" x14ac:dyDescent="0.35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5286</v>
      </c>
      <c r="B5267" t="s">
        <v>63</v>
      </c>
      <c r="C5267">
        <v>1</v>
      </c>
      <c r="D5267">
        <v>1.5</v>
      </c>
      <c r="E5267">
        <v>1.5</v>
      </c>
      <c r="H5267" s="1">
        <v>45088</v>
      </c>
    </row>
    <row r="5268" spans="1:8" x14ac:dyDescent="0.35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5288</v>
      </c>
      <c r="B5269" t="s">
        <v>26</v>
      </c>
      <c r="C5269">
        <v>5</v>
      </c>
      <c r="D5269">
        <v>4</v>
      </c>
      <c r="E5269">
        <v>20</v>
      </c>
      <c r="G5269" t="s">
        <v>11</v>
      </c>
      <c r="H5269" s="1">
        <v>45078</v>
      </c>
    </row>
    <row r="5270" spans="1:8" x14ac:dyDescent="0.35">
      <c r="A5270" t="s">
        <v>5289</v>
      </c>
      <c r="B5270" t="s">
        <v>19</v>
      </c>
      <c r="C5270">
        <v>2</v>
      </c>
      <c r="D5270">
        <v>5</v>
      </c>
      <c r="E5270">
        <v>10</v>
      </c>
      <c r="F5270" t="s">
        <v>21</v>
      </c>
      <c r="H5270" s="1">
        <v>44982</v>
      </c>
    </row>
    <row r="5271" spans="1:8" x14ac:dyDescent="0.35">
      <c r="A5271" t="s">
        <v>5290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H5272" s="1">
        <v>45069</v>
      </c>
    </row>
    <row r="5273" spans="1:8" x14ac:dyDescent="0.35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5293</v>
      </c>
      <c r="B5274" t="s">
        <v>23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</row>
    <row r="5276" spans="1:8" x14ac:dyDescent="0.35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5296</v>
      </c>
      <c r="B5277" t="s">
        <v>63</v>
      </c>
      <c r="C5277">
        <v>2</v>
      </c>
      <c r="D5277">
        <v>1.5</v>
      </c>
      <c r="E5277">
        <v>3</v>
      </c>
      <c r="F5277" t="s">
        <v>21</v>
      </c>
      <c r="H5277" s="1">
        <v>45222</v>
      </c>
    </row>
    <row r="5278" spans="1:8" x14ac:dyDescent="0.35">
      <c r="A5278" t="s">
        <v>5297</v>
      </c>
      <c r="B5278" t="s">
        <v>13</v>
      </c>
      <c r="C5278">
        <v>5</v>
      </c>
      <c r="D5278">
        <v>3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H5279" s="1">
        <v>45077</v>
      </c>
    </row>
    <row r="5280" spans="1:8" x14ac:dyDescent="0.35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</row>
    <row r="5281" spans="1:8" x14ac:dyDescent="0.35">
      <c r="A5281" t="s">
        <v>5300</v>
      </c>
      <c r="B5281" t="s">
        <v>63</v>
      </c>
      <c r="C5281">
        <v>4</v>
      </c>
      <c r="D5281">
        <v>1.5</v>
      </c>
      <c r="E5281">
        <v>6</v>
      </c>
      <c r="F5281" t="s">
        <v>21</v>
      </c>
      <c r="H5281" s="1">
        <v>44943</v>
      </c>
    </row>
    <row r="5282" spans="1:8" x14ac:dyDescent="0.35">
      <c r="A5282" t="s">
        <v>5301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</row>
    <row r="5284" spans="1:8" x14ac:dyDescent="0.35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</row>
    <row r="5285" spans="1:8" x14ac:dyDescent="0.35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5305</v>
      </c>
      <c r="B5286" t="s">
        <v>19</v>
      </c>
      <c r="C5286">
        <v>5</v>
      </c>
      <c r="D5286">
        <v>5</v>
      </c>
      <c r="E5286">
        <v>25</v>
      </c>
      <c r="G5286" t="s">
        <v>11</v>
      </c>
      <c r="H5286" s="1">
        <v>45082</v>
      </c>
    </row>
    <row r="5287" spans="1:8" x14ac:dyDescent="0.35">
      <c r="A5287" t="s">
        <v>5306</v>
      </c>
      <c r="B5287" t="s">
        <v>63</v>
      </c>
      <c r="C5287">
        <v>2</v>
      </c>
      <c r="D5287">
        <v>1.5</v>
      </c>
      <c r="E5287">
        <v>3</v>
      </c>
    </row>
    <row r="5288" spans="1:8" x14ac:dyDescent="0.35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</row>
    <row r="5289" spans="1:8" x14ac:dyDescent="0.35">
      <c r="A5289" t="s">
        <v>5308</v>
      </c>
      <c r="B5289" t="s">
        <v>19</v>
      </c>
      <c r="C5289">
        <v>5</v>
      </c>
      <c r="D5289">
        <v>5</v>
      </c>
      <c r="E5289">
        <v>25</v>
      </c>
      <c r="H5289" s="1">
        <v>44951</v>
      </c>
    </row>
    <row r="5290" spans="1:8" x14ac:dyDescent="0.35">
      <c r="A5290" t="s">
        <v>5309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</row>
    <row r="5292" spans="1:8" x14ac:dyDescent="0.35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5312</v>
      </c>
      <c r="B5293" t="s">
        <v>37</v>
      </c>
      <c r="C5293">
        <v>5</v>
      </c>
      <c r="D5293">
        <v>3</v>
      </c>
      <c r="E5293">
        <v>15</v>
      </c>
      <c r="G5293" t="s">
        <v>11</v>
      </c>
      <c r="H5293" s="1">
        <v>45049</v>
      </c>
    </row>
    <row r="5294" spans="1:8" x14ac:dyDescent="0.35">
      <c r="A5294" t="s">
        <v>5313</v>
      </c>
      <c r="B5294" t="s">
        <v>17</v>
      </c>
      <c r="C5294">
        <v>2</v>
      </c>
      <c r="D5294">
        <v>1</v>
      </c>
      <c r="E5294">
        <v>2</v>
      </c>
      <c r="G5294" t="s">
        <v>15</v>
      </c>
    </row>
    <row r="5295" spans="1:8" x14ac:dyDescent="0.35">
      <c r="A5295" t="s">
        <v>5314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5315</v>
      </c>
      <c r="B5296" t="s">
        <v>26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5316</v>
      </c>
      <c r="B5297" t="s">
        <v>19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</row>
    <row r="5299" spans="1:8" x14ac:dyDescent="0.35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5320</v>
      </c>
      <c r="B5301" t="s">
        <v>13</v>
      </c>
      <c r="C5301">
        <v>4</v>
      </c>
      <c r="D5301">
        <v>3</v>
      </c>
      <c r="E5301">
        <v>12</v>
      </c>
      <c r="G5301" t="s">
        <v>15</v>
      </c>
      <c r="H5301" s="1">
        <v>45264</v>
      </c>
    </row>
    <row r="5302" spans="1:8" x14ac:dyDescent="0.35">
      <c r="A5302" t="s">
        <v>5321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</row>
    <row r="5305" spans="1:8" x14ac:dyDescent="0.35">
      <c r="A5305" t="s">
        <v>5324</v>
      </c>
      <c r="B5305" t="s">
        <v>19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5327</v>
      </c>
      <c r="B5308" t="s">
        <v>37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5328</v>
      </c>
      <c r="B5309" t="s">
        <v>26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H5310" s="1">
        <v>45047</v>
      </c>
    </row>
    <row r="5311" spans="1:8" x14ac:dyDescent="0.35">
      <c r="A5311" t="s">
        <v>5330</v>
      </c>
      <c r="B5311" t="s">
        <v>26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</row>
    <row r="5313" spans="1:8" x14ac:dyDescent="0.35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H5313" s="1">
        <v>45249</v>
      </c>
    </row>
    <row r="5314" spans="1:8" x14ac:dyDescent="0.35">
      <c r="A5314" t="s">
        <v>5333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5334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5335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5337</v>
      </c>
      <c r="B5318" t="s">
        <v>37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5338</v>
      </c>
      <c r="B5319" t="s">
        <v>37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H5323" s="1">
        <v>45233</v>
      </c>
    </row>
    <row r="5324" spans="1:8" x14ac:dyDescent="0.35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5345</v>
      </c>
      <c r="C5326">
        <v>2</v>
      </c>
      <c r="D5326">
        <v>1.5</v>
      </c>
      <c r="E5326">
        <v>3</v>
      </c>
      <c r="F5326" t="s">
        <v>14</v>
      </c>
      <c r="H5326" s="1">
        <v>45151</v>
      </c>
    </row>
    <row r="5327" spans="1:8" x14ac:dyDescent="0.35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</row>
    <row r="5329" spans="1:8" x14ac:dyDescent="0.35">
      <c r="A5329" t="s">
        <v>5348</v>
      </c>
      <c r="B5329" t="s">
        <v>19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H5330" s="1">
        <v>45097</v>
      </c>
    </row>
    <row r="5331" spans="1:8" x14ac:dyDescent="0.35">
      <c r="A5331" t="s">
        <v>5350</v>
      </c>
      <c r="B5331" t="s">
        <v>17</v>
      </c>
      <c r="C5331">
        <v>5</v>
      </c>
      <c r="D5331">
        <v>1</v>
      </c>
      <c r="E5331">
        <v>5</v>
      </c>
      <c r="G5331" t="s">
        <v>15</v>
      </c>
      <c r="H5331" s="1">
        <v>45249</v>
      </c>
    </row>
    <row r="5332" spans="1:8" x14ac:dyDescent="0.35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</row>
    <row r="5334" spans="1:8" x14ac:dyDescent="0.35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5354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H5336" s="1">
        <v>45078</v>
      </c>
    </row>
    <row r="5337" spans="1:8" x14ac:dyDescent="0.35">
      <c r="A5337" t="s">
        <v>5356</v>
      </c>
      <c r="B5337" t="s">
        <v>19</v>
      </c>
      <c r="C5337">
        <v>4</v>
      </c>
      <c r="D5337">
        <v>5</v>
      </c>
      <c r="E5337">
        <v>20</v>
      </c>
      <c r="F5337" t="s">
        <v>21</v>
      </c>
      <c r="H5337" s="1">
        <v>44941</v>
      </c>
    </row>
    <row r="5338" spans="1:8" x14ac:dyDescent="0.35">
      <c r="A5338" t="s">
        <v>5357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5358</v>
      </c>
      <c r="B5339" t="s">
        <v>13</v>
      </c>
      <c r="C5339">
        <v>1</v>
      </c>
      <c r="D5339">
        <v>3</v>
      </c>
      <c r="E5339">
        <v>3</v>
      </c>
      <c r="H5339" s="1">
        <v>45230</v>
      </c>
    </row>
    <row r="5340" spans="1:8" x14ac:dyDescent="0.35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</row>
    <row r="5341" spans="1:8" x14ac:dyDescent="0.35">
      <c r="A5341" t="s">
        <v>5360</v>
      </c>
      <c r="B5341" t="s">
        <v>17</v>
      </c>
      <c r="C5341">
        <v>4</v>
      </c>
      <c r="D5341">
        <v>1</v>
      </c>
      <c r="E5341">
        <v>4</v>
      </c>
      <c r="H5341" s="1">
        <v>44951</v>
      </c>
    </row>
    <row r="5342" spans="1:8" x14ac:dyDescent="0.35">
      <c r="A5342" t="s">
        <v>5361</v>
      </c>
      <c r="B5342" t="s">
        <v>26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5363</v>
      </c>
      <c r="B5344" t="s">
        <v>17</v>
      </c>
      <c r="C5344">
        <v>5</v>
      </c>
      <c r="D5344">
        <v>1</v>
      </c>
      <c r="E5344">
        <v>5</v>
      </c>
      <c r="G5344" t="s">
        <v>15</v>
      </c>
      <c r="H5344" s="1">
        <v>45136</v>
      </c>
    </row>
    <row r="5345" spans="1:8" x14ac:dyDescent="0.35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</row>
    <row r="5347" spans="1:8" x14ac:dyDescent="0.35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H5347" s="1">
        <v>45226</v>
      </c>
    </row>
    <row r="5348" spans="1:8" x14ac:dyDescent="0.35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</row>
    <row r="5349" spans="1:8" x14ac:dyDescent="0.35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5369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5371</v>
      </c>
      <c r="B5352" t="s">
        <v>19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</row>
    <row r="5355" spans="1:8" x14ac:dyDescent="0.35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</row>
    <row r="5357" spans="1:8" x14ac:dyDescent="0.35">
      <c r="A5357" t="s">
        <v>5376</v>
      </c>
      <c r="B5357" t="s">
        <v>26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5377</v>
      </c>
      <c r="B5358" t="s">
        <v>63</v>
      </c>
      <c r="C5358">
        <v>5</v>
      </c>
      <c r="D5358">
        <v>1.5</v>
      </c>
      <c r="E5358">
        <v>7.5</v>
      </c>
      <c r="G5358" t="s">
        <v>15</v>
      </c>
      <c r="H5358" s="1">
        <v>45044</v>
      </c>
    </row>
    <row r="5359" spans="1:8" x14ac:dyDescent="0.35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</row>
    <row r="5361" spans="1:8" x14ac:dyDescent="0.35">
      <c r="A5361" t="s">
        <v>5380</v>
      </c>
      <c r="B5361" t="s">
        <v>37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5381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</row>
    <row r="5364" spans="1:8" x14ac:dyDescent="0.35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5384</v>
      </c>
      <c r="B5365" t="s">
        <v>9</v>
      </c>
      <c r="C5365">
        <v>3</v>
      </c>
      <c r="D5365">
        <v>2</v>
      </c>
      <c r="E5365">
        <v>6</v>
      </c>
      <c r="H5365" s="1">
        <v>45098</v>
      </c>
    </row>
    <row r="5366" spans="1:8" x14ac:dyDescent="0.35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5386</v>
      </c>
      <c r="B5367" t="s">
        <v>9</v>
      </c>
      <c r="C5367">
        <v>5</v>
      </c>
      <c r="D5367">
        <v>2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5387</v>
      </c>
      <c r="B5368" t="s">
        <v>26</v>
      </c>
      <c r="C5368">
        <v>1</v>
      </c>
      <c r="D5368">
        <v>4</v>
      </c>
      <c r="E5368">
        <v>4</v>
      </c>
      <c r="F5368" t="s">
        <v>21</v>
      </c>
      <c r="H5368" s="1">
        <v>45081</v>
      </c>
    </row>
    <row r="5369" spans="1:8" x14ac:dyDescent="0.35">
      <c r="A5369" t="s">
        <v>5388</v>
      </c>
      <c r="B5369" t="s">
        <v>17</v>
      </c>
      <c r="C5369">
        <v>5</v>
      </c>
      <c r="D5369">
        <v>1</v>
      </c>
      <c r="E5369">
        <v>5</v>
      </c>
      <c r="F5369" t="s">
        <v>21</v>
      </c>
      <c r="G5369" t="s">
        <v>11</v>
      </c>
      <c r="H5369" s="1">
        <v>45235</v>
      </c>
    </row>
    <row r="5370" spans="1:8" x14ac:dyDescent="0.35">
      <c r="A5370" t="s">
        <v>5389</v>
      </c>
      <c r="B5370" t="s">
        <v>63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5390</v>
      </c>
      <c r="B5371" t="s">
        <v>9</v>
      </c>
      <c r="C5371">
        <v>5</v>
      </c>
      <c r="D5371">
        <v>2</v>
      </c>
      <c r="E5371">
        <v>10</v>
      </c>
      <c r="H5371" s="1">
        <v>44976</v>
      </c>
    </row>
    <row r="5372" spans="1:8" x14ac:dyDescent="0.35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5392</v>
      </c>
      <c r="B5373" t="s">
        <v>37</v>
      </c>
      <c r="C5373">
        <v>2</v>
      </c>
      <c r="D5373">
        <v>3</v>
      </c>
      <c r="E5373">
        <v>6</v>
      </c>
      <c r="F5373" t="s">
        <v>14</v>
      </c>
      <c r="H5373" s="1">
        <v>45190</v>
      </c>
    </row>
    <row r="5374" spans="1:8" x14ac:dyDescent="0.35">
      <c r="A5374" t="s">
        <v>5393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</row>
    <row r="5378" spans="1:8" x14ac:dyDescent="0.35">
      <c r="A5378" t="s">
        <v>5397</v>
      </c>
      <c r="B5378" t="s">
        <v>26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5398</v>
      </c>
      <c r="B5379" t="s">
        <v>37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5402</v>
      </c>
      <c r="B5383" t="s">
        <v>17</v>
      </c>
      <c r="C5383">
        <v>3</v>
      </c>
      <c r="D5383">
        <v>1</v>
      </c>
      <c r="E5383">
        <v>3</v>
      </c>
      <c r="F5383" t="s">
        <v>21</v>
      </c>
      <c r="G5383" t="s">
        <v>15</v>
      </c>
      <c r="H5383" s="1">
        <v>45190</v>
      </c>
    </row>
    <row r="5384" spans="1:8" x14ac:dyDescent="0.35">
      <c r="A5384" t="s">
        <v>5403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</row>
    <row r="5387" spans="1:8" x14ac:dyDescent="0.35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</row>
    <row r="5388" spans="1:8" x14ac:dyDescent="0.35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5408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5409</v>
      </c>
      <c r="B5390" t="s">
        <v>17</v>
      </c>
      <c r="C5390">
        <v>4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5410</v>
      </c>
      <c r="B5391" t="s">
        <v>37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5412</v>
      </c>
      <c r="B5393" t="s">
        <v>9</v>
      </c>
      <c r="C5393">
        <v>5</v>
      </c>
      <c r="D5393">
        <v>2</v>
      </c>
      <c r="E5393">
        <v>10</v>
      </c>
      <c r="H5393" s="1">
        <v>44936</v>
      </c>
    </row>
    <row r="5394" spans="1:8" x14ac:dyDescent="0.35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</row>
    <row r="5396" spans="1:8" x14ac:dyDescent="0.35">
      <c r="A5396" t="s">
        <v>5415</v>
      </c>
      <c r="C5396">
        <v>2</v>
      </c>
      <c r="D5396">
        <v>1</v>
      </c>
      <c r="E5396">
        <v>2</v>
      </c>
      <c r="F5396" t="s">
        <v>21</v>
      </c>
      <c r="H5396" s="1">
        <v>45272</v>
      </c>
    </row>
    <row r="5397" spans="1:8" x14ac:dyDescent="0.35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H5397" s="1">
        <v>45188</v>
      </c>
    </row>
    <row r="5398" spans="1:8" x14ac:dyDescent="0.35">
      <c r="A5398" t="s">
        <v>5417</v>
      </c>
      <c r="B5398" t="s">
        <v>63</v>
      </c>
      <c r="C5398">
        <v>2</v>
      </c>
      <c r="D5398">
        <v>1.5</v>
      </c>
      <c r="E5398">
        <v>3</v>
      </c>
      <c r="G5398" t="s">
        <v>11</v>
      </c>
      <c r="H5398" s="1">
        <v>45255</v>
      </c>
    </row>
    <row r="5399" spans="1:8" x14ac:dyDescent="0.35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H5401" s="1">
        <v>45221</v>
      </c>
    </row>
    <row r="5402" spans="1:8" x14ac:dyDescent="0.35">
      <c r="A5402" t="s">
        <v>5421</v>
      </c>
      <c r="B5402" t="s">
        <v>19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</row>
    <row r="5404" spans="1:8" x14ac:dyDescent="0.35">
      <c r="A5404" t="s">
        <v>5423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</row>
    <row r="5407" spans="1:8" x14ac:dyDescent="0.35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5427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5428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</row>
    <row r="5412" spans="1:8" x14ac:dyDescent="0.35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</row>
    <row r="5413" spans="1:8" x14ac:dyDescent="0.35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H5413" s="1">
        <v>44957</v>
      </c>
    </row>
    <row r="5414" spans="1:8" x14ac:dyDescent="0.35">
      <c r="A5414" t="s">
        <v>5433</v>
      </c>
      <c r="B5414" t="s">
        <v>37</v>
      </c>
      <c r="C5414">
        <v>5</v>
      </c>
      <c r="D5414">
        <v>3</v>
      </c>
      <c r="E5414">
        <v>15</v>
      </c>
      <c r="G5414" t="s">
        <v>15</v>
      </c>
      <c r="H5414" s="1">
        <v>45023</v>
      </c>
    </row>
    <row r="5415" spans="1:8" x14ac:dyDescent="0.35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H5415" s="1">
        <v>45076</v>
      </c>
    </row>
    <row r="5416" spans="1:8" x14ac:dyDescent="0.35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</row>
    <row r="5419" spans="1:8" x14ac:dyDescent="0.35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5440</v>
      </c>
      <c r="B5421" t="s">
        <v>37</v>
      </c>
      <c r="C5421">
        <v>1</v>
      </c>
      <c r="D5421">
        <v>3</v>
      </c>
      <c r="E5421">
        <v>3</v>
      </c>
      <c r="G5421" t="s">
        <v>15</v>
      </c>
    </row>
    <row r="5422" spans="1:8" x14ac:dyDescent="0.35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</row>
    <row r="5423" spans="1:8" x14ac:dyDescent="0.35">
      <c r="A5423" t="s">
        <v>5442</v>
      </c>
      <c r="B5423" t="s">
        <v>9</v>
      </c>
      <c r="C5423">
        <v>5</v>
      </c>
      <c r="D5423">
        <v>2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5446</v>
      </c>
      <c r="B5427" t="s">
        <v>63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5447</v>
      </c>
      <c r="B5428" t="s">
        <v>23</v>
      </c>
      <c r="C5428">
        <v>5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</row>
    <row r="5430" spans="1:8" x14ac:dyDescent="0.35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</row>
    <row r="5433" spans="1:8" x14ac:dyDescent="0.35">
      <c r="A5433" t="s">
        <v>5452</v>
      </c>
      <c r="B5433" t="s">
        <v>63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</row>
    <row r="5435" spans="1:8" x14ac:dyDescent="0.35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</row>
    <row r="5436" spans="1:8" x14ac:dyDescent="0.35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5456</v>
      </c>
      <c r="B5437" t="s">
        <v>19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5458</v>
      </c>
      <c r="B5439" t="s">
        <v>26</v>
      </c>
      <c r="C5439">
        <v>4</v>
      </c>
      <c r="D5439">
        <v>4</v>
      </c>
      <c r="E5439">
        <v>16</v>
      </c>
      <c r="F5439" t="s">
        <v>14</v>
      </c>
      <c r="H5439" s="1">
        <v>45155</v>
      </c>
    </row>
    <row r="5440" spans="1:8" x14ac:dyDescent="0.35">
      <c r="A5440" t="s">
        <v>5459</v>
      </c>
      <c r="B5440" t="s">
        <v>17</v>
      </c>
      <c r="C5440">
        <v>5</v>
      </c>
      <c r="D5440">
        <v>1</v>
      </c>
      <c r="E5440">
        <v>5</v>
      </c>
      <c r="H5440" s="1">
        <v>45117</v>
      </c>
    </row>
    <row r="5441" spans="1:8" x14ac:dyDescent="0.35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5461</v>
      </c>
      <c r="B5442" t="s">
        <v>23</v>
      </c>
      <c r="C5442">
        <v>3</v>
      </c>
      <c r="D5442">
        <v>4</v>
      </c>
      <c r="E5442">
        <v>12</v>
      </c>
      <c r="G5442" t="s">
        <v>11</v>
      </c>
      <c r="H5442" s="1">
        <v>45102</v>
      </c>
    </row>
    <row r="5443" spans="1:8" x14ac:dyDescent="0.35">
      <c r="A5443" t="s">
        <v>5462</v>
      </c>
      <c r="B5443" t="s">
        <v>26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5463</v>
      </c>
      <c r="B5444" t="s">
        <v>19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5464</v>
      </c>
      <c r="B5445" t="s">
        <v>23</v>
      </c>
      <c r="C5445">
        <v>2</v>
      </c>
      <c r="D5445">
        <v>4</v>
      </c>
      <c r="E5445">
        <v>8</v>
      </c>
      <c r="F5445" t="s">
        <v>14</v>
      </c>
      <c r="H5445" s="1">
        <v>45148</v>
      </c>
    </row>
    <row r="5446" spans="1:8" x14ac:dyDescent="0.35">
      <c r="A5446" t="s">
        <v>5465</v>
      </c>
      <c r="B5446" t="s">
        <v>63</v>
      </c>
      <c r="C5446">
        <v>2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</row>
    <row r="5448" spans="1:8" x14ac:dyDescent="0.35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</row>
    <row r="5449" spans="1:8" x14ac:dyDescent="0.35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</row>
    <row r="5450" spans="1:8" x14ac:dyDescent="0.35">
      <c r="A5450" t="s">
        <v>5469</v>
      </c>
      <c r="B5450" t="s">
        <v>23</v>
      </c>
      <c r="C5450">
        <v>2</v>
      </c>
      <c r="D5450">
        <v>4</v>
      </c>
      <c r="E5450">
        <v>8</v>
      </c>
      <c r="G5450" t="s">
        <v>15</v>
      </c>
      <c r="H5450" s="1">
        <v>45238</v>
      </c>
    </row>
    <row r="5451" spans="1:8" x14ac:dyDescent="0.35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H5451" s="1">
        <v>45212</v>
      </c>
    </row>
    <row r="5452" spans="1:8" x14ac:dyDescent="0.35">
      <c r="A5452" t="s">
        <v>5471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5472</v>
      </c>
      <c r="B5453" t="s">
        <v>23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5473</v>
      </c>
      <c r="B5454" t="s">
        <v>23</v>
      </c>
      <c r="C5454">
        <v>4</v>
      </c>
      <c r="D5454">
        <v>4</v>
      </c>
      <c r="E5454">
        <v>16</v>
      </c>
      <c r="G5454" t="s">
        <v>11</v>
      </c>
      <c r="H5454" s="1">
        <v>45169</v>
      </c>
    </row>
    <row r="5455" spans="1:8" x14ac:dyDescent="0.35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</row>
    <row r="5456" spans="1:8" x14ac:dyDescent="0.35">
      <c r="A5456" t="s">
        <v>5475</v>
      </c>
      <c r="B5456" t="s">
        <v>13</v>
      </c>
      <c r="C5456">
        <v>5</v>
      </c>
      <c r="D5456">
        <v>3</v>
      </c>
      <c r="E5456">
        <v>15</v>
      </c>
      <c r="H5456" s="1">
        <v>45269</v>
      </c>
    </row>
    <row r="5457" spans="1:8" x14ac:dyDescent="0.35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</row>
    <row r="5458" spans="1:8" x14ac:dyDescent="0.35">
      <c r="A5458" t="s">
        <v>5477</v>
      </c>
      <c r="B5458" t="s">
        <v>26</v>
      </c>
      <c r="C5458">
        <v>5</v>
      </c>
      <c r="D5458">
        <v>4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H5459" s="1">
        <v>45103</v>
      </c>
    </row>
    <row r="5460" spans="1:8" x14ac:dyDescent="0.35">
      <c r="A5460" t="s">
        <v>5479</v>
      </c>
      <c r="B5460" t="s">
        <v>13</v>
      </c>
      <c r="C5460">
        <v>1</v>
      </c>
      <c r="D5460">
        <v>3</v>
      </c>
      <c r="E5460">
        <v>3</v>
      </c>
      <c r="H5460" s="1">
        <v>45165</v>
      </c>
    </row>
    <row r="5461" spans="1:8" x14ac:dyDescent="0.35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5481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5483</v>
      </c>
      <c r="B5464" t="s">
        <v>23</v>
      </c>
      <c r="C5464">
        <v>2</v>
      </c>
      <c r="D5464">
        <v>4</v>
      </c>
      <c r="E5464">
        <v>8</v>
      </c>
      <c r="H5464" s="1">
        <v>45227</v>
      </c>
    </row>
    <row r="5465" spans="1:8" x14ac:dyDescent="0.35">
      <c r="A5465" t="s">
        <v>5484</v>
      </c>
      <c r="B5465" t="s">
        <v>37</v>
      </c>
      <c r="C5465">
        <v>2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5485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5486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</row>
    <row r="5470" spans="1:8" x14ac:dyDescent="0.35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5490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5491</v>
      </c>
      <c r="B5472" t="s">
        <v>26</v>
      </c>
      <c r="C5472">
        <v>5</v>
      </c>
      <c r="D5472">
        <v>4</v>
      </c>
      <c r="E5472">
        <v>20</v>
      </c>
    </row>
    <row r="5473" spans="1:8" x14ac:dyDescent="0.35">
      <c r="A5473" t="s">
        <v>5492</v>
      </c>
      <c r="B5473" t="s">
        <v>13</v>
      </c>
      <c r="C5473">
        <v>5</v>
      </c>
      <c r="D5473">
        <v>3</v>
      </c>
      <c r="E5473">
        <v>15</v>
      </c>
      <c r="G5473" t="s">
        <v>11</v>
      </c>
    </row>
    <row r="5474" spans="1:8" x14ac:dyDescent="0.35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</row>
    <row r="5475" spans="1:8" x14ac:dyDescent="0.35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5495</v>
      </c>
      <c r="B5476" t="s">
        <v>26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H5477" s="1">
        <v>44990</v>
      </c>
    </row>
    <row r="5478" spans="1:8" x14ac:dyDescent="0.35">
      <c r="A5478" t="s">
        <v>5497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5498</v>
      </c>
      <c r="B5479" t="s">
        <v>26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5499</v>
      </c>
      <c r="B5480" t="s">
        <v>63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5501</v>
      </c>
      <c r="B5482" t="s">
        <v>19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H5485" s="1">
        <v>45008</v>
      </c>
    </row>
    <row r="5486" spans="1:8" x14ac:dyDescent="0.35">
      <c r="A5486" t="s">
        <v>5505</v>
      </c>
      <c r="B5486" t="s">
        <v>9</v>
      </c>
      <c r="C5486">
        <v>4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H5487" s="1">
        <v>45044</v>
      </c>
    </row>
    <row r="5488" spans="1:8" x14ac:dyDescent="0.35">
      <c r="A5488" t="s">
        <v>5507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H5489" s="1">
        <v>45133</v>
      </c>
    </row>
    <row r="5490" spans="1:8" x14ac:dyDescent="0.35">
      <c r="A5490" t="s">
        <v>5509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5510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5514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H5496" s="1">
        <v>45034</v>
      </c>
    </row>
    <row r="5497" spans="1:8" x14ac:dyDescent="0.35">
      <c r="A5497" t="s">
        <v>5516</v>
      </c>
      <c r="B5497" t="s">
        <v>26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5517</v>
      </c>
      <c r="B5498" t="s">
        <v>37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5520</v>
      </c>
      <c r="B5501" t="s">
        <v>19</v>
      </c>
      <c r="C5501">
        <v>3</v>
      </c>
      <c r="D5501">
        <v>5</v>
      </c>
      <c r="E5501">
        <v>15</v>
      </c>
    </row>
    <row r="5502" spans="1:8" x14ac:dyDescent="0.35">
      <c r="A5502" t="s">
        <v>5521</v>
      </c>
      <c r="B5502" t="s">
        <v>23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5522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5523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5525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</row>
    <row r="5509" spans="1:8" x14ac:dyDescent="0.35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5533</v>
      </c>
      <c r="B5514" t="s">
        <v>13</v>
      </c>
      <c r="C5514">
        <v>1</v>
      </c>
      <c r="D5514">
        <v>3</v>
      </c>
      <c r="E5514">
        <v>3</v>
      </c>
      <c r="H5514" s="1">
        <v>45064</v>
      </c>
    </row>
    <row r="5515" spans="1:8" x14ac:dyDescent="0.35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</row>
    <row r="5517" spans="1:8" x14ac:dyDescent="0.35">
      <c r="A5517" t="s">
        <v>5536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5538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5539</v>
      </c>
      <c r="B5520" t="s">
        <v>63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5540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5542</v>
      </c>
      <c r="B5523" t="s">
        <v>9</v>
      </c>
      <c r="C5523">
        <v>3</v>
      </c>
      <c r="D5523">
        <v>2</v>
      </c>
      <c r="E5523">
        <v>6</v>
      </c>
      <c r="G5523" t="s">
        <v>15</v>
      </c>
      <c r="H5523" s="1">
        <v>45015</v>
      </c>
    </row>
    <row r="5524" spans="1:8" x14ac:dyDescent="0.35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H5524" s="1">
        <v>45166</v>
      </c>
    </row>
    <row r="5525" spans="1:8" x14ac:dyDescent="0.35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5545</v>
      </c>
      <c r="B5526" t="s">
        <v>63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5546</v>
      </c>
      <c r="B5527" t="s">
        <v>26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5547</v>
      </c>
      <c r="B5528" t="s">
        <v>37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</row>
    <row r="5530" spans="1:8" x14ac:dyDescent="0.35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5550</v>
      </c>
      <c r="B5531" t="s">
        <v>19</v>
      </c>
      <c r="C5531">
        <v>4</v>
      </c>
      <c r="D5531">
        <v>5</v>
      </c>
      <c r="E5531">
        <v>20</v>
      </c>
      <c r="F5531" t="s">
        <v>14</v>
      </c>
      <c r="H5531" s="1">
        <v>45262</v>
      </c>
    </row>
    <row r="5532" spans="1:8" x14ac:dyDescent="0.35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</row>
    <row r="5533" spans="1:8" x14ac:dyDescent="0.35">
      <c r="A5533" t="s">
        <v>5552</v>
      </c>
      <c r="B5533" t="s">
        <v>63</v>
      </c>
      <c r="C5533">
        <v>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5553</v>
      </c>
      <c r="B5534" t="s">
        <v>17</v>
      </c>
      <c r="C5534">
        <v>5</v>
      </c>
      <c r="D5534">
        <v>1</v>
      </c>
      <c r="E5534">
        <v>5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5554</v>
      </c>
      <c r="B5535" t="s">
        <v>23</v>
      </c>
      <c r="C5535">
        <v>3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</row>
    <row r="5537" spans="1:8" x14ac:dyDescent="0.35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</row>
    <row r="5538" spans="1:8" x14ac:dyDescent="0.35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</row>
    <row r="5539" spans="1:8" x14ac:dyDescent="0.35">
      <c r="A5539" t="s">
        <v>5558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</row>
    <row r="5540" spans="1:8" x14ac:dyDescent="0.35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</row>
    <row r="5541" spans="1:8" x14ac:dyDescent="0.35">
      <c r="A5541" t="s">
        <v>5560</v>
      </c>
      <c r="B5541" t="s">
        <v>26</v>
      </c>
      <c r="C5541">
        <v>4</v>
      </c>
      <c r="D5541">
        <v>4</v>
      </c>
      <c r="E5541">
        <v>16</v>
      </c>
      <c r="F5541" t="s">
        <v>21</v>
      </c>
      <c r="H5541" s="1">
        <v>45090</v>
      </c>
    </row>
    <row r="5542" spans="1:8" x14ac:dyDescent="0.35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5562</v>
      </c>
      <c r="B5543" t="s">
        <v>63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5563</v>
      </c>
      <c r="B5544" t="s">
        <v>23</v>
      </c>
      <c r="C5544">
        <v>1</v>
      </c>
      <c r="D5544">
        <v>4</v>
      </c>
      <c r="E5544">
        <v>4</v>
      </c>
      <c r="H5544" s="1">
        <v>44983</v>
      </c>
    </row>
    <row r="5545" spans="1:8" x14ac:dyDescent="0.35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H5545" s="1">
        <v>45272</v>
      </c>
    </row>
    <row r="5546" spans="1:8" x14ac:dyDescent="0.35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5566</v>
      </c>
      <c r="B5547" t="s">
        <v>63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5568</v>
      </c>
      <c r="B5549" t="s">
        <v>17</v>
      </c>
      <c r="C5549">
        <v>5</v>
      </c>
      <c r="D5549">
        <v>1</v>
      </c>
      <c r="E5549">
        <v>5</v>
      </c>
      <c r="H5549" s="1">
        <v>45057</v>
      </c>
    </row>
    <row r="5550" spans="1:8" x14ac:dyDescent="0.35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H5551" s="1">
        <v>45147</v>
      </c>
    </row>
    <row r="5552" spans="1:8" x14ac:dyDescent="0.35">
      <c r="A5552" t="s">
        <v>5571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5572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H5554" s="1">
        <v>45098</v>
      </c>
    </row>
    <row r="5555" spans="1:8" x14ac:dyDescent="0.35">
      <c r="A5555" t="s">
        <v>5574</v>
      </c>
      <c r="B5555" t="s">
        <v>9</v>
      </c>
      <c r="C5555">
        <v>2</v>
      </c>
      <c r="D5555">
        <v>2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5576</v>
      </c>
      <c r="B5557" t="s">
        <v>17</v>
      </c>
      <c r="C5557">
        <v>2</v>
      </c>
      <c r="D5557">
        <v>1</v>
      </c>
      <c r="E5557">
        <v>2</v>
      </c>
      <c r="H5557" s="1">
        <v>45103</v>
      </c>
    </row>
    <row r="5558" spans="1:8" x14ac:dyDescent="0.35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5579</v>
      </c>
      <c r="B5560" t="s">
        <v>13</v>
      </c>
      <c r="C5560">
        <v>3</v>
      </c>
      <c r="D5560">
        <v>3</v>
      </c>
      <c r="E5560">
        <v>9</v>
      </c>
      <c r="G5560" t="s">
        <v>15</v>
      </c>
      <c r="H5560" s="1">
        <v>45085</v>
      </c>
    </row>
    <row r="5561" spans="1:8" x14ac:dyDescent="0.35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5582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5585</v>
      </c>
      <c r="B5566" t="s">
        <v>26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H5567" s="1">
        <v>45197</v>
      </c>
    </row>
    <row r="5568" spans="1:8" x14ac:dyDescent="0.35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5588</v>
      </c>
      <c r="B5569" t="s">
        <v>19</v>
      </c>
      <c r="C5569">
        <v>2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5589</v>
      </c>
      <c r="B5570" t="s">
        <v>37</v>
      </c>
      <c r="C5570">
        <v>3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</row>
    <row r="5575" spans="1:8" x14ac:dyDescent="0.35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</row>
    <row r="5576" spans="1:8" x14ac:dyDescent="0.35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</row>
    <row r="5577" spans="1:8" x14ac:dyDescent="0.35">
      <c r="A5577" t="s">
        <v>5596</v>
      </c>
      <c r="B5577" t="s">
        <v>13</v>
      </c>
      <c r="C5577">
        <v>3</v>
      </c>
      <c r="D5577">
        <v>3</v>
      </c>
      <c r="E5577">
        <v>9</v>
      </c>
      <c r="H5577" s="1">
        <v>45106</v>
      </c>
    </row>
    <row r="5578" spans="1:8" x14ac:dyDescent="0.35">
      <c r="A5578" t="s">
        <v>5597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5598</v>
      </c>
      <c r="B5579" t="s">
        <v>63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H5580" s="1">
        <v>45105</v>
      </c>
    </row>
    <row r="5581" spans="1:8" x14ac:dyDescent="0.35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</row>
    <row r="5583" spans="1:8" x14ac:dyDescent="0.35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</row>
    <row r="5584" spans="1:8" x14ac:dyDescent="0.35">
      <c r="A5584" t="s">
        <v>5603</v>
      </c>
      <c r="B5584" t="s">
        <v>23</v>
      </c>
      <c r="C5584">
        <v>4</v>
      </c>
      <c r="D5584">
        <v>4</v>
      </c>
      <c r="E5584">
        <v>16</v>
      </c>
      <c r="F5584" t="s">
        <v>21</v>
      </c>
      <c r="H5584" s="1">
        <v>44970</v>
      </c>
    </row>
    <row r="5585" spans="1:8" x14ac:dyDescent="0.35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</row>
    <row r="5586" spans="1:8" x14ac:dyDescent="0.35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</row>
    <row r="5587" spans="1:8" x14ac:dyDescent="0.35">
      <c r="A5587" t="s">
        <v>5606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5609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5610</v>
      </c>
      <c r="B5591" t="s">
        <v>37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5611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5614</v>
      </c>
      <c r="B5595" t="s">
        <v>26</v>
      </c>
      <c r="C5595">
        <v>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H5596" s="1">
        <v>45157</v>
      </c>
    </row>
    <row r="5597" spans="1:8" x14ac:dyDescent="0.35">
      <c r="A5597" t="s">
        <v>5616</v>
      </c>
      <c r="B5597" t="s">
        <v>13</v>
      </c>
      <c r="C5597">
        <v>2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</row>
    <row r="5598" spans="1:8" x14ac:dyDescent="0.35">
      <c r="A5598" t="s">
        <v>5617</v>
      </c>
      <c r="B5598" t="s">
        <v>63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5618</v>
      </c>
      <c r="B5599" t="s">
        <v>19</v>
      </c>
      <c r="C5599">
        <v>3</v>
      </c>
      <c r="D5599">
        <v>5</v>
      </c>
      <c r="E5599">
        <v>15</v>
      </c>
      <c r="H5599" s="1">
        <v>45221</v>
      </c>
    </row>
    <row r="5600" spans="1:8" x14ac:dyDescent="0.35">
      <c r="A5600" t="s">
        <v>5619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5621</v>
      </c>
      <c r="B5602" t="s">
        <v>63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5622</v>
      </c>
      <c r="B5603" t="s">
        <v>37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H5604" s="1">
        <v>45135</v>
      </c>
    </row>
    <row r="5605" spans="1:8" x14ac:dyDescent="0.35">
      <c r="A5605" t="s">
        <v>5624</v>
      </c>
      <c r="B5605" t="s">
        <v>13</v>
      </c>
      <c r="C5605">
        <v>4</v>
      </c>
      <c r="D5605">
        <v>3</v>
      </c>
      <c r="E5605">
        <v>12</v>
      </c>
      <c r="H5605" s="1">
        <v>44968</v>
      </c>
    </row>
    <row r="5606" spans="1:8" x14ac:dyDescent="0.35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5627</v>
      </c>
      <c r="B5608" t="s">
        <v>37</v>
      </c>
      <c r="C5608">
        <v>2</v>
      </c>
      <c r="D5608">
        <v>3</v>
      </c>
      <c r="E5608">
        <v>6</v>
      </c>
      <c r="G5608" t="s">
        <v>15</v>
      </c>
      <c r="H5608" s="1">
        <v>45102</v>
      </c>
    </row>
    <row r="5609" spans="1:8" x14ac:dyDescent="0.35">
      <c r="A5609" t="s">
        <v>5628</v>
      </c>
      <c r="B5609" t="s">
        <v>23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5630</v>
      </c>
      <c r="B5611" t="s">
        <v>19</v>
      </c>
      <c r="C5611">
        <v>2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</row>
    <row r="5612" spans="1:8" x14ac:dyDescent="0.35">
      <c r="A5612" t="s">
        <v>5631</v>
      </c>
      <c r="B5612" t="s">
        <v>23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5632</v>
      </c>
      <c r="B5613" t="s">
        <v>23</v>
      </c>
      <c r="C5613">
        <v>4</v>
      </c>
      <c r="D5613">
        <v>4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H5616" s="1">
        <v>44955</v>
      </c>
    </row>
    <row r="5617" spans="1:8" x14ac:dyDescent="0.35">
      <c r="A5617" t="s">
        <v>5636</v>
      </c>
      <c r="B5617" t="s">
        <v>26</v>
      </c>
      <c r="C5617">
        <v>3</v>
      </c>
      <c r="D5617">
        <v>4</v>
      </c>
      <c r="E5617">
        <v>12</v>
      </c>
      <c r="H5617" s="1">
        <v>45230</v>
      </c>
    </row>
    <row r="5618" spans="1:8" x14ac:dyDescent="0.35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</row>
    <row r="5619" spans="1:8" x14ac:dyDescent="0.35">
      <c r="A5619" t="s">
        <v>5638</v>
      </c>
      <c r="B5619" t="s">
        <v>26</v>
      </c>
      <c r="C5619">
        <v>2</v>
      </c>
      <c r="D5619">
        <v>4</v>
      </c>
      <c r="E5619">
        <v>8</v>
      </c>
      <c r="H5619" s="1">
        <v>44944</v>
      </c>
    </row>
    <row r="5620" spans="1:8" x14ac:dyDescent="0.35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</row>
    <row r="5621" spans="1:8" x14ac:dyDescent="0.35">
      <c r="A5621" t="s">
        <v>5640</v>
      </c>
      <c r="C5621">
        <v>5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5642</v>
      </c>
      <c r="B5623" t="s">
        <v>17</v>
      </c>
      <c r="C5623">
        <v>4</v>
      </c>
      <c r="D5623">
        <v>1</v>
      </c>
      <c r="E5623">
        <v>4</v>
      </c>
      <c r="H5623" s="1">
        <v>45104</v>
      </c>
    </row>
    <row r="5624" spans="1:8" x14ac:dyDescent="0.35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H5624" s="1">
        <v>45203</v>
      </c>
    </row>
    <row r="5625" spans="1:8" x14ac:dyDescent="0.35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5645</v>
      </c>
      <c r="B5626" t="s">
        <v>23</v>
      </c>
      <c r="C5626">
        <v>4</v>
      </c>
      <c r="D5626">
        <v>4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5647</v>
      </c>
      <c r="B5628" t="s">
        <v>63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5649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5651</v>
      </c>
      <c r="B5632" t="s">
        <v>26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5653</v>
      </c>
      <c r="B5634" t="s">
        <v>23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5654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5655</v>
      </c>
      <c r="B5636" t="s">
        <v>26</v>
      </c>
      <c r="C5636">
        <v>2</v>
      </c>
      <c r="D5636">
        <v>4</v>
      </c>
      <c r="E5636">
        <v>8</v>
      </c>
      <c r="F5636" t="s">
        <v>21</v>
      </c>
      <c r="G5636" t="s">
        <v>11</v>
      </c>
      <c r="H5636" s="1">
        <v>45238</v>
      </c>
    </row>
    <row r="5637" spans="1:8" x14ac:dyDescent="0.35">
      <c r="A5637" t="s">
        <v>5656</v>
      </c>
      <c r="B5637" t="s">
        <v>26</v>
      </c>
      <c r="C5637">
        <v>2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5657</v>
      </c>
      <c r="B5638" t="s">
        <v>23</v>
      </c>
      <c r="C5638">
        <v>3</v>
      </c>
      <c r="D5638">
        <v>4</v>
      </c>
      <c r="E5638">
        <v>12</v>
      </c>
      <c r="F5638" t="s">
        <v>21</v>
      </c>
      <c r="H5638" s="1">
        <v>44933</v>
      </c>
    </row>
    <row r="5639" spans="1:8" x14ac:dyDescent="0.35">
      <c r="A5639" t="s">
        <v>5658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5659</v>
      </c>
      <c r="B5640" t="s">
        <v>19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5660</v>
      </c>
      <c r="B5641" t="s">
        <v>63</v>
      </c>
      <c r="C5641">
        <v>4</v>
      </c>
      <c r="D5641">
        <v>1.5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</row>
    <row r="5643" spans="1:8" x14ac:dyDescent="0.35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5663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5664</v>
      </c>
      <c r="B5645" t="s">
        <v>63</v>
      </c>
      <c r="C5645">
        <v>2</v>
      </c>
      <c r="D5645">
        <v>1.5</v>
      </c>
      <c r="E5645">
        <v>3</v>
      </c>
      <c r="G5645" t="s">
        <v>11</v>
      </c>
    </row>
    <row r="5646" spans="1:8" x14ac:dyDescent="0.35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</row>
    <row r="5647" spans="1:8" x14ac:dyDescent="0.35">
      <c r="A5647" t="s">
        <v>5666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5667</v>
      </c>
      <c r="B5648" t="s">
        <v>37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5668</v>
      </c>
      <c r="B5649" t="s">
        <v>9</v>
      </c>
      <c r="C5649">
        <v>3</v>
      </c>
      <c r="D5649">
        <v>2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5670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5671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5673</v>
      </c>
      <c r="B5654" t="s">
        <v>23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H5655" s="1">
        <v>45272</v>
      </c>
    </row>
    <row r="5656" spans="1:8" x14ac:dyDescent="0.35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H5656" s="1">
        <v>44979</v>
      </c>
    </row>
    <row r="5657" spans="1:8" x14ac:dyDescent="0.35">
      <c r="A5657" t="s">
        <v>5676</v>
      </c>
      <c r="B5657" t="s">
        <v>26</v>
      </c>
      <c r="C5657">
        <v>3</v>
      </c>
      <c r="D5657">
        <v>4</v>
      </c>
      <c r="E5657">
        <v>12</v>
      </c>
      <c r="G5657" t="s">
        <v>11</v>
      </c>
      <c r="H5657" s="1">
        <v>45031</v>
      </c>
    </row>
    <row r="5658" spans="1:8" x14ac:dyDescent="0.35">
      <c r="A5658" t="s">
        <v>5677</v>
      </c>
      <c r="B5658" t="s">
        <v>37</v>
      </c>
      <c r="C5658">
        <v>3</v>
      </c>
      <c r="D5658">
        <v>3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5678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H5660" s="1">
        <v>45055</v>
      </c>
    </row>
    <row r="5661" spans="1:8" x14ac:dyDescent="0.35">
      <c r="A5661" t="s">
        <v>5680</v>
      </c>
      <c r="B5661" t="s">
        <v>17</v>
      </c>
      <c r="C5661">
        <v>4</v>
      </c>
      <c r="D5661">
        <v>1</v>
      </c>
      <c r="E5661">
        <v>4</v>
      </c>
      <c r="G5661" t="s">
        <v>15</v>
      </c>
      <c r="H5661" s="1">
        <v>45197</v>
      </c>
    </row>
    <row r="5662" spans="1:8" x14ac:dyDescent="0.35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H5662" s="1">
        <v>45279</v>
      </c>
    </row>
    <row r="5663" spans="1:8" x14ac:dyDescent="0.35">
      <c r="A5663" t="s">
        <v>5682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5684</v>
      </c>
      <c r="B5665" t="s">
        <v>23</v>
      </c>
      <c r="C5665">
        <v>4</v>
      </c>
      <c r="D5665">
        <v>4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</row>
    <row r="5668" spans="1:8" x14ac:dyDescent="0.35">
      <c r="A5668" t="s">
        <v>5687</v>
      </c>
      <c r="B5668" t="s">
        <v>13</v>
      </c>
      <c r="C5668">
        <v>5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H5669" s="1">
        <v>45159</v>
      </c>
    </row>
    <row r="5670" spans="1:8" x14ac:dyDescent="0.35">
      <c r="A5670" t="s">
        <v>5689</v>
      </c>
      <c r="B5670" t="s">
        <v>17</v>
      </c>
      <c r="C5670">
        <v>4</v>
      </c>
      <c r="D5670">
        <v>1</v>
      </c>
      <c r="E5670">
        <v>4</v>
      </c>
      <c r="F5670" t="s">
        <v>10</v>
      </c>
      <c r="G5670" t="s">
        <v>15</v>
      </c>
    </row>
    <row r="5671" spans="1:8" x14ac:dyDescent="0.35">
      <c r="A5671" t="s">
        <v>5690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5691</v>
      </c>
      <c r="B5672" t="s">
        <v>9</v>
      </c>
      <c r="C5672">
        <v>3</v>
      </c>
      <c r="D5672">
        <v>2</v>
      </c>
      <c r="E5672">
        <v>6</v>
      </c>
      <c r="H5672" s="1">
        <v>45036</v>
      </c>
    </row>
    <row r="5673" spans="1:8" x14ac:dyDescent="0.35">
      <c r="A5673" t="s">
        <v>5692</v>
      </c>
      <c r="B5673" t="s">
        <v>37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5693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5695</v>
      </c>
      <c r="B5676" t="s">
        <v>63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5696</v>
      </c>
      <c r="B5677" t="s">
        <v>37</v>
      </c>
      <c r="C5677">
        <v>5</v>
      </c>
      <c r="D5677">
        <v>3</v>
      </c>
      <c r="E5677">
        <v>15</v>
      </c>
      <c r="H5677" s="1">
        <v>45283</v>
      </c>
    </row>
    <row r="5678" spans="1:8" x14ac:dyDescent="0.35">
      <c r="A5678" t="s">
        <v>5697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5698</v>
      </c>
      <c r="B5679" t="s">
        <v>19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</row>
    <row r="5681" spans="1:8" x14ac:dyDescent="0.35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5701</v>
      </c>
      <c r="B5682" t="s">
        <v>26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5702</v>
      </c>
      <c r="B5683" t="s">
        <v>23</v>
      </c>
      <c r="C5683">
        <v>2</v>
      </c>
      <c r="D5683">
        <v>4</v>
      </c>
      <c r="E5683">
        <v>8</v>
      </c>
      <c r="H5683" s="1">
        <v>44988</v>
      </c>
    </row>
    <row r="5684" spans="1:8" x14ac:dyDescent="0.35">
      <c r="A5684" t="s">
        <v>5703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5704</v>
      </c>
      <c r="B5685" t="s">
        <v>37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5706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5708</v>
      </c>
      <c r="B5689" t="s">
        <v>37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H5691" s="1">
        <v>44949</v>
      </c>
    </row>
    <row r="5692" spans="1:8" x14ac:dyDescent="0.35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</row>
    <row r="5693" spans="1:8" x14ac:dyDescent="0.35">
      <c r="A5693" t="s">
        <v>5712</v>
      </c>
      <c r="B5693" t="s">
        <v>26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5714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5716</v>
      </c>
      <c r="B5697" t="s">
        <v>23</v>
      </c>
      <c r="C5697">
        <v>5</v>
      </c>
      <c r="D5697">
        <v>4</v>
      </c>
      <c r="E5697">
        <v>20</v>
      </c>
      <c r="F5697" t="s">
        <v>21</v>
      </c>
      <c r="H5697" s="1">
        <v>45203</v>
      </c>
    </row>
    <row r="5698" spans="1:8" x14ac:dyDescent="0.35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H5699" s="1">
        <v>45000</v>
      </c>
    </row>
    <row r="5700" spans="1:8" x14ac:dyDescent="0.35">
      <c r="A5700" t="s">
        <v>5719</v>
      </c>
      <c r="B5700" t="s">
        <v>23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5722</v>
      </c>
      <c r="B5703" t="s">
        <v>26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5725</v>
      </c>
      <c r="B5706" t="s">
        <v>26</v>
      </c>
      <c r="C5706">
        <v>3</v>
      </c>
      <c r="D5706">
        <v>4</v>
      </c>
      <c r="E5706">
        <v>12</v>
      </c>
      <c r="H5706" s="1">
        <v>45157</v>
      </c>
    </row>
    <row r="5707" spans="1:8" x14ac:dyDescent="0.35">
      <c r="A5707" t="s">
        <v>5726</v>
      </c>
      <c r="B5707" t="s">
        <v>63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H5709" s="1">
        <v>45055</v>
      </c>
    </row>
    <row r="5710" spans="1:8" x14ac:dyDescent="0.35">
      <c r="A5710" t="s">
        <v>5729</v>
      </c>
      <c r="B5710" t="s">
        <v>19</v>
      </c>
      <c r="C5710">
        <v>2</v>
      </c>
      <c r="D5710">
        <v>5</v>
      </c>
      <c r="E5710">
        <v>10</v>
      </c>
      <c r="H5710" s="1">
        <v>45001</v>
      </c>
    </row>
    <row r="5711" spans="1:8" x14ac:dyDescent="0.35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5731</v>
      </c>
      <c r="B5712" t="s">
        <v>19</v>
      </c>
      <c r="C5712">
        <v>5</v>
      </c>
      <c r="D5712">
        <v>5</v>
      </c>
      <c r="E5712">
        <v>25</v>
      </c>
      <c r="F5712" t="s">
        <v>21</v>
      </c>
      <c r="H5712" s="1">
        <v>45040</v>
      </c>
    </row>
    <row r="5713" spans="1:8" x14ac:dyDescent="0.35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5733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5734</v>
      </c>
      <c r="B5715" t="s">
        <v>9</v>
      </c>
      <c r="C5715">
        <v>3</v>
      </c>
      <c r="D5715">
        <v>2</v>
      </c>
      <c r="E5715">
        <v>6</v>
      </c>
      <c r="H5715" s="1">
        <v>45243</v>
      </c>
    </row>
    <row r="5716" spans="1:8" x14ac:dyDescent="0.35">
      <c r="A5716" t="s">
        <v>5735</v>
      </c>
      <c r="C5716">
        <v>1</v>
      </c>
      <c r="D5716">
        <v>4</v>
      </c>
      <c r="E5716">
        <v>4</v>
      </c>
      <c r="H5716" s="1">
        <v>45146</v>
      </c>
    </row>
    <row r="5717" spans="1:8" x14ac:dyDescent="0.35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5737</v>
      </c>
      <c r="B5718" t="s">
        <v>63</v>
      </c>
      <c r="C5718">
        <v>3</v>
      </c>
      <c r="D5718">
        <v>1.5</v>
      </c>
      <c r="E5718">
        <v>4.5</v>
      </c>
      <c r="H5718" s="1">
        <v>45007</v>
      </c>
    </row>
    <row r="5719" spans="1:8" x14ac:dyDescent="0.35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</row>
    <row r="5721" spans="1:8" x14ac:dyDescent="0.35">
      <c r="A5721" t="s">
        <v>5740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5741</v>
      </c>
      <c r="B5722" t="s">
        <v>37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</row>
    <row r="5724" spans="1:8" x14ac:dyDescent="0.35">
      <c r="A5724" t="s">
        <v>5743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</row>
    <row r="5730" spans="1:8" x14ac:dyDescent="0.35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</row>
    <row r="5731" spans="1:8" x14ac:dyDescent="0.35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</row>
    <row r="5732" spans="1:8" x14ac:dyDescent="0.35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H5732" s="1">
        <v>45009</v>
      </c>
    </row>
    <row r="5733" spans="1:8" x14ac:dyDescent="0.35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H5735" s="1">
        <v>45090</v>
      </c>
    </row>
    <row r="5736" spans="1:8" x14ac:dyDescent="0.35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5756</v>
      </c>
      <c r="B5737" t="s">
        <v>13</v>
      </c>
      <c r="C5737">
        <v>3</v>
      </c>
      <c r="D5737">
        <v>3</v>
      </c>
      <c r="E5737">
        <v>9</v>
      </c>
      <c r="H5737" s="1">
        <v>44955</v>
      </c>
    </row>
    <row r="5738" spans="1:8" x14ac:dyDescent="0.35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5760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5762</v>
      </c>
      <c r="B5743" t="s">
        <v>19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H5744" s="1">
        <v>44949</v>
      </c>
    </row>
    <row r="5745" spans="1:8" x14ac:dyDescent="0.35">
      <c r="A5745" t="s">
        <v>5764</v>
      </c>
      <c r="C5745">
        <v>5</v>
      </c>
      <c r="D5745">
        <v>4</v>
      </c>
      <c r="E5745">
        <v>20</v>
      </c>
      <c r="G5745" t="s">
        <v>11</v>
      </c>
      <c r="H5745" s="1">
        <v>45282</v>
      </c>
    </row>
    <row r="5746" spans="1:8" x14ac:dyDescent="0.35">
      <c r="A5746" t="s">
        <v>5765</v>
      </c>
      <c r="B5746" t="s">
        <v>26</v>
      </c>
      <c r="C5746">
        <v>2</v>
      </c>
      <c r="D5746">
        <v>4</v>
      </c>
      <c r="E5746">
        <v>8</v>
      </c>
      <c r="H5746" s="1">
        <v>45221</v>
      </c>
    </row>
    <row r="5747" spans="1:8" x14ac:dyDescent="0.35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5767</v>
      </c>
      <c r="B5748" t="s">
        <v>26</v>
      </c>
      <c r="C5748">
        <v>4</v>
      </c>
      <c r="D5748">
        <v>4</v>
      </c>
      <c r="E5748">
        <v>16</v>
      </c>
      <c r="F5748" t="s">
        <v>21</v>
      </c>
      <c r="G5748" t="s">
        <v>11</v>
      </c>
      <c r="H5748" s="1">
        <v>45216</v>
      </c>
    </row>
    <row r="5749" spans="1:8" x14ac:dyDescent="0.35">
      <c r="A5749" t="s">
        <v>5768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5769</v>
      </c>
      <c r="B5750" t="s">
        <v>13</v>
      </c>
      <c r="C5750">
        <v>1</v>
      </c>
      <c r="D5750">
        <v>3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5770</v>
      </c>
      <c r="B5751" t="s">
        <v>23</v>
      </c>
      <c r="C5751">
        <v>2</v>
      </c>
      <c r="D5751">
        <v>4</v>
      </c>
      <c r="E5751">
        <v>8</v>
      </c>
      <c r="G5751" t="s">
        <v>15</v>
      </c>
      <c r="H5751" s="1">
        <v>45018</v>
      </c>
    </row>
    <row r="5752" spans="1:8" x14ac:dyDescent="0.35">
      <c r="A5752" t="s">
        <v>5771</v>
      </c>
      <c r="B5752" t="s">
        <v>17</v>
      </c>
      <c r="C5752">
        <v>2</v>
      </c>
      <c r="D5752">
        <v>1</v>
      </c>
      <c r="E5752">
        <v>2</v>
      </c>
      <c r="G5752" t="s">
        <v>11</v>
      </c>
      <c r="H5752" s="1">
        <v>45189</v>
      </c>
    </row>
    <row r="5753" spans="1:8" x14ac:dyDescent="0.35">
      <c r="A5753" t="s">
        <v>5772</v>
      </c>
      <c r="B5753" t="s">
        <v>9</v>
      </c>
      <c r="C5753">
        <v>2</v>
      </c>
      <c r="D5753">
        <v>2</v>
      </c>
      <c r="E5753">
        <v>4</v>
      </c>
      <c r="H5753" s="1">
        <v>44980</v>
      </c>
    </row>
    <row r="5754" spans="1:8" x14ac:dyDescent="0.35">
      <c r="A5754" t="s">
        <v>5773</v>
      </c>
      <c r="B5754" t="s">
        <v>9</v>
      </c>
      <c r="C5754">
        <v>4</v>
      </c>
      <c r="D5754">
        <v>2</v>
      </c>
      <c r="E5754">
        <v>8</v>
      </c>
    </row>
    <row r="5755" spans="1:8" x14ac:dyDescent="0.35">
      <c r="A5755" t="s">
        <v>5774</v>
      </c>
      <c r="B5755" t="s">
        <v>9</v>
      </c>
      <c r="C5755">
        <v>3</v>
      </c>
      <c r="D5755">
        <v>2</v>
      </c>
      <c r="E5755">
        <v>6</v>
      </c>
      <c r="H5755" s="1">
        <v>45038</v>
      </c>
    </row>
    <row r="5756" spans="1:8" x14ac:dyDescent="0.35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5777</v>
      </c>
      <c r="B5758" t="s">
        <v>17</v>
      </c>
      <c r="C5758">
        <v>2</v>
      </c>
      <c r="D5758">
        <v>1</v>
      </c>
      <c r="E5758">
        <v>2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5779</v>
      </c>
      <c r="B5760" t="s">
        <v>17</v>
      </c>
      <c r="C5760">
        <v>2</v>
      </c>
      <c r="D5760">
        <v>1</v>
      </c>
      <c r="E5760">
        <v>2</v>
      </c>
      <c r="G5760" t="s">
        <v>15</v>
      </c>
      <c r="H5760" s="1">
        <v>45249</v>
      </c>
    </row>
    <row r="5761" spans="1:8" x14ac:dyDescent="0.35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H5761" s="1">
        <v>45260</v>
      </c>
    </row>
    <row r="5762" spans="1:8" x14ac:dyDescent="0.35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</row>
    <row r="5763" spans="1:8" x14ac:dyDescent="0.35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</row>
    <row r="5764" spans="1:8" x14ac:dyDescent="0.35">
      <c r="A5764" t="s">
        <v>5783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</row>
    <row r="5766" spans="1:8" x14ac:dyDescent="0.35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</row>
    <row r="5767" spans="1:8" x14ac:dyDescent="0.35">
      <c r="A5767" t="s">
        <v>5786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5787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5789</v>
      </c>
      <c r="B5770" t="s">
        <v>19</v>
      </c>
      <c r="C5770">
        <v>3</v>
      </c>
      <c r="D5770">
        <v>5</v>
      </c>
      <c r="E5770">
        <v>15</v>
      </c>
      <c r="F5770" t="s">
        <v>14</v>
      </c>
      <c r="H5770" s="1">
        <v>44929</v>
      </c>
    </row>
    <row r="5771" spans="1:8" x14ac:dyDescent="0.35">
      <c r="A5771" t="s">
        <v>5790</v>
      </c>
      <c r="B5771" t="s">
        <v>63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5791</v>
      </c>
      <c r="B5772" t="s">
        <v>37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5793</v>
      </c>
      <c r="B5774" t="s">
        <v>19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5794</v>
      </c>
      <c r="B5775" t="s">
        <v>63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5796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5798</v>
      </c>
      <c r="B5779" t="s">
        <v>23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5799</v>
      </c>
      <c r="B5780" t="s">
        <v>37</v>
      </c>
      <c r="C5780">
        <v>3</v>
      </c>
      <c r="D5780">
        <v>3</v>
      </c>
      <c r="E5780">
        <v>9</v>
      </c>
      <c r="H5780" s="1">
        <v>45263</v>
      </c>
    </row>
    <row r="5781" spans="1:8" x14ac:dyDescent="0.35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H5781" s="1">
        <v>45044</v>
      </c>
    </row>
    <row r="5782" spans="1:8" x14ac:dyDescent="0.35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H5784" s="1">
        <v>45202</v>
      </c>
    </row>
    <row r="5785" spans="1:8" x14ac:dyDescent="0.35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</row>
    <row r="5787" spans="1:8" x14ac:dyDescent="0.35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</row>
    <row r="5789" spans="1:8" x14ac:dyDescent="0.35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H5791" s="1">
        <v>45132</v>
      </c>
    </row>
    <row r="5792" spans="1:8" x14ac:dyDescent="0.35">
      <c r="A5792" t="s">
        <v>5811</v>
      </c>
      <c r="B5792" t="s">
        <v>19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5812</v>
      </c>
      <c r="B5793" t="s">
        <v>63</v>
      </c>
      <c r="C5793">
        <v>3</v>
      </c>
      <c r="D5793">
        <v>1.5</v>
      </c>
      <c r="E5793">
        <v>4.5</v>
      </c>
      <c r="G5793" t="s">
        <v>15</v>
      </c>
      <c r="H5793" s="1">
        <v>45220</v>
      </c>
    </row>
    <row r="5794" spans="1:8" x14ac:dyDescent="0.35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5814</v>
      </c>
      <c r="B5795" t="s">
        <v>63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5815</v>
      </c>
      <c r="B5796" t="s">
        <v>26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</row>
    <row r="5798" spans="1:8" x14ac:dyDescent="0.35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5819</v>
      </c>
      <c r="B5800" t="s">
        <v>37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5820</v>
      </c>
      <c r="B5801" t="s">
        <v>23</v>
      </c>
      <c r="C5801">
        <v>5</v>
      </c>
      <c r="D5801">
        <v>4</v>
      </c>
      <c r="E5801">
        <v>20</v>
      </c>
      <c r="G5801" t="s">
        <v>15</v>
      </c>
      <c r="H5801" s="1">
        <v>45054</v>
      </c>
    </row>
    <row r="5802" spans="1:8" x14ac:dyDescent="0.35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H5802" s="1">
        <v>44944</v>
      </c>
    </row>
    <row r="5803" spans="1:8" x14ac:dyDescent="0.35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5824</v>
      </c>
      <c r="B5805" t="s">
        <v>23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5826</v>
      </c>
      <c r="B5807" t="s">
        <v>17</v>
      </c>
      <c r="C5807">
        <v>2</v>
      </c>
      <c r="D5807">
        <v>1</v>
      </c>
      <c r="E5807">
        <v>2</v>
      </c>
      <c r="G5807" t="s">
        <v>11</v>
      </c>
      <c r="H5807" s="1">
        <v>45190</v>
      </c>
    </row>
    <row r="5808" spans="1:8" x14ac:dyDescent="0.35">
      <c r="A5808" t="s">
        <v>5827</v>
      </c>
      <c r="B5808" t="s">
        <v>63</v>
      </c>
      <c r="C5808">
        <v>3</v>
      </c>
      <c r="D5808">
        <v>1.5</v>
      </c>
      <c r="E5808">
        <v>4.5</v>
      </c>
      <c r="G5808" t="s">
        <v>15</v>
      </c>
    </row>
    <row r="5809" spans="1:8" x14ac:dyDescent="0.35">
      <c r="A5809" t="s">
        <v>5828</v>
      </c>
      <c r="B5809" t="s">
        <v>19</v>
      </c>
      <c r="C5809">
        <v>3</v>
      </c>
      <c r="D5809">
        <v>5</v>
      </c>
      <c r="E5809">
        <v>15</v>
      </c>
      <c r="G5809" t="s">
        <v>11</v>
      </c>
      <c r="H5809" s="1">
        <v>45083</v>
      </c>
    </row>
    <row r="5810" spans="1:8" x14ac:dyDescent="0.35">
      <c r="A5810" t="s">
        <v>5829</v>
      </c>
      <c r="B5810" t="s">
        <v>37</v>
      </c>
      <c r="C5810">
        <v>2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</row>
    <row r="5812" spans="1:8" x14ac:dyDescent="0.35">
      <c r="A5812" t="s">
        <v>5831</v>
      </c>
      <c r="B5812" t="s">
        <v>23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H5813" s="1">
        <v>44936</v>
      </c>
    </row>
    <row r="5814" spans="1:8" x14ac:dyDescent="0.35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</row>
    <row r="5815" spans="1:8" x14ac:dyDescent="0.35">
      <c r="A5815" t="s">
        <v>5834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</row>
    <row r="5818" spans="1:8" x14ac:dyDescent="0.35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5838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H5820" s="1">
        <v>45102</v>
      </c>
    </row>
    <row r="5821" spans="1:8" x14ac:dyDescent="0.35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5841</v>
      </c>
      <c r="C5822">
        <v>4</v>
      </c>
      <c r="D5822">
        <v>3</v>
      </c>
      <c r="E5822">
        <v>12</v>
      </c>
      <c r="F5822" t="s">
        <v>21</v>
      </c>
      <c r="H5822" s="1">
        <v>45139</v>
      </c>
    </row>
    <row r="5823" spans="1:8" x14ac:dyDescent="0.35">
      <c r="A5823" t="s">
        <v>5842</v>
      </c>
      <c r="B5823" t="s">
        <v>23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5843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5845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</row>
    <row r="5828" spans="1:8" x14ac:dyDescent="0.35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5849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5850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5851</v>
      </c>
      <c r="B5832" t="s">
        <v>37</v>
      </c>
      <c r="C5832">
        <v>4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5852</v>
      </c>
      <c r="B5833" t="s">
        <v>19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H5834" s="1">
        <v>45138</v>
      </c>
    </row>
    <row r="5835" spans="1:8" x14ac:dyDescent="0.35">
      <c r="A5835" t="s">
        <v>5854</v>
      </c>
      <c r="B5835" t="s">
        <v>37</v>
      </c>
      <c r="C5835">
        <v>3</v>
      </c>
      <c r="D5835">
        <v>3</v>
      </c>
      <c r="E5835">
        <v>9</v>
      </c>
      <c r="G5835" t="s">
        <v>15</v>
      </c>
      <c r="H5835" s="1">
        <v>45253</v>
      </c>
    </row>
    <row r="5836" spans="1:8" x14ac:dyDescent="0.35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</row>
    <row r="5839" spans="1:8" x14ac:dyDescent="0.35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</row>
    <row r="5841" spans="1:8" x14ac:dyDescent="0.35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5861</v>
      </c>
      <c r="B5842" t="s">
        <v>13</v>
      </c>
      <c r="C5842">
        <v>4</v>
      </c>
      <c r="D5842">
        <v>3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5862</v>
      </c>
      <c r="B5843" t="s">
        <v>17</v>
      </c>
      <c r="D5843">
        <v>1</v>
      </c>
      <c r="F5843" t="s">
        <v>21</v>
      </c>
      <c r="G5843" t="s">
        <v>15</v>
      </c>
      <c r="H5843" s="1">
        <v>45112</v>
      </c>
    </row>
    <row r="5844" spans="1:8" x14ac:dyDescent="0.35">
      <c r="A5844" t="s">
        <v>5863</v>
      </c>
      <c r="B5844" t="s">
        <v>19</v>
      </c>
      <c r="C5844">
        <v>1</v>
      </c>
      <c r="D5844">
        <v>5</v>
      </c>
      <c r="E5844">
        <v>5</v>
      </c>
    </row>
    <row r="5845" spans="1:8" x14ac:dyDescent="0.35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</row>
    <row r="5846" spans="1:8" x14ac:dyDescent="0.35">
      <c r="A5846" t="s">
        <v>5865</v>
      </c>
      <c r="B5846" t="s">
        <v>26</v>
      </c>
      <c r="C5846">
        <v>5</v>
      </c>
      <c r="D5846">
        <v>4</v>
      </c>
      <c r="E5846">
        <v>20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5866</v>
      </c>
      <c r="B5847" t="s">
        <v>23</v>
      </c>
      <c r="C5847">
        <v>2</v>
      </c>
      <c r="D5847">
        <v>4</v>
      </c>
      <c r="E5847">
        <v>8</v>
      </c>
      <c r="G5847" t="s">
        <v>11</v>
      </c>
      <c r="H5847" s="1">
        <v>45157</v>
      </c>
    </row>
    <row r="5848" spans="1:8" x14ac:dyDescent="0.35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5869</v>
      </c>
      <c r="B5850" t="s">
        <v>26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5870</v>
      </c>
      <c r="C5851">
        <v>5</v>
      </c>
      <c r="D5851">
        <v>1.5</v>
      </c>
      <c r="E5851">
        <v>7.5</v>
      </c>
      <c r="F5851" t="s">
        <v>21</v>
      </c>
      <c r="H5851" s="1">
        <v>45171</v>
      </c>
    </row>
    <row r="5852" spans="1:8" x14ac:dyDescent="0.35">
      <c r="A5852" t="s">
        <v>5871</v>
      </c>
      <c r="B5852" t="s">
        <v>37</v>
      </c>
      <c r="C5852">
        <v>2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5872</v>
      </c>
      <c r="C5853">
        <v>1</v>
      </c>
      <c r="D5853">
        <v>3</v>
      </c>
      <c r="E5853">
        <v>3</v>
      </c>
    </row>
    <row r="5854" spans="1:8" x14ac:dyDescent="0.35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H5855" s="1">
        <v>45011</v>
      </c>
    </row>
    <row r="5856" spans="1:8" x14ac:dyDescent="0.35">
      <c r="A5856" t="s">
        <v>5875</v>
      </c>
      <c r="B5856" t="s">
        <v>37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</row>
    <row r="5858" spans="1:8" x14ac:dyDescent="0.35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</row>
    <row r="5860" spans="1:8" x14ac:dyDescent="0.35">
      <c r="A5860" t="s">
        <v>5879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5880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5882</v>
      </c>
      <c r="B5863" t="s">
        <v>17</v>
      </c>
      <c r="C5863">
        <v>4</v>
      </c>
      <c r="D5863">
        <v>1</v>
      </c>
      <c r="E5863">
        <v>4</v>
      </c>
      <c r="H5863" s="1">
        <v>44961</v>
      </c>
    </row>
    <row r="5864" spans="1:8" x14ac:dyDescent="0.35">
      <c r="A5864" t="s">
        <v>5883</v>
      </c>
      <c r="B5864" t="s">
        <v>23</v>
      </c>
      <c r="C5864">
        <v>2</v>
      </c>
      <c r="D5864">
        <v>4</v>
      </c>
      <c r="E5864">
        <v>8</v>
      </c>
      <c r="F5864" t="s">
        <v>10</v>
      </c>
      <c r="H5864" s="1">
        <v>45282</v>
      </c>
    </row>
    <row r="5865" spans="1:8" x14ac:dyDescent="0.35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H5865" s="1">
        <v>45085</v>
      </c>
    </row>
    <row r="5866" spans="1:8" x14ac:dyDescent="0.35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5886</v>
      </c>
      <c r="C5867">
        <v>5</v>
      </c>
      <c r="D5867">
        <v>1.5</v>
      </c>
      <c r="E5867">
        <v>7.5</v>
      </c>
      <c r="F5867" t="s">
        <v>21</v>
      </c>
      <c r="H5867" s="1">
        <v>44949</v>
      </c>
    </row>
    <row r="5868" spans="1:8" x14ac:dyDescent="0.35">
      <c r="A5868" t="s">
        <v>5887</v>
      </c>
      <c r="B5868" t="s">
        <v>13</v>
      </c>
      <c r="C5868">
        <v>1</v>
      </c>
      <c r="D5868">
        <v>3</v>
      </c>
      <c r="E5868">
        <v>3</v>
      </c>
      <c r="G5868" t="s">
        <v>11</v>
      </c>
      <c r="H5868" s="1">
        <v>45126</v>
      </c>
    </row>
    <row r="5869" spans="1:8" x14ac:dyDescent="0.35">
      <c r="A5869" t="s">
        <v>5888</v>
      </c>
      <c r="B5869" t="s">
        <v>17</v>
      </c>
      <c r="C5869">
        <v>1</v>
      </c>
      <c r="D5869">
        <v>1</v>
      </c>
      <c r="E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</row>
    <row r="5871" spans="1:8" x14ac:dyDescent="0.35">
      <c r="A5871" t="s">
        <v>5890</v>
      </c>
      <c r="B5871" t="s">
        <v>26</v>
      </c>
      <c r="C5871">
        <v>1</v>
      </c>
      <c r="D5871">
        <v>4</v>
      </c>
      <c r="E5871">
        <v>4</v>
      </c>
      <c r="G5871" t="s">
        <v>15</v>
      </c>
      <c r="H5871" s="1">
        <v>45039</v>
      </c>
    </row>
    <row r="5872" spans="1:8" x14ac:dyDescent="0.35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5892</v>
      </c>
      <c r="B5873" t="s">
        <v>17</v>
      </c>
      <c r="C5873">
        <v>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5893</v>
      </c>
      <c r="C5874">
        <v>5</v>
      </c>
      <c r="D5874">
        <v>3</v>
      </c>
      <c r="E5874">
        <v>15</v>
      </c>
      <c r="F5874" t="s">
        <v>21</v>
      </c>
      <c r="H5874" s="1">
        <v>45180</v>
      </c>
    </row>
    <row r="5875" spans="1:8" x14ac:dyDescent="0.35">
      <c r="A5875" t="s">
        <v>5894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5896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</row>
    <row r="5879" spans="1:8" x14ac:dyDescent="0.35">
      <c r="A5879" t="s">
        <v>5898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5899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5900</v>
      </c>
      <c r="B5881" t="s">
        <v>23</v>
      </c>
      <c r="C5881">
        <v>1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</row>
    <row r="5882" spans="1:8" x14ac:dyDescent="0.35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5902</v>
      </c>
      <c r="C5883">
        <v>4</v>
      </c>
      <c r="D5883">
        <v>5</v>
      </c>
      <c r="E5883">
        <v>20</v>
      </c>
      <c r="F5883" t="s">
        <v>10</v>
      </c>
      <c r="G5883" t="s">
        <v>11</v>
      </c>
    </row>
    <row r="5884" spans="1:8" x14ac:dyDescent="0.35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H5885" s="1">
        <v>45229</v>
      </c>
    </row>
    <row r="5886" spans="1:8" x14ac:dyDescent="0.35">
      <c r="A5886" t="s">
        <v>5905</v>
      </c>
      <c r="B5886" t="s">
        <v>37</v>
      </c>
      <c r="C5886">
        <v>2</v>
      </c>
      <c r="D5886">
        <v>3</v>
      </c>
      <c r="E5886">
        <v>6</v>
      </c>
      <c r="H5886" s="1">
        <v>45207</v>
      </c>
    </row>
    <row r="5887" spans="1:8" x14ac:dyDescent="0.35">
      <c r="A5887" t="s">
        <v>5906</v>
      </c>
      <c r="B5887" t="s">
        <v>13</v>
      </c>
      <c r="C5887">
        <v>1</v>
      </c>
      <c r="D5887">
        <v>3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5907</v>
      </c>
      <c r="B5888" t="s">
        <v>37</v>
      </c>
      <c r="C5888">
        <v>2</v>
      </c>
      <c r="D5888">
        <v>3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5908</v>
      </c>
      <c r="B5889" t="s">
        <v>37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H5890" s="1">
        <v>45117</v>
      </c>
    </row>
    <row r="5891" spans="1:8" x14ac:dyDescent="0.35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5912</v>
      </c>
      <c r="C5893">
        <v>3</v>
      </c>
      <c r="D5893">
        <v>2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5913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</row>
    <row r="5895" spans="1:8" x14ac:dyDescent="0.35">
      <c r="A5895" t="s">
        <v>5914</v>
      </c>
      <c r="B5895" t="s">
        <v>9</v>
      </c>
      <c r="C5895">
        <v>4</v>
      </c>
      <c r="D5895">
        <v>2</v>
      </c>
      <c r="E5895">
        <v>8</v>
      </c>
      <c r="G5895" t="s">
        <v>15</v>
      </c>
      <c r="H5895" s="1">
        <v>45046</v>
      </c>
    </row>
    <row r="5896" spans="1:8" x14ac:dyDescent="0.35">
      <c r="A5896" t="s">
        <v>5915</v>
      </c>
      <c r="B5896" t="s">
        <v>13</v>
      </c>
      <c r="C5896">
        <v>2</v>
      </c>
      <c r="D5896">
        <v>3</v>
      </c>
      <c r="E5896">
        <v>6</v>
      </c>
      <c r="H5896" s="1">
        <v>45069</v>
      </c>
    </row>
    <row r="5897" spans="1:8" x14ac:dyDescent="0.35">
      <c r="A5897" t="s">
        <v>5916</v>
      </c>
      <c r="C5897">
        <v>3</v>
      </c>
      <c r="D5897">
        <v>3</v>
      </c>
      <c r="E5897">
        <v>9</v>
      </c>
      <c r="F5897" t="s">
        <v>21</v>
      </c>
      <c r="H5897" s="1">
        <v>45282</v>
      </c>
    </row>
    <row r="5898" spans="1:8" x14ac:dyDescent="0.35">
      <c r="A5898" t="s">
        <v>5917</v>
      </c>
      <c r="B5898" t="s">
        <v>17</v>
      </c>
      <c r="C5898">
        <v>2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H5899" s="1">
        <v>45183</v>
      </c>
    </row>
    <row r="5900" spans="1:8" x14ac:dyDescent="0.35">
      <c r="A5900" t="s">
        <v>5919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5920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</row>
    <row r="5903" spans="1:8" x14ac:dyDescent="0.35">
      <c r="A5903" t="s">
        <v>5922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5923</v>
      </c>
      <c r="B5904" t="s">
        <v>26</v>
      </c>
      <c r="C5904">
        <v>1</v>
      </c>
      <c r="D5904">
        <v>4</v>
      </c>
      <c r="E5904">
        <v>4</v>
      </c>
      <c r="H5904" s="1">
        <v>45132</v>
      </c>
    </row>
    <row r="5905" spans="1:8" x14ac:dyDescent="0.35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</row>
    <row r="5907" spans="1:8" x14ac:dyDescent="0.35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</row>
    <row r="5908" spans="1:8" x14ac:dyDescent="0.35">
      <c r="A5908" t="s">
        <v>5927</v>
      </c>
      <c r="B5908" t="s">
        <v>63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</row>
    <row r="5911" spans="1:8" x14ac:dyDescent="0.35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</row>
    <row r="5914" spans="1:8" x14ac:dyDescent="0.35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</row>
    <row r="5915" spans="1:8" x14ac:dyDescent="0.35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</row>
    <row r="5916" spans="1:8" x14ac:dyDescent="0.35">
      <c r="A5916" t="s">
        <v>5935</v>
      </c>
      <c r="B5916" t="s">
        <v>19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5937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5938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5939</v>
      </c>
      <c r="B5920" t="s">
        <v>26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5940</v>
      </c>
      <c r="B5921" t="s">
        <v>26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5942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</row>
    <row r="5924" spans="1:8" x14ac:dyDescent="0.35">
      <c r="A5924" t="s">
        <v>5943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5944</v>
      </c>
      <c r="B5925" t="s">
        <v>26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5946</v>
      </c>
      <c r="B5927" t="s">
        <v>23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5948</v>
      </c>
      <c r="B5929" t="s">
        <v>37</v>
      </c>
      <c r="C5929">
        <v>3</v>
      </c>
      <c r="D5929">
        <v>3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5949</v>
      </c>
      <c r="C5930">
        <v>2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</row>
    <row r="5931" spans="1:8" x14ac:dyDescent="0.35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5952</v>
      </c>
      <c r="B5933" t="s">
        <v>13</v>
      </c>
      <c r="C5933">
        <v>3</v>
      </c>
      <c r="D5933">
        <v>3</v>
      </c>
      <c r="E5933">
        <v>9</v>
      </c>
      <c r="H5933" s="1">
        <v>44953</v>
      </c>
    </row>
    <row r="5934" spans="1:8" x14ac:dyDescent="0.35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H5934" s="1">
        <v>45109</v>
      </c>
    </row>
    <row r="5935" spans="1:8" x14ac:dyDescent="0.35">
      <c r="A5935" t="s">
        <v>5954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5955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5957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5959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</row>
    <row r="5941" spans="1:8" x14ac:dyDescent="0.35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</row>
    <row r="5944" spans="1:8" x14ac:dyDescent="0.35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H5944" s="1">
        <v>45024</v>
      </c>
    </row>
    <row r="5945" spans="1:8" x14ac:dyDescent="0.35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5965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5967</v>
      </c>
      <c r="B5948" t="s">
        <v>63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</row>
    <row r="5951" spans="1:8" x14ac:dyDescent="0.35">
      <c r="A5951" t="s">
        <v>5970</v>
      </c>
      <c r="B5951" t="s">
        <v>17</v>
      </c>
      <c r="C5951">
        <v>4</v>
      </c>
      <c r="D5951">
        <v>1</v>
      </c>
      <c r="E5951">
        <v>4</v>
      </c>
      <c r="G5951" t="s">
        <v>15</v>
      </c>
      <c r="H5951" s="1">
        <v>45201</v>
      </c>
    </row>
    <row r="5952" spans="1:8" x14ac:dyDescent="0.35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</row>
    <row r="5953" spans="1:8" x14ac:dyDescent="0.35">
      <c r="A5953" t="s">
        <v>5972</v>
      </c>
      <c r="B5953" t="s">
        <v>19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5973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</row>
    <row r="5956" spans="1:8" x14ac:dyDescent="0.35">
      <c r="A5956" t="s">
        <v>5975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5977</v>
      </c>
      <c r="B5958" t="s">
        <v>26</v>
      </c>
      <c r="C5958">
        <v>5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</row>
    <row r="5959" spans="1:8" x14ac:dyDescent="0.35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H5959" s="1">
        <v>45202</v>
      </c>
    </row>
    <row r="5960" spans="1:8" x14ac:dyDescent="0.35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5982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5983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5984</v>
      </c>
      <c r="B5965" t="s">
        <v>23</v>
      </c>
      <c r="C5965">
        <v>1</v>
      </c>
      <c r="D5965">
        <v>4</v>
      </c>
      <c r="E5965">
        <v>4</v>
      </c>
      <c r="F5965" t="s">
        <v>21</v>
      </c>
      <c r="H5965" s="1">
        <v>45251</v>
      </c>
    </row>
    <row r="5966" spans="1:8" x14ac:dyDescent="0.35">
      <c r="A5966" t="s">
        <v>5985</v>
      </c>
      <c r="B5966" t="s">
        <v>63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5986</v>
      </c>
      <c r="B5967" t="s">
        <v>9</v>
      </c>
      <c r="C5967">
        <v>1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5987</v>
      </c>
      <c r="B5968" t="s">
        <v>63</v>
      </c>
      <c r="C5968">
        <v>1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</row>
    <row r="5969" spans="1:8" x14ac:dyDescent="0.35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H5971" s="1">
        <v>45092</v>
      </c>
    </row>
    <row r="5972" spans="1:8" x14ac:dyDescent="0.35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5992</v>
      </c>
      <c r="B5973" t="s">
        <v>26</v>
      </c>
      <c r="C5973">
        <v>5</v>
      </c>
      <c r="D5973">
        <v>4</v>
      </c>
      <c r="E5973">
        <v>20</v>
      </c>
      <c r="H5973" s="1">
        <v>45000</v>
      </c>
    </row>
    <row r="5974" spans="1:8" x14ac:dyDescent="0.35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H5974" s="1">
        <v>45182</v>
      </c>
    </row>
    <row r="5975" spans="1:8" x14ac:dyDescent="0.35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</row>
    <row r="5976" spans="1:8" x14ac:dyDescent="0.35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5997</v>
      </c>
      <c r="B5978" t="s">
        <v>19</v>
      </c>
      <c r="C5978">
        <v>1</v>
      </c>
      <c r="D5978">
        <v>5</v>
      </c>
      <c r="E5978">
        <v>5</v>
      </c>
      <c r="G5978" t="s">
        <v>15</v>
      </c>
      <c r="H5978" s="1">
        <v>45087</v>
      </c>
    </row>
    <row r="5979" spans="1:8" x14ac:dyDescent="0.35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H5980" s="1">
        <v>45237</v>
      </c>
    </row>
    <row r="5981" spans="1:8" x14ac:dyDescent="0.35">
      <c r="A5981" t="s">
        <v>6000</v>
      </c>
      <c r="B5981" t="s">
        <v>63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</row>
    <row r="5984" spans="1:8" x14ac:dyDescent="0.35">
      <c r="A5984" t="s">
        <v>6003</v>
      </c>
      <c r="B5984" t="s">
        <v>19</v>
      </c>
      <c r="C5984">
        <v>1</v>
      </c>
      <c r="D5984">
        <v>5</v>
      </c>
      <c r="E5984">
        <v>5</v>
      </c>
      <c r="G5984" t="s">
        <v>15</v>
      </c>
      <c r="H5984" s="1">
        <v>45190</v>
      </c>
    </row>
    <row r="5985" spans="1:8" x14ac:dyDescent="0.35">
      <c r="A5985" t="s">
        <v>6004</v>
      </c>
      <c r="B5985" t="s">
        <v>63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6006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6007</v>
      </c>
      <c r="B5988" t="s">
        <v>37</v>
      </c>
      <c r="C5988">
        <v>1</v>
      </c>
      <c r="D5988">
        <v>3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6010</v>
      </c>
      <c r="B5991" t="s">
        <v>63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6012</v>
      </c>
      <c r="C5993">
        <v>4</v>
      </c>
      <c r="D5993">
        <v>2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6014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6016</v>
      </c>
      <c r="B5997" t="s">
        <v>17</v>
      </c>
      <c r="C5997">
        <v>2</v>
      </c>
      <c r="D5997">
        <v>1</v>
      </c>
      <c r="E5997">
        <v>2</v>
      </c>
      <c r="F5997" t="s">
        <v>21</v>
      </c>
      <c r="G5997" t="s">
        <v>11</v>
      </c>
      <c r="H5997" s="1">
        <v>45195</v>
      </c>
    </row>
    <row r="5998" spans="1:8" x14ac:dyDescent="0.35">
      <c r="A5998" t="s">
        <v>6017</v>
      </c>
      <c r="C5998">
        <v>1</v>
      </c>
      <c r="D5998">
        <v>5</v>
      </c>
      <c r="E5998">
        <v>5</v>
      </c>
      <c r="F5998" t="s">
        <v>21</v>
      </c>
      <c r="H5998" s="1">
        <v>45024</v>
      </c>
    </row>
    <row r="5999" spans="1:8" x14ac:dyDescent="0.35">
      <c r="A5999" t="s">
        <v>6018</v>
      </c>
      <c r="B5999" t="s">
        <v>37</v>
      </c>
      <c r="C5999">
        <v>4</v>
      </c>
      <c r="D5999">
        <v>3</v>
      </c>
      <c r="E5999">
        <v>12</v>
      </c>
    </row>
    <row r="6000" spans="1:8" x14ac:dyDescent="0.35">
      <c r="A6000" t="s">
        <v>6019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6020</v>
      </c>
      <c r="B6001" t="s">
        <v>9</v>
      </c>
      <c r="C6001">
        <v>1</v>
      </c>
      <c r="D6001">
        <v>2</v>
      </c>
      <c r="E6001">
        <v>2</v>
      </c>
      <c r="G6001" t="s">
        <v>15</v>
      </c>
      <c r="H6001" s="1">
        <v>45223</v>
      </c>
    </row>
    <row r="6002" spans="1:8" x14ac:dyDescent="0.35">
      <c r="A6002" t="s">
        <v>6021</v>
      </c>
      <c r="B6002" t="s">
        <v>9</v>
      </c>
      <c r="C6002">
        <v>3</v>
      </c>
      <c r="D6002">
        <v>2</v>
      </c>
      <c r="E6002">
        <v>6</v>
      </c>
      <c r="H6002" s="1">
        <v>44987</v>
      </c>
    </row>
    <row r="6003" spans="1:8" x14ac:dyDescent="0.35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</row>
    <row r="6004" spans="1:8" x14ac:dyDescent="0.35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6024</v>
      </c>
      <c r="B6005" t="s">
        <v>17</v>
      </c>
      <c r="C6005">
        <v>5</v>
      </c>
      <c r="D6005">
        <v>1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H6007" s="1">
        <v>44995</v>
      </c>
    </row>
    <row r="6008" spans="1:8" x14ac:dyDescent="0.35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</row>
    <row r="6009" spans="1:8" x14ac:dyDescent="0.35">
      <c r="A6009" t="s">
        <v>6028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6029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</row>
    <row r="6012" spans="1:8" x14ac:dyDescent="0.35">
      <c r="A6012" t="s">
        <v>6031</v>
      </c>
      <c r="B6012" t="s">
        <v>19</v>
      </c>
      <c r="C6012">
        <v>4</v>
      </c>
      <c r="D6012">
        <v>5</v>
      </c>
      <c r="E6012">
        <v>20</v>
      </c>
      <c r="G6012" t="s">
        <v>15</v>
      </c>
      <c r="H6012" s="1">
        <v>45197</v>
      </c>
    </row>
    <row r="6013" spans="1:8" x14ac:dyDescent="0.35">
      <c r="A6013" t="s">
        <v>6032</v>
      </c>
      <c r="B6013" t="s">
        <v>23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6035</v>
      </c>
      <c r="B6016" t="s">
        <v>63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6038</v>
      </c>
      <c r="B6019" t="s">
        <v>19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6039</v>
      </c>
      <c r="B6020" t="s">
        <v>26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</row>
    <row r="6022" spans="1:8" x14ac:dyDescent="0.35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6042</v>
      </c>
      <c r="B6023" t="s">
        <v>19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6044</v>
      </c>
      <c r="C6025">
        <v>5</v>
      </c>
      <c r="D6025">
        <v>5</v>
      </c>
      <c r="E6025">
        <v>25</v>
      </c>
      <c r="H6025" s="1">
        <v>45208</v>
      </c>
    </row>
    <row r="6026" spans="1:8" x14ac:dyDescent="0.35">
      <c r="A6026" t="s">
        <v>6045</v>
      </c>
      <c r="B6026" t="s">
        <v>26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6049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6050</v>
      </c>
      <c r="B6031" t="s">
        <v>26</v>
      </c>
      <c r="C6031">
        <v>3</v>
      </c>
      <c r="D6031">
        <v>4</v>
      </c>
      <c r="E6031">
        <v>12</v>
      </c>
      <c r="H6031" s="1">
        <v>45245</v>
      </c>
    </row>
    <row r="6032" spans="1:8" x14ac:dyDescent="0.35">
      <c r="A6032" t="s">
        <v>6051</v>
      </c>
      <c r="B6032" t="s">
        <v>26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6052</v>
      </c>
      <c r="B6033" t="s">
        <v>17</v>
      </c>
      <c r="C6033">
        <v>5</v>
      </c>
      <c r="D6033">
        <v>1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H6034" s="1">
        <v>45001</v>
      </c>
    </row>
    <row r="6035" spans="1:8" x14ac:dyDescent="0.35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H6035" s="1">
        <v>45006</v>
      </c>
    </row>
    <row r="6036" spans="1:8" x14ac:dyDescent="0.35">
      <c r="A6036" t="s">
        <v>6055</v>
      </c>
      <c r="B6036" t="s">
        <v>26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6058</v>
      </c>
      <c r="C6039">
        <v>1</v>
      </c>
      <c r="D6039">
        <v>1.5</v>
      </c>
      <c r="E6039">
        <v>1.5</v>
      </c>
      <c r="F6039" t="s">
        <v>21</v>
      </c>
      <c r="H6039" s="1">
        <v>45081</v>
      </c>
    </row>
    <row r="6040" spans="1:8" x14ac:dyDescent="0.35">
      <c r="A6040" t="s">
        <v>6059</v>
      </c>
      <c r="B6040" t="s">
        <v>23</v>
      </c>
      <c r="C6040">
        <v>3</v>
      </c>
      <c r="D6040">
        <v>4</v>
      </c>
      <c r="E6040">
        <v>12</v>
      </c>
      <c r="H6040" s="1">
        <v>44929</v>
      </c>
    </row>
    <row r="6041" spans="1:8" x14ac:dyDescent="0.35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6061</v>
      </c>
      <c r="B6042" t="s">
        <v>63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6063</v>
      </c>
      <c r="C6044">
        <v>3</v>
      </c>
      <c r="D6044">
        <v>1</v>
      </c>
      <c r="E6044">
        <v>3</v>
      </c>
      <c r="F6044" t="s">
        <v>21</v>
      </c>
      <c r="H6044" s="1">
        <v>44935</v>
      </c>
    </row>
    <row r="6045" spans="1:8" x14ac:dyDescent="0.35">
      <c r="A6045" t="s">
        <v>6064</v>
      </c>
      <c r="B6045" t="s">
        <v>19</v>
      </c>
      <c r="C6045">
        <v>4</v>
      </c>
      <c r="D6045">
        <v>5</v>
      </c>
      <c r="E6045">
        <v>20</v>
      </c>
    </row>
    <row r="6046" spans="1:8" x14ac:dyDescent="0.35">
      <c r="A6046" t="s">
        <v>6065</v>
      </c>
      <c r="B6046" t="s">
        <v>9</v>
      </c>
      <c r="C6046">
        <v>5</v>
      </c>
      <c r="D6046">
        <v>2</v>
      </c>
      <c r="E6046">
        <v>10</v>
      </c>
      <c r="F6046" t="s">
        <v>14</v>
      </c>
      <c r="H6046" s="1">
        <v>44957</v>
      </c>
    </row>
    <row r="6047" spans="1:8" x14ac:dyDescent="0.35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</row>
    <row r="6050" spans="1:8" x14ac:dyDescent="0.35">
      <c r="A6050" t="s">
        <v>6069</v>
      </c>
      <c r="B6050" t="s">
        <v>23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6070</v>
      </c>
      <c r="B6051" t="s">
        <v>63</v>
      </c>
      <c r="C6051">
        <v>1</v>
      </c>
      <c r="D6051">
        <v>1.5</v>
      </c>
      <c r="E6051">
        <v>1.5</v>
      </c>
      <c r="H6051" s="1">
        <v>45033</v>
      </c>
    </row>
    <row r="6052" spans="1:8" x14ac:dyDescent="0.35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6072</v>
      </c>
      <c r="B6053" t="s">
        <v>37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H6054" s="1">
        <v>45252</v>
      </c>
    </row>
    <row r="6055" spans="1:8" x14ac:dyDescent="0.35">
      <c r="A6055" t="s">
        <v>6074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H6056" s="1">
        <v>44934</v>
      </c>
    </row>
    <row r="6057" spans="1:8" x14ac:dyDescent="0.35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H6058" s="1">
        <v>45055</v>
      </c>
    </row>
    <row r="6059" spans="1:8" x14ac:dyDescent="0.35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</row>
    <row r="6060" spans="1:8" x14ac:dyDescent="0.35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6080</v>
      </c>
      <c r="B6061" t="s">
        <v>23</v>
      </c>
      <c r="C6061">
        <v>5</v>
      </c>
      <c r="D6061">
        <v>4</v>
      </c>
      <c r="E6061">
        <v>20</v>
      </c>
      <c r="F6061" t="s">
        <v>21</v>
      </c>
      <c r="G6061" t="s">
        <v>15</v>
      </c>
      <c r="H6061" s="1">
        <v>45286</v>
      </c>
    </row>
    <row r="6062" spans="1:8" x14ac:dyDescent="0.35">
      <c r="A6062" t="s">
        <v>6081</v>
      </c>
      <c r="B6062" t="s">
        <v>23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6086</v>
      </c>
      <c r="B6067" t="s">
        <v>63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6087</v>
      </c>
      <c r="B6068" t="s">
        <v>26</v>
      </c>
      <c r="C6068">
        <v>3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6090</v>
      </c>
      <c r="B6071" t="s">
        <v>63</v>
      </c>
      <c r="C6071">
        <v>4</v>
      </c>
      <c r="D6071">
        <v>1.5</v>
      </c>
      <c r="E6071">
        <v>6</v>
      </c>
      <c r="F6071" t="s">
        <v>21</v>
      </c>
      <c r="H6071" s="1">
        <v>45063</v>
      </c>
    </row>
    <row r="6072" spans="1:8" x14ac:dyDescent="0.35">
      <c r="A6072" t="s">
        <v>6091</v>
      </c>
      <c r="B6072" t="s">
        <v>63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</row>
    <row r="6075" spans="1:8" x14ac:dyDescent="0.35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H6078" s="1">
        <v>44975</v>
      </c>
    </row>
    <row r="6079" spans="1:8" x14ac:dyDescent="0.35">
      <c r="A6079" t="s">
        <v>6098</v>
      </c>
      <c r="B6079" t="s">
        <v>23</v>
      </c>
      <c r="C6079">
        <v>3</v>
      </c>
      <c r="D6079">
        <v>4</v>
      </c>
      <c r="E6079">
        <v>12</v>
      </c>
      <c r="G6079" t="s">
        <v>15</v>
      </c>
      <c r="H6079" s="1">
        <v>45194</v>
      </c>
    </row>
    <row r="6080" spans="1:8" x14ac:dyDescent="0.35">
      <c r="A6080" t="s">
        <v>6099</v>
      </c>
      <c r="B6080" t="s">
        <v>63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6100</v>
      </c>
      <c r="B6081" t="s">
        <v>13</v>
      </c>
      <c r="C6081">
        <v>4</v>
      </c>
      <c r="D6081">
        <v>3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6101</v>
      </c>
      <c r="B6082" t="s">
        <v>19</v>
      </c>
      <c r="C6082">
        <v>5</v>
      </c>
      <c r="D6082">
        <v>5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6105</v>
      </c>
      <c r="B6086" t="s">
        <v>63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6106</v>
      </c>
      <c r="B6087" t="s">
        <v>17</v>
      </c>
      <c r="C6087">
        <v>4</v>
      </c>
      <c r="D6087">
        <v>1</v>
      </c>
      <c r="E6087">
        <v>4</v>
      </c>
      <c r="F6087" t="s">
        <v>10</v>
      </c>
      <c r="G6087" t="s">
        <v>15</v>
      </c>
    </row>
    <row r="6088" spans="1:8" x14ac:dyDescent="0.35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</row>
    <row r="6089" spans="1:8" x14ac:dyDescent="0.35">
      <c r="A6089" t="s">
        <v>6108</v>
      </c>
      <c r="C6089">
        <v>3</v>
      </c>
      <c r="D6089">
        <v>4</v>
      </c>
      <c r="E6089">
        <v>12</v>
      </c>
      <c r="H6089" s="1">
        <v>45052</v>
      </c>
    </row>
    <row r="6090" spans="1:8" x14ac:dyDescent="0.35">
      <c r="A6090" t="s">
        <v>6109</v>
      </c>
      <c r="B6090" t="s">
        <v>9</v>
      </c>
      <c r="C6090">
        <v>4</v>
      </c>
      <c r="D6090">
        <v>2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</row>
    <row r="6092" spans="1:8" x14ac:dyDescent="0.35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6113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</row>
    <row r="6096" spans="1:8" x14ac:dyDescent="0.35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</row>
    <row r="6097" spans="1:8" x14ac:dyDescent="0.35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</row>
    <row r="6098" spans="1:8" x14ac:dyDescent="0.35">
      <c r="A6098" t="s">
        <v>6117</v>
      </c>
      <c r="B6098" t="s">
        <v>13</v>
      </c>
      <c r="C6098">
        <v>3</v>
      </c>
      <c r="D6098">
        <v>3</v>
      </c>
      <c r="E6098">
        <v>9</v>
      </c>
      <c r="H6098" s="1">
        <v>45164</v>
      </c>
    </row>
    <row r="6099" spans="1:8" x14ac:dyDescent="0.35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6121</v>
      </c>
      <c r="B6102" t="s">
        <v>26</v>
      </c>
      <c r="C6102">
        <v>4</v>
      </c>
      <c r="D6102">
        <v>4</v>
      </c>
      <c r="E6102">
        <v>16</v>
      </c>
      <c r="H6102" s="1">
        <v>45120</v>
      </c>
    </row>
    <row r="6103" spans="1:8" x14ac:dyDescent="0.35">
      <c r="A6103" t="s">
        <v>6122</v>
      </c>
      <c r="B6103" t="s">
        <v>9</v>
      </c>
      <c r="C6103">
        <v>3</v>
      </c>
      <c r="D6103">
        <v>2</v>
      </c>
      <c r="E6103">
        <v>6</v>
      </c>
      <c r="H6103" s="1">
        <v>44928</v>
      </c>
    </row>
    <row r="6104" spans="1:8" x14ac:dyDescent="0.35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6124</v>
      </c>
      <c r="B6105" t="s">
        <v>37</v>
      </c>
      <c r="C6105">
        <v>5</v>
      </c>
      <c r="D6105">
        <v>3</v>
      </c>
      <c r="E6105">
        <v>15</v>
      </c>
      <c r="H6105" s="1">
        <v>45009</v>
      </c>
    </row>
    <row r="6106" spans="1:8" x14ac:dyDescent="0.35">
      <c r="A6106" t="s">
        <v>6125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H6107" s="1">
        <v>45065</v>
      </c>
    </row>
    <row r="6108" spans="1:8" x14ac:dyDescent="0.35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</row>
    <row r="6113" spans="1:8" x14ac:dyDescent="0.35">
      <c r="A6113" t="s">
        <v>6132</v>
      </c>
      <c r="B6113" t="s">
        <v>19</v>
      </c>
      <c r="C6113">
        <v>5</v>
      </c>
      <c r="D6113">
        <v>5</v>
      </c>
      <c r="E6113">
        <v>25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H6116" s="1">
        <v>45002</v>
      </c>
    </row>
    <row r="6117" spans="1:8" x14ac:dyDescent="0.35">
      <c r="A6117" t="s">
        <v>6136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</row>
    <row r="6119" spans="1:8" x14ac:dyDescent="0.35">
      <c r="A6119" t="s">
        <v>6138</v>
      </c>
      <c r="B6119" t="s">
        <v>37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6141</v>
      </c>
      <c r="C6122">
        <v>1</v>
      </c>
      <c r="D6122">
        <v>3</v>
      </c>
      <c r="E6122">
        <v>3</v>
      </c>
      <c r="H6122" s="1">
        <v>45012</v>
      </c>
    </row>
    <row r="6123" spans="1:8" x14ac:dyDescent="0.35">
      <c r="A6123" t="s">
        <v>6142</v>
      </c>
      <c r="B6123" t="s">
        <v>63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6143</v>
      </c>
      <c r="B6124" t="s">
        <v>13</v>
      </c>
      <c r="C6124">
        <v>1</v>
      </c>
      <c r="D6124">
        <v>3</v>
      </c>
      <c r="E6124">
        <v>3</v>
      </c>
      <c r="H6124" s="1">
        <v>45039</v>
      </c>
    </row>
    <row r="6125" spans="1:8" x14ac:dyDescent="0.35">
      <c r="A6125" t="s">
        <v>6144</v>
      </c>
      <c r="B6125" t="s">
        <v>23</v>
      </c>
      <c r="C6125">
        <v>4</v>
      </c>
      <c r="D6125">
        <v>4</v>
      </c>
      <c r="E6125">
        <v>16</v>
      </c>
      <c r="H6125" s="1">
        <v>45288</v>
      </c>
    </row>
    <row r="6126" spans="1:8" x14ac:dyDescent="0.35">
      <c r="A6126" t="s">
        <v>6145</v>
      </c>
      <c r="B6126" t="s">
        <v>26</v>
      </c>
      <c r="C6126">
        <v>2</v>
      </c>
      <c r="D6126">
        <v>4</v>
      </c>
      <c r="E6126">
        <v>8</v>
      </c>
      <c r="G6126" t="s">
        <v>11</v>
      </c>
    </row>
    <row r="6127" spans="1:8" x14ac:dyDescent="0.35">
      <c r="A6127" t="s">
        <v>6146</v>
      </c>
      <c r="B6127" t="s">
        <v>26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6148</v>
      </c>
      <c r="B6129" t="s">
        <v>26</v>
      </c>
      <c r="C6129">
        <v>1</v>
      </c>
      <c r="D6129">
        <v>4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</row>
    <row r="6131" spans="1:8" x14ac:dyDescent="0.35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6151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6152</v>
      </c>
      <c r="B6133" t="s">
        <v>37</v>
      </c>
      <c r="C6133">
        <v>2</v>
      </c>
      <c r="D6133">
        <v>3</v>
      </c>
      <c r="E6133">
        <v>6</v>
      </c>
      <c r="F6133" t="s">
        <v>21</v>
      </c>
      <c r="G6133" t="s">
        <v>15</v>
      </c>
      <c r="H6133" s="1">
        <v>45272</v>
      </c>
    </row>
    <row r="6134" spans="1:8" x14ac:dyDescent="0.35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6154</v>
      </c>
      <c r="B6135" t="s">
        <v>26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6155</v>
      </c>
      <c r="B6136" t="s">
        <v>19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6157</v>
      </c>
      <c r="C6138">
        <v>2</v>
      </c>
      <c r="D6138">
        <v>3</v>
      </c>
      <c r="E6138">
        <v>6</v>
      </c>
      <c r="G6138" t="s">
        <v>11</v>
      </c>
    </row>
    <row r="6139" spans="1:8" x14ac:dyDescent="0.35">
      <c r="A6139" t="s">
        <v>6158</v>
      </c>
      <c r="C6139">
        <v>2</v>
      </c>
      <c r="D6139">
        <v>5</v>
      </c>
      <c r="E6139">
        <v>10</v>
      </c>
      <c r="F6139" t="s">
        <v>21</v>
      </c>
      <c r="H6139" s="1">
        <v>45003</v>
      </c>
    </row>
    <row r="6140" spans="1:8" x14ac:dyDescent="0.35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6160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H6142" s="1">
        <v>45037</v>
      </c>
    </row>
    <row r="6143" spans="1:8" x14ac:dyDescent="0.35">
      <c r="A6143" t="s">
        <v>6162</v>
      </c>
      <c r="C6143">
        <v>4</v>
      </c>
      <c r="D6143">
        <v>1</v>
      </c>
      <c r="E6143">
        <v>4</v>
      </c>
      <c r="G6143" t="s">
        <v>11</v>
      </c>
    </row>
    <row r="6144" spans="1:8" x14ac:dyDescent="0.35">
      <c r="A6144" t="s">
        <v>6163</v>
      </c>
      <c r="B6144" t="s">
        <v>9</v>
      </c>
      <c r="C6144">
        <v>2</v>
      </c>
      <c r="D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</row>
    <row r="6146" spans="1:8" x14ac:dyDescent="0.35">
      <c r="A6146" t="s">
        <v>6165</v>
      </c>
      <c r="B6146" t="s">
        <v>13</v>
      </c>
      <c r="C6146">
        <v>4</v>
      </c>
      <c r="D6146">
        <v>3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H6150" s="1">
        <v>44990</v>
      </c>
    </row>
    <row r="6151" spans="1:8" x14ac:dyDescent="0.35">
      <c r="A6151" t="s">
        <v>6170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H6152" s="1">
        <v>45026</v>
      </c>
    </row>
    <row r="6153" spans="1:8" x14ac:dyDescent="0.35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6175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H6157" s="1">
        <v>45002</v>
      </c>
    </row>
    <row r="6158" spans="1:8" x14ac:dyDescent="0.35">
      <c r="A6158" t="s">
        <v>6177</v>
      </c>
      <c r="B6158" t="s">
        <v>37</v>
      </c>
      <c r="C6158">
        <v>1</v>
      </c>
      <c r="D6158">
        <v>3</v>
      </c>
      <c r="E6158">
        <v>3</v>
      </c>
      <c r="G6158" t="s">
        <v>15</v>
      </c>
      <c r="H6158" s="1">
        <v>44969</v>
      </c>
    </row>
    <row r="6159" spans="1:8" x14ac:dyDescent="0.35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H6159" s="1">
        <v>45273</v>
      </c>
    </row>
    <row r="6160" spans="1:8" x14ac:dyDescent="0.35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</row>
    <row r="6163" spans="1:8" x14ac:dyDescent="0.35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6183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H6165" s="1">
        <v>45113</v>
      </c>
    </row>
    <row r="6166" spans="1:8" x14ac:dyDescent="0.35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6187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</row>
    <row r="6169" spans="1:8" x14ac:dyDescent="0.35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H6170" s="1">
        <v>44990</v>
      </c>
    </row>
    <row r="6171" spans="1:8" x14ac:dyDescent="0.35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</row>
    <row r="6173" spans="1:8" x14ac:dyDescent="0.35">
      <c r="A6173" t="s">
        <v>6192</v>
      </c>
      <c r="C6173">
        <v>1</v>
      </c>
      <c r="D6173">
        <v>4</v>
      </c>
      <c r="E6173">
        <v>4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6194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6195</v>
      </c>
      <c r="B6176" t="s">
        <v>19</v>
      </c>
      <c r="C6176">
        <v>1</v>
      </c>
      <c r="D6176">
        <v>5</v>
      </c>
      <c r="E6176">
        <v>5</v>
      </c>
      <c r="F6176" t="s">
        <v>21</v>
      </c>
      <c r="H6176" s="1">
        <v>45023</v>
      </c>
    </row>
    <row r="6177" spans="1:8" x14ac:dyDescent="0.35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H6177" s="1">
        <v>45165</v>
      </c>
    </row>
    <row r="6178" spans="1:8" x14ac:dyDescent="0.35">
      <c r="A6178" t="s">
        <v>6197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6198</v>
      </c>
      <c r="C6179">
        <v>4</v>
      </c>
      <c r="D6179">
        <v>4</v>
      </c>
      <c r="E6179">
        <v>16</v>
      </c>
      <c r="G6179" t="s">
        <v>11</v>
      </c>
      <c r="H6179" s="1">
        <v>45076</v>
      </c>
    </row>
    <row r="6180" spans="1:8" x14ac:dyDescent="0.35">
      <c r="A6180" t="s">
        <v>6199</v>
      </c>
      <c r="B6180" t="s">
        <v>26</v>
      </c>
      <c r="C6180">
        <v>5</v>
      </c>
      <c r="D6180">
        <v>4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H6181" s="1">
        <v>45248</v>
      </c>
    </row>
    <row r="6182" spans="1:8" x14ac:dyDescent="0.35">
      <c r="A6182" t="s">
        <v>6201</v>
      </c>
      <c r="B6182" t="s">
        <v>9</v>
      </c>
      <c r="C6182">
        <v>2</v>
      </c>
      <c r="D6182">
        <v>2</v>
      </c>
      <c r="E6182">
        <v>4</v>
      </c>
      <c r="H6182" s="1">
        <v>45240</v>
      </c>
    </row>
    <row r="6183" spans="1:8" x14ac:dyDescent="0.35">
      <c r="A6183" t="s">
        <v>6202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</row>
    <row r="6185" spans="1:8" x14ac:dyDescent="0.35">
      <c r="A6185" t="s">
        <v>6204</v>
      </c>
      <c r="B6185" t="s">
        <v>63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</row>
    <row r="6187" spans="1:8" x14ac:dyDescent="0.35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H6188" s="1">
        <v>44934</v>
      </c>
    </row>
    <row r="6189" spans="1:8" x14ac:dyDescent="0.35">
      <c r="A6189" t="s">
        <v>6208</v>
      </c>
      <c r="B6189" t="s">
        <v>13</v>
      </c>
      <c r="C6189">
        <v>4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6209</v>
      </c>
      <c r="B6190" t="s">
        <v>63</v>
      </c>
      <c r="C6190">
        <v>5</v>
      </c>
      <c r="D6190">
        <v>1.5</v>
      </c>
      <c r="E6190">
        <v>7.5</v>
      </c>
      <c r="F6190" t="s">
        <v>14</v>
      </c>
      <c r="H6190" s="1">
        <v>44962</v>
      </c>
    </row>
    <row r="6191" spans="1:8" x14ac:dyDescent="0.35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H6191" s="1">
        <v>45271</v>
      </c>
    </row>
    <row r="6192" spans="1:8" x14ac:dyDescent="0.35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6212</v>
      </c>
      <c r="B6193" t="s">
        <v>26</v>
      </c>
      <c r="C6193">
        <v>2</v>
      </c>
      <c r="D6193">
        <v>4</v>
      </c>
      <c r="E6193">
        <v>8</v>
      </c>
      <c r="H6193" s="1">
        <v>45010</v>
      </c>
    </row>
    <row r="6194" spans="1:8" x14ac:dyDescent="0.35">
      <c r="A6194" t="s">
        <v>6213</v>
      </c>
      <c r="C6194">
        <v>3</v>
      </c>
      <c r="D6194">
        <v>4</v>
      </c>
      <c r="E6194">
        <v>12</v>
      </c>
      <c r="H6194" s="1">
        <v>45210</v>
      </c>
    </row>
    <row r="6195" spans="1:8" x14ac:dyDescent="0.35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6215</v>
      </c>
      <c r="B6196" t="s">
        <v>63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</row>
    <row r="6198" spans="1:8" x14ac:dyDescent="0.35">
      <c r="A6198" t="s">
        <v>6217</v>
      </c>
      <c r="B6198" t="s">
        <v>63</v>
      </c>
      <c r="C6198">
        <v>1</v>
      </c>
      <c r="D6198">
        <v>1.5</v>
      </c>
      <c r="E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6218</v>
      </c>
      <c r="B6199" t="s">
        <v>37</v>
      </c>
      <c r="C6199">
        <v>2</v>
      </c>
      <c r="D6199">
        <v>3</v>
      </c>
      <c r="E6199">
        <v>6</v>
      </c>
      <c r="F6199" t="s">
        <v>14</v>
      </c>
      <c r="H6199" s="1">
        <v>45089</v>
      </c>
    </row>
    <row r="6200" spans="1:8" x14ac:dyDescent="0.35">
      <c r="A6200" t="s">
        <v>6219</v>
      </c>
      <c r="B6200" t="s">
        <v>37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6220</v>
      </c>
      <c r="B6201" t="s">
        <v>63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6221</v>
      </c>
      <c r="B6202" t="s">
        <v>17</v>
      </c>
      <c r="C6202">
        <v>4</v>
      </c>
      <c r="D6202">
        <v>1</v>
      </c>
      <c r="E6202">
        <v>4</v>
      </c>
      <c r="H6202" s="1">
        <v>45106</v>
      </c>
    </row>
    <row r="6203" spans="1:8" x14ac:dyDescent="0.35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6224</v>
      </c>
      <c r="B6205" t="s">
        <v>26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6225</v>
      </c>
      <c r="B6206" t="s">
        <v>26</v>
      </c>
      <c r="C6206">
        <v>1</v>
      </c>
      <c r="D6206">
        <v>4</v>
      </c>
      <c r="E6206">
        <v>4</v>
      </c>
      <c r="H6206" s="1">
        <v>45131</v>
      </c>
    </row>
    <row r="6207" spans="1:8" x14ac:dyDescent="0.35">
      <c r="A6207" t="s">
        <v>6226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</row>
    <row r="6209" spans="1:8" x14ac:dyDescent="0.35">
      <c r="A6209" t="s">
        <v>6228</v>
      </c>
      <c r="B6209" t="s">
        <v>26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H6211" s="1">
        <v>45139</v>
      </c>
    </row>
    <row r="6212" spans="1:8" x14ac:dyDescent="0.35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</row>
    <row r="6215" spans="1:8" x14ac:dyDescent="0.35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6235</v>
      </c>
      <c r="B6216" t="s">
        <v>63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6236</v>
      </c>
      <c r="B6217" t="s">
        <v>26</v>
      </c>
      <c r="C6217">
        <v>4</v>
      </c>
      <c r="D6217">
        <v>4</v>
      </c>
      <c r="E6217">
        <v>16</v>
      </c>
      <c r="H6217" s="1">
        <v>45046</v>
      </c>
    </row>
    <row r="6218" spans="1:8" x14ac:dyDescent="0.35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6238</v>
      </c>
      <c r="B6219" t="s">
        <v>63</v>
      </c>
      <c r="C6219">
        <v>3</v>
      </c>
      <c r="D6219">
        <v>1.5</v>
      </c>
      <c r="E6219">
        <v>4.5</v>
      </c>
      <c r="F6219" t="s">
        <v>21</v>
      </c>
      <c r="G6219" t="s">
        <v>11</v>
      </c>
      <c r="H6219" s="1">
        <v>45249</v>
      </c>
    </row>
    <row r="6220" spans="1:8" x14ac:dyDescent="0.35">
      <c r="A6220" t="s">
        <v>6239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6241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6243</v>
      </c>
      <c r="B6224" t="s">
        <v>26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6244</v>
      </c>
      <c r="B6225" t="s">
        <v>23</v>
      </c>
      <c r="C6225">
        <v>2</v>
      </c>
      <c r="D6225">
        <v>4</v>
      </c>
      <c r="E6225">
        <v>8</v>
      </c>
      <c r="H6225" s="1">
        <v>45083</v>
      </c>
    </row>
    <row r="6226" spans="1:8" x14ac:dyDescent="0.35">
      <c r="A6226" t="s">
        <v>6245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6246</v>
      </c>
      <c r="B6227" t="s">
        <v>17</v>
      </c>
      <c r="C6227">
        <v>2</v>
      </c>
      <c r="D6227">
        <v>1</v>
      </c>
      <c r="E6227">
        <v>2</v>
      </c>
    </row>
    <row r="6228" spans="1:8" x14ac:dyDescent="0.35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</row>
    <row r="6229" spans="1:8" x14ac:dyDescent="0.35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H6229" s="1">
        <v>45105</v>
      </c>
    </row>
    <row r="6230" spans="1:8" x14ac:dyDescent="0.35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</row>
    <row r="6231" spans="1:8" x14ac:dyDescent="0.35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6251</v>
      </c>
      <c r="B6232" t="s">
        <v>26</v>
      </c>
      <c r="C6232">
        <v>5</v>
      </c>
      <c r="D6232">
        <v>4</v>
      </c>
      <c r="E6232">
        <v>20</v>
      </c>
      <c r="H6232" s="1">
        <v>44934</v>
      </c>
    </row>
    <row r="6233" spans="1:8" x14ac:dyDescent="0.35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6253</v>
      </c>
      <c r="B6234" t="s">
        <v>37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6254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6256</v>
      </c>
      <c r="B6237" t="s">
        <v>37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6257</v>
      </c>
      <c r="B6238" t="s">
        <v>23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6258</v>
      </c>
      <c r="B6239" t="s">
        <v>23</v>
      </c>
      <c r="C6239">
        <v>2</v>
      </c>
      <c r="D6239">
        <v>4</v>
      </c>
      <c r="E6239">
        <v>8</v>
      </c>
      <c r="H6239" s="1">
        <v>45205</v>
      </c>
    </row>
    <row r="6240" spans="1:8" x14ac:dyDescent="0.35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6261</v>
      </c>
      <c r="B6242" t="s">
        <v>23</v>
      </c>
      <c r="C6242">
        <v>1</v>
      </c>
      <c r="D6242">
        <v>4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6263</v>
      </c>
      <c r="B6244" t="s">
        <v>23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</row>
    <row r="6247" spans="1:8" x14ac:dyDescent="0.35">
      <c r="A6247" t="s">
        <v>6266</v>
      </c>
      <c r="B6247" t="s">
        <v>23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</row>
    <row r="6250" spans="1:8" x14ac:dyDescent="0.35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</row>
    <row r="6251" spans="1:8" x14ac:dyDescent="0.35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H6252" s="1">
        <v>45002</v>
      </c>
    </row>
    <row r="6253" spans="1:8" x14ac:dyDescent="0.35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</row>
    <row r="6254" spans="1:8" x14ac:dyDescent="0.35">
      <c r="A6254" t="s">
        <v>6273</v>
      </c>
      <c r="B6254" t="s">
        <v>37</v>
      </c>
      <c r="C6254">
        <v>5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</row>
    <row r="6255" spans="1:8" x14ac:dyDescent="0.35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</row>
    <row r="6256" spans="1:8" x14ac:dyDescent="0.35">
      <c r="A6256" t="s">
        <v>6275</v>
      </c>
      <c r="B6256" t="s">
        <v>9</v>
      </c>
      <c r="C6256">
        <v>2</v>
      </c>
      <c r="D6256">
        <v>2</v>
      </c>
      <c r="E6256">
        <v>4</v>
      </c>
      <c r="H6256" s="1">
        <v>45047</v>
      </c>
    </row>
    <row r="6257" spans="1:8" x14ac:dyDescent="0.35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</row>
    <row r="6259" spans="1:8" x14ac:dyDescent="0.35">
      <c r="A6259" t="s">
        <v>6278</v>
      </c>
      <c r="B6259" t="s">
        <v>63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6280</v>
      </c>
      <c r="B6261" t="s">
        <v>63</v>
      </c>
      <c r="C6261">
        <v>3</v>
      </c>
      <c r="D6261">
        <v>1.5</v>
      </c>
      <c r="E6261">
        <v>4.5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</row>
    <row r="6264" spans="1:8" x14ac:dyDescent="0.35">
      <c r="A6264" t="s">
        <v>6283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6284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6285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6286</v>
      </c>
      <c r="C6267">
        <v>3</v>
      </c>
      <c r="D6267">
        <v>4</v>
      </c>
      <c r="E6267">
        <v>12</v>
      </c>
      <c r="F6267" t="s">
        <v>10</v>
      </c>
      <c r="H6267" s="1">
        <v>45090</v>
      </c>
    </row>
    <row r="6268" spans="1:8" x14ac:dyDescent="0.35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</row>
    <row r="6269" spans="1:8" x14ac:dyDescent="0.35">
      <c r="A6269" t="s">
        <v>6288</v>
      </c>
      <c r="B6269" t="s">
        <v>13</v>
      </c>
      <c r="C6269">
        <v>5</v>
      </c>
      <c r="D6269">
        <v>3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H6270" s="1">
        <v>45238</v>
      </c>
    </row>
    <row r="6271" spans="1:8" x14ac:dyDescent="0.35">
      <c r="A6271" t="s">
        <v>6290</v>
      </c>
      <c r="B6271" t="s">
        <v>9</v>
      </c>
      <c r="C6271">
        <v>1</v>
      </c>
      <c r="D6271">
        <v>2</v>
      </c>
      <c r="E6271">
        <v>2</v>
      </c>
      <c r="H6271" s="1">
        <v>45037</v>
      </c>
    </row>
    <row r="6272" spans="1:8" x14ac:dyDescent="0.35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</row>
    <row r="6273" spans="1:8" x14ac:dyDescent="0.35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</row>
    <row r="6275" spans="1:8" x14ac:dyDescent="0.35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</row>
    <row r="6277" spans="1:8" x14ac:dyDescent="0.35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6298</v>
      </c>
      <c r="B6279" t="s">
        <v>9</v>
      </c>
      <c r="C6279">
        <v>5</v>
      </c>
      <c r="D6279">
        <v>2</v>
      </c>
      <c r="E6279">
        <v>10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</row>
    <row r="6281" spans="1:8" x14ac:dyDescent="0.35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</row>
    <row r="6283" spans="1:8" x14ac:dyDescent="0.35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</row>
    <row r="6285" spans="1:8" x14ac:dyDescent="0.35">
      <c r="A6285" t="s">
        <v>6304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</row>
    <row r="6287" spans="1:8" x14ac:dyDescent="0.35">
      <c r="A6287" t="s">
        <v>6306</v>
      </c>
      <c r="C6287">
        <v>4</v>
      </c>
      <c r="D6287">
        <v>5</v>
      </c>
      <c r="E6287">
        <v>20</v>
      </c>
      <c r="H6287" s="1">
        <v>45016</v>
      </c>
    </row>
    <row r="6288" spans="1:8" x14ac:dyDescent="0.35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H6288" s="1">
        <v>45194</v>
      </c>
    </row>
    <row r="6289" spans="1:8" x14ac:dyDescent="0.35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6312</v>
      </c>
      <c r="B6293" t="s">
        <v>19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6313</v>
      </c>
      <c r="C6294">
        <v>1</v>
      </c>
      <c r="D6294">
        <v>3</v>
      </c>
      <c r="E6294">
        <v>3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6316</v>
      </c>
      <c r="B6297" t="s">
        <v>17</v>
      </c>
      <c r="C6297">
        <v>4</v>
      </c>
      <c r="D6297">
        <v>1</v>
      </c>
      <c r="E6297">
        <v>4</v>
      </c>
      <c r="F6297" t="s">
        <v>14</v>
      </c>
      <c r="H6297" s="1">
        <v>45131</v>
      </c>
    </row>
    <row r="6298" spans="1:8" x14ac:dyDescent="0.35">
      <c r="A6298" t="s">
        <v>6317</v>
      </c>
      <c r="B6298" t="s">
        <v>63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6321</v>
      </c>
      <c r="B6302" t="s">
        <v>63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6323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</row>
    <row r="6305" spans="1:8" x14ac:dyDescent="0.35">
      <c r="A6305" t="s">
        <v>6324</v>
      </c>
      <c r="B6305" t="s">
        <v>63</v>
      </c>
      <c r="C6305">
        <v>3</v>
      </c>
      <c r="D6305">
        <v>1.5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</row>
    <row r="6307" spans="1:8" x14ac:dyDescent="0.35">
      <c r="A6307" t="s">
        <v>6326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6329</v>
      </c>
      <c r="B6310" t="s">
        <v>19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</row>
    <row r="6320" spans="1:8" x14ac:dyDescent="0.35">
      <c r="A6320" t="s">
        <v>6339</v>
      </c>
      <c r="B6320" t="s">
        <v>17</v>
      </c>
      <c r="C6320">
        <v>5</v>
      </c>
      <c r="D6320">
        <v>1</v>
      </c>
      <c r="E6320">
        <v>5</v>
      </c>
      <c r="G6320" t="s">
        <v>15</v>
      </c>
      <c r="H6320" s="1">
        <v>45066</v>
      </c>
    </row>
    <row r="6321" spans="1:8" x14ac:dyDescent="0.35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6341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</row>
    <row r="6324" spans="1:8" x14ac:dyDescent="0.35">
      <c r="A6324" t="s">
        <v>6343</v>
      </c>
      <c r="B6324" t="s">
        <v>23</v>
      </c>
      <c r="C6324">
        <v>2</v>
      </c>
      <c r="D6324">
        <v>4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6344</v>
      </c>
      <c r="B6325" t="s">
        <v>37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6345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6346</v>
      </c>
      <c r="B6327" t="s">
        <v>63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6348</v>
      </c>
      <c r="B6329" t="s">
        <v>37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6349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6351</v>
      </c>
      <c r="C6332">
        <v>5</v>
      </c>
      <c r="D6332">
        <v>5</v>
      </c>
      <c r="E6332">
        <v>25</v>
      </c>
      <c r="F6332" t="s">
        <v>10</v>
      </c>
      <c r="H6332" s="1">
        <v>45119</v>
      </c>
    </row>
    <row r="6333" spans="1:8" x14ac:dyDescent="0.35">
      <c r="A6333" t="s">
        <v>6352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6353</v>
      </c>
      <c r="B6334" t="s">
        <v>17</v>
      </c>
      <c r="C6334">
        <v>1</v>
      </c>
      <c r="D6334">
        <v>1</v>
      </c>
      <c r="E6334">
        <v>1</v>
      </c>
      <c r="H6334" s="1">
        <v>44983</v>
      </c>
    </row>
    <row r="6335" spans="1:8" x14ac:dyDescent="0.35">
      <c r="A6335" t="s">
        <v>6354</v>
      </c>
      <c r="B6335" t="s">
        <v>37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6356</v>
      </c>
      <c r="B6337" t="s">
        <v>63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6357</v>
      </c>
      <c r="B6338" t="s">
        <v>19</v>
      </c>
      <c r="C6338">
        <v>3</v>
      </c>
      <c r="D6338">
        <v>5</v>
      </c>
      <c r="E6338">
        <v>15</v>
      </c>
      <c r="G6338" t="s">
        <v>11</v>
      </c>
      <c r="H6338" s="1">
        <v>45055</v>
      </c>
    </row>
    <row r="6339" spans="1:8" x14ac:dyDescent="0.35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H6340" s="1">
        <v>45287</v>
      </c>
    </row>
    <row r="6341" spans="1:8" x14ac:dyDescent="0.35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</row>
    <row r="6342" spans="1:8" x14ac:dyDescent="0.35">
      <c r="A6342" t="s">
        <v>6361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6363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6364</v>
      </c>
      <c r="B6345" t="s">
        <v>63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H6346" s="1">
        <v>45260</v>
      </c>
    </row>
    <row r="6347" spans="1:8" x14ac:dyDescent="0.35">
      <c r="A6347" t="s">
        <v>6366</v>
      </c>
      <c r="C6347">
        <v>3</v>
      </c>
      <c r="D6347">
        <v>4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6367</v>
      </c>
      <c r="B6348" t="s">
        <v>23</v>
      </c>
      <c r="C6348">
        <v>1</v>
      </c>
      <c r="D6348">
        <v>4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</row>
    <row r="6350" spans="1:8" x14ac:dyDescent="0.35">
      <c r="A6350" t="s">
        <v>6369</v>
      </c>
      <c r="B6350" t="s">
        <v>23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6370</v>
      </c>
      <c r="C6351">
        <v>1</v>
      </c>
      <c r="D6351">
        <v>1</v>
      </c>
      <c r="E6351">
        <v>1</v>
      </c>
      <c r="G6351" t="s">
        <v>15</v>
      </c>
    </row>
    <row r="6352" spans="1:8" x14ac:dyDescent="0.35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H6352" s="1">
        <v>45265</v>
      </c>
    </row>
    <row r="6353" spans="1:8" x14ac:dyDescent="0.35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H6353" s="1">
        <v>44928</v>
      </c>
    </row>
    <row r="6354" spans="1:8" x14ac:dyDescent="0.35">
      <c r="A6354" t="s">
        <v>6373</v>
      </c>
      <c r="B6354" t="s">
        <v>23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6374</v>
      </c>
      <c r="B6355" t="s">
        <v>37</v>
      </c>
      <c r="C6355">
        <v>2</v>
      </c>
      <c r="D6355">
        <v>3</v>
      </c>
      <c r="E6355">
        <v>6</v>
      </c>
      <c r="F6355" t="s">
        <v>14</v>
      </c>
      <c r="H6355" s="1">
        <v>45076</v>
      </c>
    </row>
    <row r="6356" spans="1:8" x14ac:dyDescent="0.35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</row>
    <row r="6360" spans="1:8" x14ac:dyDescent="0.35">
      <c r="A6360" t="s">
        <v>6379</v>
      </c>
      <c r="C6360">
        <v>4</v>
      </c>
      <c r="D6360">
        <v>3</v>
      </c>
      <c r="E6360">
        <v>12</v>
      </c>
      <c r="F6360" t="s">
        <v>21</v>
      </c>
      <c r="H6360" s="1">
        <v>45078</v>
      </c>
    </row>
    <row r="6361" spans="1:8" x14ac:dyDescent="0.35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6382</v>
      </c>
      <c r="B6363" t="s">
        <v>19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6384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6386</v>
      </c>
      <c r="B6367" t="s">
        <v>23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H6368" s="1">
        <v>45177</v>
      </c>
    </row>
    <row r="6369" spans="1:8" x14ac:dyDescent="0.35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6389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</row>
    <row r="6371" spans="1:8" x14ac:dyDescent="0.35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6391</v>
      </c>
      <c r="B6372" t="s">
        <v>26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6394</v>
      </c>
      <c r="B6375" t="s">
        <v>19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6396</v>
      </c>
      <c r="B6377" t="s">
        <v>17</v>
      </c>
      <c r="C6377">
        <v>1</v>
      </c>
      <c r="D6377">
        <v>1</v>
      </c>
      <c r="E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6397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6398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</row>
    <row r="6381" spans="1:8" x14ac:dyDescent="0.35">
      <c r="A6381" t="s">
        <v>6400</v>
      </c>
      <c r="B6381" t="s">
        <v>23</v>
      </c>
      <c r="C6381">
        <v>3</v>
      </c>
      <c r="D6381">
        <v>4</v>
      </c>
      <c r="E6381">
        <v>12</v>
      </c>
      <c r="G6381" t="s">
        <v>15</v>
      </c>
      <c r="H6381" s="1">
        <v>45184</v>
      </c>
    </row>
    <row r="6382" spans="1:8" x14ac:dyDescent="0.35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6402</v>
      </c>
      <c r="C6383">
        <v>3</v>
      </c>
      <c r="D6383">
        <v>5</v>
      </c>
      <c r="E6383">
        <v>15</v>
      </c>
      <c r="F6383" t="s">
        <v>21</v>
      </c>
      <c r="H6383" s="1">
        <v>45051</v>
      </c>
    </row>
    <row r="6384" spans="1:8" x14ac:dyDescent="0.35">
      <c r="A6384" t="s">
        <v>6403</v>
      </c>
      <c r="B6384" t="s">
        <v>63</v>
      </c>
      <c r="C6384">
        <v>3</v>
      </c>
      <c r="D6384">
        <v>1.5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</row>
    <row r="6386" spans="1:8" x14ac:dyDescent="0.35">
      <c r="A6386" t="s">
        <v>6405</v>
      </c>
      <c r="B6386" t="s">
        <v>19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H6387" s="1">
        <v>45124</v>
      </c>
    </row>
    <row r="6388" spans="1:8" x14ac:dyDescent="0.35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</row>
    <row r="6390" spans="1:8" x14ac:dyDescent="0.35">
      <c r="A6390" t="s">
        <v>6409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6410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</row>
    <row r="6392" spans="1:8" x14ac:dyDescent="0.35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</row>
    <row r="6394" spans="1:8" x14ac:dyDescent="0.35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H6396" s="1">
        <v>45068</v>
      </c>
    </row>
    <row r="6397" spans="1:8" x14ac:dyDescent="0.35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</row>
    <row r="6398" spans="1:8" x14ac:dyDescent="0.35">
      <c r="A6398" t="s">
        <v>6417</v>
      </c>
      <c r="B6398" t="s">
        <v>19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6418</v>
      </c>
      <c r="B6399" t="s">
        <v>26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6420</v>
      </c>
      <c r="B6401" t="s">
        <v>19</v>
      </c>
      <c r="C6401">
        <v>1</v>
      </c>
      <c r="D6401">
        <v>5</v>
      </c>
      <c r="E6401">
        <v>5</v>
      </c>
    </row>
    <row r="6402" spans="1:8" x14ac:dyDescent="0.35">
      <c r="A6402" t="s">
        <v>6421</v>
      </c>
      <c r="B6402" t="s">
        <v>63</v>
      </c>
      <c r="C6402">
        <v>1</v>
      </c>
      <c r="D6402">
        <v>1.5</v>
      </c>
      <c r="E6402">
        <v>1.5</v>
      </c>
      <c r="F6402" t="s">
        <v>21</v>
      </c>
      <c r="G6402" t="s">
        <v>15</v>
      </c>
      <c r="H6402" s="1">
        <v>45137</v>
      </c>
    </row>
    <row r="6403" spans="1:8" x14ac:dyDescent="0.35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6423</v>
      </c>
      <c r="B6404" t="s">
        <v>13</v>
      </c>
      <c r="C6404">
        <v>4</v>
      </c>
      <c r="D6404">
        <v>3</v>
      </c>
      <c r="E6404">
        <v>12</v>
      </c>
      <c r="G6404" t="s">
        <v>11</v>
      </c>
      <c r="H6404" s="1">
        <v>45128</v>
      </c>
    </row>
    <row r="6405" spans="1:8" x14ac:dyDescent="0.35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6428</v>
      </c>
      <c r="B6409" t="s">
        <v>37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H6410" s="1">
        <v>45244</v>
      </c>
    </row>
    <row r="6411" spans="1:8" x14ac:dyDescent="0.35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</row>
    <row r="6412" spans="1:8" x14ac:dyDescent="0.35">
      <c r="A6412" t="s">
        <v>6431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6432</v>
      </c>
      <c r="B6413" t="s">
        <v>26</v>
      </c>
      <c r="C6413">
        <v>2</v>
      </c>
      <c r="D6413">
        <v>4</v>
      </c>
      <c r="E6413">
        <v>8</v>
      </c>
      <c r="H6413" s="1">
        <v>45231</v>
      </c>
    </row>
    <row r="6414" spans="1:8" x14ac:dyDescent="0.35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6434</v>
      </c>
      <c r="B6415" t="s">
        <v>19</v>
      </c>
      <c r="C6415">
        <v>4</v>
      </c>
      <c r="D6415">
        <v>5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6435</v>
      </c>
      <c r="B6416" t="s">
        <v>26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6438</v>
      </c>
      <c r="B6419" t="s">
        <v>26</v>
      </c>
      <c r="C6419">
        <v>3</v>
      </c>
      <c r="D6419">
        <v>4</v>
      </c>
      <c r="E6419">
        <v>12</v>
      </c>
    </row>
    <row r="6420" spans="1:8" x14ac:dyDescent="0.35">
      <c r="A6420" t="s">
        <v>6439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6440</v>
      </c>
      <c r="B6421" t="s">
        <v>19</v>
      </c>
      <c r="C6421">
        <v>5</v>
      </c>
      <c r="D6421">
        <v>5</v>
      </c>
      <c r="E6421">
        <v>25</v>
      </c>
      <c r="G6421" t="s">
        <v>15</v>
      </c>
      <c r="H6421" s="1">
        <v>45149</v>
      </c>
    </row>
    <row r="6422" spans="1:8" x14ac:dyDescent="0.35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</row>
    <row r="6423" spans="1:8" x14ac:dyDescent="0.35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6443</v>
      </c>
      <c r="C6424">
        <v>4</v>
      </c>
      <c r="D6424">
        <v>2</v>
      </c>
      <c r="E6424">
        <v>8</v>
      </c>
      <c r="F6424" t="s">
        <v>14</v>
      </c>
    </row>
    <row r="6425" spans="1:8" x14ac:dyDescent="0.35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6445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6446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</row>
    <row r="6429" spans="1:8" x14ac:dyDescent="0.35">
      <c r="A6429" t="s">
        <v>6448</v>
      </c>
      <c r="B6429" t="s">
        <v>19</v>
      </c>
      <c r="C6429">
        <v>3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</row>
    <row r="6430" spans="1:8" x14ac:dyDescent="0.35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6450</v>
      </c>
      <c r="C6431">
        <v>2</v>
      </c>
      <c r="D6431">
        <v>4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6451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H6433" s="1">
        <v>45022</v>
      </c>
    </row>
    <row r="6434" spans="1:8" x14ac:dyDescent="0.35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6454</v>
      </c>
      <c r="B6435" t="s">
        <v>23</v>
      </c>
      <c r="C6435">
        <v>4</v>
      </c>
      <c r="D6435">
        <v>4</v>
      </c>
      <c r="E6435">
        <v>16</v>
      </c>
      <c r="G6435" t="s">
        <v>15</v>
      </c>
      <c r="H6435" s="1">
        <v>45277</v>
      </c>
    </row>
    <row r="6436" spans="1:8" x14ac:dyDescent="0.35">
      <c r="A6436" t="s">
        <v>6455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</row>
    <row r="6438" spans="1:8" x14ac:dyDescent="0.35">
      <c r="A6438" t="s">
        <v>6457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6458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</row>
    <row r="6442" spans="1:8" x14ac:dyDescent="0.35">
      <c r="A6442" t="s">
        <v>6461</v>
      </c>
      <c r="B6442" t="s">
        <v>37</v>
      </c>
      <c r="C6442">
        <v>1</v>
      </c>
      <c r="D6442">
        <v>3</v>
      </c>
      <c r="E6442">
        <v>3</v>
      </c>
      <c r="H6442" s="1">
        <v>45232</v>
      </c>
    </row>
    <row r="6443" spans="1:8" x14ac:dyDescent="0.35">
      <c r="A6443" t="s">
        <v>6462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6464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6466</v>
      </c>
      <c r="B6447" t="s">
        <v>23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6468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</row>
    <row r="6451" spans="1:8" x14ac:dyDescent="0.35">
      <c r="A6451" t="s">
        <v>6470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</row>
    <row r="6453" spans="1:8" x14ac:dyDescent="0.35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6473</v>
      </c>
      <c r="B6454" t="s">
        <v>23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</row>
    <row r="6456" spans="1:8" x14ac:dyDescent="0.35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6476</v>
      </c>
      <c r="B6457" t="s">
        <v>37</v>
      </c>
      <c r="C6457">
        <v>5</v>
      </c>
      <c r="D6457">
        <v>3</v>
      </c>
      <c r="E6457">
        <v>15</v>
      </c>
    </row>
    <row r="6458" spans="1:8" x14ac:dyDescent="0.35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</row>
    <row r="6460" spans="1:8" x14ac:dyDescent="0.35">
      <c r="A6460" t="s">
        <v>6479</v>
      </c>
      <c r="B6460" t="s">
        <v>63</v>
      </c>
      <c r="C6460">
        <v>1</v>
      </c>
      <c r="D6460">
        <v>1.5</v>
      </c>
      <c r="E6460">
        <v>1.5</v>
      </c>
      <c r="H6460" s="1">
        <v>45199</v>
      </c>
    </row>
    <row r="6461" spans="1:8" x14ac:dyDescent="0.35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</row>
    <row r="6462" spans="1:8" x14ac:dyDescent="0.35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</row>
    <row r="6463" spans="1:8" x14ac:dyDescent="0.35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</row>
    <row r="6464" spans="1:8" x14ac:dyDescent="0.35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</row>
    <row r="6465" spans="1:8" x14ac:dyDescent="0.35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</row>
    <row r="6466" spans="1:8" x14ac:dyDescent="0.35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6486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6487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H6469" s="1">
        <v>45051</v>
      </c>
    </row>
    <row r="6470" spans="1:8" x14ac:dyDescent="0.35">
      <c r="A6470" t="s">
        <v>6489</v>
      </c>
      <c r="B6470" t="s">
        <v>23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6491</v>
      </c>
      <c r="B6472" t="s">
        <v>63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6494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6496</v>
      </c>
      <c r="B6477" t="s">
        <v>19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6497</v>
      </c>
      <c r="B6478" t="s">
        <v>26</v>
      </c>
      <c r="C6478">
        <v>1</v>
      </c>
      <c r="D6478">
        <v>4</v>
      </c>
      <c r="E6478">
        <v>4</v>
      </c>
      <c r="G6478" t="s">
        <v>15</v>
      </c>
      <c r="H6478" s="1">
        <v>45154</v>
      </c>
    </row>
    <row r="6479" spans="1:8" x14ac:dyDescent="0.35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6499</v>
      </c>
      <c r="B6480" t="s">
        <v>63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H6481" s="1">
        <v>45005</v>
      </c>
    </row>
    <row r="6482" spans="1:8" x14ac:dyDescent="0.35">
      <c r="A6482" t="s">
        <v>6501</v>
      </c>
      <c r="C6482">
        <v>5</v>
      </c>
      <c r="D6482">
        <v>1</v>
      </c>
      <c r="E6482">
        <v>5</v>
      </c>
      <c r="F6482" t="s">
        <v>14</v>
      </c>
      <c r="H6482" s="1">
        <v>45030</v>
      </c>
    </row>
    <row r="6483" spans="1:8" x14ac:dyDescent="0.35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6503</v>
      </c>
      <c r="C6484">
        <v>1</v>
      </c>
      <c r="D6484">
        <v>3</v>
      </c>
      <c r="E6484">
        <v>3</v>
      </c>
      <c r="G6484" t="s">
        <v>15</v>
      </c>
      <c r="H6484" s="1">
        <v>45050</v>
      </c>
    </row>
    <row r="6485" spans="1:8" x14ac:dyDescent="0.35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H6486" s="1">
        <v>45024</v>
      </c>
    </row>
    <row r="6487" spans="1:8" x14ac:dyDescent="0.35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</row>
    <row r="6488" spans="1:8" x14ac:dyDescent="0.35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6508</v>
      </c>
      <c r="B6489" t="s">
        <v>23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6509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</row>
    <row r="6491" spans="1:8" x14ac:dyDescent="0.35">
      <c r="A6491" t="s">
        <v>6510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6511</v>
      </c>
      <c r="C6492">
        <v>2</v>
      </c>
      <c r="D6492">
        <v>1.5</v>
      </c>
      <c r="E6492">
        <v>3</v>
      </c>
      <c r="F6492" t="s">
        <v>21</v>
      </c>
      <c r="H6492" s="1">
        <v>45212</v>
      </c>
    </row>
    <row r="6493" spans="1:8" x14ac:dyDescent="0.35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6513</v>
      </c>
      <c r="B6494" t="s">
        <v>13</v>
      </c>
      <c r="C6494">
        <v>1</v>
      </c>
      <c r="D6494">
        <v>3</v>
      </c>
      <c r="E6494">
        <v>3</v>
      </c>
      <c r="F6494" t="s">
        <v>21</v>
      </c>
      <c r="H6494" s="1">
        <v>45155</v>
      </c>
    </row>
    <row r="6495" spans="1:8" x14ac:dyDescent="0.35">
      <c r="A6495" t="s">
        <v>6514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6515</v>
      </c>
      <c r="B6496" t="s">
        <v>63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6518</v>
      </c>
      <c r="B6499" t="s">
        <v>23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6519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H6503" s="1">
        <v>45259</v>
      </c>
    </row>
    <row r="6504" spans="1:8" x14ac:dyDescent="0.35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</row>
    <row r="6505" spans="1:8" x14ac:dyDescent="0.35">
      <c r="A6505" t="s">
        <v>6524</v>
      </c>
      <c r="B6505" t="s">
        <v>19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6525</v>
      </c>
      <c r="B6506" t="s">
        <v>23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H6507" s="1">
        <v>45126</v>
      </c>
    </row>
    <row r="6508" spans="1:8" x14ac:dyDescent="0.35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</row>
    <row r="6509" spans="1:8" x14ac:dyDescent="0.35">
      <c r="A6509" t="s">
        <v>6528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6529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</row>
    <row r="6512" spans="1:8" x14ac:dyDescent="0.35">
      <c r="A6512" t="s">
        <v>6531</v>
      </c>
      <c r="C6512">
        <v>3</v>
      </c>
      <c r="D6512">
        <v>4</v>
      </c>
      <c r="E6512">
        <v>12</v>
      </c>
      <c r="G6512" t="s">
        <v>15</v>
      </c>
      <c r="H6512" s="1">
        <v>45170</v>
      </c>
    </row>
    <row r="6513" spans="1:8" x14ac:dyDescent="0.35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6533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6535</v>
      </c>
      <c r="B6516" t="s">
        <v>37</v>
      </c>
      <c r="C6516">
        <v>3</v>
      </c>
      <c r="D6516">
        <v>3</v>
      </c>
      <c r="E6516">
        <v>9</v>
      </c>
      <c r="F6516" t="s">
        <v>10</v>
      </c>
      <c r="H6516" s="1">
        <v>45167</v>
      </c>
    </row>
    <row r="6517" spans="1:8" x14ac:dyDescent="0.35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</row>
    <row r="6518" spans="1:8" x14ac:dyDescent="0.35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6538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H6521" s="1">
        <v>45250</v>
      </c>
    </row>
    <row r="6522" spans="1:8" x14ac:dyDescent="0.35">
      <c r="A6522" t="s">
        <v>6541</v>
      </c>
      <c r="B6522" t="s">
        <v>9</v>
      </c>
      <c r="C6522">
        <v>1</v>
      </c>
      <c r="D6522">
        <v>2</v>
      </c>
      <c r="E6522">
        <v>2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6543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</row>
    <row r="6526" spans="1:8" x14ac:dyDescent="0.35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6547</v>
      </c>
      <c r="B6528" t="s">
        <v>37</v>
      </c>
      <c r="C6528">
        <v>1</v>
      </c>
      <c r="D6528">
        <v>3</v>
      </c>
      <c r="E6528">
        <v>3</v>
      </c>
      <c r="H6528" s="1">
        <v>45248</v>
      </c>
    </row>
    <row r="6529" spans="1:8" x14ac:dyDescent="0.35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</row>
    <row r="6530" spans="1:8" x14ac:dyDescent="0.35">
      <c r="A6530" t="s">
        <v>6549</v>
      </c>
      <c r="B6530" t="s">
        <v>37</v>
      </c>
      <c r="C6530">
        <v>5</v>
      </c>
      <c r="D6530">
        <v>3</v>
      </c>
      <c r="E6530">
        <v>15</v>
      </c>
      <c r="H6530" s="1">
        <v>44982</v>
      </c>
    </row>
    <row r="6531" spans="1:8" x14ac:dyDescent="0.35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6551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6553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6555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6556</v>
      </c>
      <c r="B6537" t="s">
        <v>63</v>
      </c>
      <c r="C6537">
        <v>3</v>
      </c>
      <c r="D6537">
        <v>1.5</v>
      </c>
      <c r="E6537">
        <v>4.5</v>
      </c>
    </row>
    <row r="6538" spans="1:8" x14ac:dyDescent="0.35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H6538" s="1">
        <v>45285</v>
      </c>
    </row>
    <row r="6539" spans="1:8" x14ac:dyDescent="0.35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6561</v>
      </c>
      <c r="B6542" t="s">
        <v>37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6562</v>
      </c>
      <c r="B6543" t="s">
        <v>26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6563</v>
      </c>
      <c r="B6544" t="s">
        <v>26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6564</v>
      </c>
      <c r="B6545" t="s">
        <v>26</v>
      </c>
      <c r="C6545">
        <v>2</v>
      </c>
      <c r="D6545">
        <v>4</v>
      </c>
      <c r="E6545">
        <v>8</v>
      </c>
      <c r="F6545" t="s">
        <v>14</v>
      </c>
      <c r="H6545" s="1">
        <v>45099</v>
      </c>
    </row>
    <row r="6546" spans="1:8" x14ac:dyDescent="0.35">
      <c r="A6546" t="s">
        <v>6565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6567</v>
      </c>
      <c r="B6548" t="s">
        <v>26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</row>
    <row r="6550" spans="1:8" x14ac:dyDescent="0.35">
      <c r="A6550" t="s">
        <v>6569</v>
      </c>
      <c r="B6550" t="s">
        <v>9</v>
      </c>
      <c r="C6550">
        <v>3</v>
      </c>
      <c r="D6550">
        <v>2</v>
      </c>
      <c r="E6550">
        <v>6</v>
      </c>
      <c r="G6550" t="s">
        <v>11</v>
      </c>
    </row>
    <row r="6551" spans="1:8" x14ac:dyDescent="0.35">
      <c r="A6551" t="s">
        <v>6570</v>
      </c>
      <c r="B6551" t="s">
        <v>26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6571</v>
      </c>
      <c r="B6552" t="s">
        <v>26</v>
      </c>
      <c r="C6552">
        <v>2</v>
      </c>
      <c r="D6552">
        <v>4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H6554" s="1">
        <v>44961</v>
      </c>
    </row>
    <row r="6555" spans="1:8" x14ac:dyDescent="0.35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H6555" s="1">
        <v>45213</v>
      </c>
    </row>
    <row r="6556" spans="1:8" x14ac:dyDescent="0.35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</row>
    <row r="6558" spans="1:8" x14ac:dyDescent="0.35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6578</v>
      </c>
      <c r="B6559" t="s">
        <v>63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6579</v>
      </c>
      <c r="B6560" t="s">
        <v>19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</row>
    <row r="6562" spans="1:8" x14ac:dyDescent="0.35">
      <c r="A6562" t="s">
        <v>6581</v>
      </c>
      <c r="B6562" t="s">
        <v>26</v>
      </c>
      <c r="C6562">
        <v>4</v>
      </c>
      <c r="D6562">
        <v>4</v>
      </c>
      <c r="E6562">
        <v>16</v>
      </c>
      <c r="F6562" t="s">
        <v>21</v>
      </c>
      <c r="H6562" s="1">
        <v>45207</v>
      </c>
    </row>
    <row r="6563" spans="1:8" x14ac:dyDescent="0.35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6583</v>
      </c>
      <c r="B6564" t="s">
        <v>23</v>
      </c>
      <c r="C6564">
        <v>2</v>
      </c>
      <c r="D6564">
        <v>4</v>
      </c>
      <c r="E6564">
        <v>8</v>
      </c>
      <c r="H6564" s="1">
        <v>45176</v>
      </c>
    </row>
    <row r="6565" spans="1:8" x14ac:dyDescent="0.35">
      <c r="A6565" t="s">
        <v>6584</v>
      </c>
      <c r="B6565" t="s">
        <v>63</v>
      </c>
      <c r="C6565">
        <v>3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6585</v>
      </c>
      <c r="B6566" t="s">
        <v>19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6586</v>
      </c>
      <c r="B6567" t="s">
        <v>26</v>
      </c>
      <c r="C6567">
        <v>5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6587</v>
      </c>
      <c r="B6568" t="s">
        <v>23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6590</v>
      </c>
      <c r="B6571" t="s">
        <v>17</v>
      </c>
      <c r="C6571">
        <v>2</v>
      </c>
      <c r="D6571">
        <v>1</v>
      </c>
      <c r="E6571">
        <v>2</v>
      </c>
      <c r="F6571" t="s">
        <v>21</v>
      </c>
      <c r="G6571" t="s">
        <v>15</v>
      </c>
      <c r="H6571" s="1">
        <v>45161</v>
      </c>
    </row>
    <row r="6572" spans="1:8" x14ac:dyDescent="0.35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</row>
    <row r="6573" spans="1:8" x14ac:dyDescent="0.35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6593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6594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6595</v>
      </c>
      <c r="C6576">
        <v>2</v>
      </c>
      <c r="D6576">
        <v>1</v>
      </c>
      <c r="E6576">
        <v>2</v>
      </c>
      <c r="H6576" s="1">
        <v>45121</v>
      </c>
    </row>
    <row r="6577" spans="1:8" x14ac:dyDescent="0.35">
      <c r="A6577" t="s">
        <v>6596</v>
      </c>
      <c r="B6577" t="s">
        <v>37</v>
      </c>
      <c r="C6577">
        <v>3</v>
      </c>
      <c r="D6577">
        <v>3</v>
      </c>
      <c r="E6577">
        <v>9</v>
      </c>
      <c r="F6577" t="s">
        <v>21</v>
      </c>
      <c r="H6577" s="1">
        <v>45030</v>
      </c>
    </row>
    <row r="6578" spans="1:8" x14ac:dyDescent="0.35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</row>
    <row r="6579" spans="1:8" x14ac:dyDescent="0.35">
      <c r="A6579" t="s">
        <v>6598</v>
      </c>
      <c r="B6579" t="s">
        <v>19</v>
      </c>
      <c r="C6579">
        <v>3</v>
      </c>
      <c r="D6579">
        <v>5</v>
      </c>
      <c r="E6579">
        <v>15</v>
      </c>
      <c r="H6579" s="1">
        <v>45078</v>
      </c>
    </row>
    <row r="6580" spans="1:8" x14ac:dyDescent="0.35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H6580" s="1">
        <v>45278</v>
      </c>
    </row>
    <row r="6581" spans="1:8" x14ac:dyDescent="0.35">
      <c r="A6581" t="s">
        <v>6600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</row>
    <row r="6582" spans="1:8" x14ac:dyDescent="0.35">
      <c r="A6582" t="s">
        <v>6601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</row>
    <row r="6584" spans="1:8" x14ac:dyDescent="0.35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</row>
    <row r="6586" spans="1:8" x14ac:dyDescent="0.35">
      <c r="A6586" t="s">
        <v>6605</v>
      </c>
      <c r="B6586" t="s">
        <v>23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6609</v>
      </c>
      <c r="B6590" t="s">
        <v>37</v>
      </c>
      <c r="C6590">
        <v>5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</row>
    <row r="6592" spans="1:8" x14ac:dyDescent="0.35">
      <c r="A6592" t="s">
        <v>6611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6613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6614</v>
      </c>
      <c r="B6595" t="s">
        <v>23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6615</v>
      </c>
      <c r="B6596" t="s">
        <v>26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6616</v>
      </c>
      <c r="C6597">
        <v>4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H6598" s="1">
        <v>45018</v>
      </c>
    </row>
    <row r="6599" spans="1:8" x14ac:dyDescent="0.35">
      <c r="A6599" t="s">
        <v>6618</v>
      </c>
      <c r="B6599" t="s">
        <v>63</v>
      </c>
      <c r="C6599">
        <v>1</v>
      </c>
      <c r="D6599">
        <v>1.5</v>
      </c>
      <c r="E6599">
        <v>1.5</v>
      </c>
      <c r="G6599" t="s">
        <v>11</v>
      </c>
      <c r="H6599" s="1">
        <v>45251</v>
      </c>
    </row>
    <row r="6600" spans="1:8" x14ac:dyDescent="0.35">
      <c r="A6600" t="s">
        <v>6619</v>
      </c>
      <c r="B6600" t="s">
        <v>26</v>
      </c>
      <c r="C6600">
        <v>2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</row>
    <row r="6604" spans="1:8" x14ac:dyDescent="0.35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H6605" s="1">
        <v>44949</v>
      </c>
    </row>
    <row r="6606" spans="1:8" x14ac:dyDescent="0.35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H6606" s="1">
        <v>45012</v>
      </c>
    </row>
    <row r="6607" spans="1:8" x14ac:dyDescent="0.35">
      <c r="A6607" t="s">
        <v>6626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H6608" s="1">
        <v>45262</v>
      </c>
    </row>
    <row r="6609" spans="1:8" x14ac:dyDescent="0.35">
      <c r="A6609" t="s">
        <v>6628</v>
      </c>
      <c r="B6609" t="s">
        <v>63</v>
      </c>
      <c r="C6609">
        <v>3</v>
      </c>
      <c r="D6609">
        <v>1.5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H6610" s="1">
        <v>44975</v>
      </c>
    </row>
    <row r="6611" spans="1:8" x14ac:dyDescent="0.35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</row>
    <row r="6612" spans="1:8" x14ac:dyDescent="0.35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H6612" s="1">
        <v>45113</v>
      </c>
    </row>
    <row r="6613" spans="1:8" x14ac:dyDescent="0.35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</row>
    <row r="6614" spans="1:8" x14ac:dyDescent="0.35">
      <c r="A6614" t="s">
        <v>6633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6634</v>
      </c>
      <c r="B6615" t="s">
        <v>9</v>
      </c>
      <c r="C6615">
        <v>4</v>
      </c>
      <c r="D6615">
        <v>2</v>
      </c>
      <c r="E6615">
        <v>8</v>
      </c>
      <c r="H6615" s="1">
        <v>45032</v>
      </c>
    </row>
    <row r="6616" spans="1:8" x14ac:dyDescent="0.35">
      <c r="A6616" t="s">
        <v>6635</v>
      </c>
      <c r="B6616" t="s">
        <v>9</v>
      </c>
      <c r="C6616">
        <v>1</v>
      </c>
      <c r="D6616">
        <v>2</v>
      </c>
      <c r="E6616">
        <v>2</v>
      </c>
      <c r="H6616" s="1">
        <v>45199</v>
      </c>
    </row>
    <row r="6617" spans="1:8" x14ac:dyDescent="0.35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H6618" s="1">
        <v>45218</v>
      </c>
    </row>
    <row r="6619" spans="1:8" x14ac:dyDescent="0.35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</row>
    <row r="6620" spans="1:8" x14ac:dyDescent="0.35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</row>
    <row r="6622" spans="1:8" x14ac:dyDescent="0.35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</row>
    <row r="6623" spans="1:8" x14ac:dyDescent="0.35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6643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H6626" s="1">
        <v>45074</v>
      </c>
    </row>
    <row r="6627" spans="1:8" x14ac:dyDescent="0.35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</row>
    <row r="6629" spans="1:8" x14ac:dyDescent="0.35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6650</v>
      </c>
      <c r="B6631" t="s">
        <v>9</v>
      </c>
      <c r="C6631">
        <v>1</v>
      </c>
      <c r="D6631">
        <v>2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6651</v>
      </c>
      <c r="C6632">
        <v>1</v>
      </c>
      <c r="D6632">
        <v>5</v>
      </c>
      <c r="E6632">
        <v>5</v>
      </c>
      <c r="H6632" s="1">
        <v>44975</v>
      </c>
    </row>
    <row r="6633" spans="1:8" x14ac:dyDescent="0.35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6653</v>
      </c>
      <c r="B6634" t="s">
        <v>9</v>
      </c>
      <c r="C6634">
        <v>3</v>
      </c>
      <c r="D6634">
        <v>2</v>
      </c>
      <c r="E6634">
        <v>6</v>
      </c>
      <c r="H6634" s="1">
        <v>45180</v>
      </c>
    </row>
    <row r="6635" spans="1:8" x14ac:dyDescent="0.35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6655</v>
      </c>
      <c r="B6636" t="s">
        <v>37</v>
      </c>
      <c r="C6636">
        <v>5</v>
      </c>
      <c r="D6636">
        <v>3</v>
      </c>
      <c r="E6636">
        <v>15</v>
      </c>
      <c r="G6636" t="s">
        <v>11</v>
      </c>
      <c r="H6636" s="1">
        <v>45078</v>
      </c>
    </row>
    <row r="6637" spans="1:8" x14ac:dyDescent="0.35">
      <c r="A6637" t="s">
        <v>6656</v>
      </c>
      <c r="C6637">
        <v>2</v>
      </c>
      <c r="D6637">
        <v>1.5</v>
      </c>
      <c r="E6637">
        <v>3</v>
      </c>
      <c r="F6637" t="s">
        <v>21</v>
      </c>
      <c r="H6637" s="1">
        <v>45277</v>
      </c>
    </row>
    <row r="6638" spans="1:8" x14ac:dyDescent="0.35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6658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6659</v>
      </c>
      <c r="B6640" t="s">
        <v>26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6661</v>
      </c>
      <c r="C6642">
        <v>3</v>
      </c>
      <c r="D6642">
        <v>3</v>
      </c>
      <c r="E6642">
        <v>9</v>
      </c>
      <c r="F6642" t="s">
        <v>21</v>
      </c>
      <c r="H6642" s="1">
        <v>45140</v>
      </c>
    </row>
    <row r="6643" spans="1:8" x14ac:dyDescent="0.35">
      <c r="A6643" t="s">
        <v>6662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</row>
    <row r="6645" spans="1:8" x14ac:dyDescent="0.35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</row>
    <row r="6646" spans="1:8" x14ac:dyDescent="0.35">
      <c r="A6646" t="s">
        <v>6665</v>
      </c>
      <c r="B6646" t="s">
        <v>63</v>
      </c>
      <c r="C6646">
        <v>4</v>
      </c>
      <c r="D6646">
        <v>1.5</v>
      </c>
      <c r="E6646">
        <v>6</v>
      </c>
      <c r="G6646" t="s">
        <v>15</v>
      </c>
    </row>
    <row r="6647" spans="1:8" x14ac:dyDescent="0.35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H6647" s="1">
        <v>45245</v>
      </c>
    </row>
    <row r="6648" spans="1:8" x14ac:dyDescent="0.35">
      <c r="A6648" t="s">
        <v>6667</v>
      </c>
      <c r="B6648" t="s">
        <v>9</v>
      </c>
      <c r="C6648">
        <v>1</v>
      </c>
      <c r="D6648">
        <v>2</v>
      </c>
      <c r="E6648">
        <v>2</v>
      </c>
      <c r="H6648" s="1">
        <v>45259</v>
      </c>
    </row>
    <row r="6649" spans="1:8" x14ac:dyDescent="0.35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6669</v>
      </c>
      <c r="B6650" t="s">
        <v>9</v>
      </c>
      <c r="C6650">
        <v>1</v>
      </c>
      <c r="D6650">
        <v>2</v>
      </c>
      <c r="E6650">
        <v>2</v>
      </c>
      <c r="F6650" t="s">
        <v>21</v>
      </c>
      <c r="G6650" t="s">
        <v>15</v>
      </c>
      <c r="H6650" s="1">
        <v>45110</v>
      </c>
    </row>
    <row r="6651" spans="1:8" x14ac:dyDescent="0.35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6671</v>
      </c>
      <c r="B6652" t="s">
        <v>26</v>
      </c>
      <c r="C6652">
        <v>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6672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6675</v>
      </c>
      <c r="B6656" t="s">
        <v>23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</row>
    <row r="6658" spans="1:8" x14ac:dyDescent="0.35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</row>
    <row r="6659" spans="1:8" x14ac:dyDescent="0.35">
      <c r="A6659" t="s">
        <v>6678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6679</v>
      </c>
      <c r="C6660">
        <v>5</v>
      </c>
      <c r="D6660">
        <v>2</v>
      </c>
      <c r="E6660">
        <v>10</v>
      </c>
      <c r="H6660" s="1">
        <v>45224</v>
      </c>
    </row>
    <row r="6661" spans="1:8" x14ac:dyDescent="0.35">
      <c r="A6661" t="s">
        <v>6680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6681</v>
      </c>
      <c r="B6662" t="s">
        <v>17</v>
      </c>
      <c r="C6662">
        <v>4</v>
      </c>
      <c r="D6662">
        <v>1</v>
      </c>
      <c r="E6662">
        <v>4</v>
      </c>
      <c r="F6662" t="s">
        <v>21</v>
      </c>
      <c r="G6662" t="s">
        <v>15</v>
      </c>
      <c r="H6662" s="1">
        <v>45282</v>
      </c>
    </row>
    <row r="6663" spans="1:8" x14ac:dyDescent="0.35">
      <c r="A6663" t="s">
        <v>6682</v>
      </c>
      <c r="B6663" t="s">
        <v>17</v>
      </c>
      <c r="C6663">
        <v>1</v>
      </c>
      <c r="D6663">
        <v>1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6685</v>
      </c>
      <c r="B6666" t="s">
        <v>63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6688</v>
      </c>
      <c r="B6669" t="s">
        <v>17</v>
      </c>
      <c r="C6669">
        <v>1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</row>
    <row r="6670" spans="1:8" x14ac:dyDescent="0.35">
      <c r="A6670" t="s">
        <v>6689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6691</v>
      </c>
      <c r="B6672" t="s">
        <v>17</v>
      </c>
      <c r="C6672">
        <v>3</v>
      </c>
      <c r="D6672">
        <v>1</v>
      </c>
      <c r="E6672">
        <v>3</v>
      </c>
      <c r="H6672" s="1">
        <v>45143</v>
      </c>
    </row>
    <row r="6673" spans="1:8" x14ac:dyDescent="0.35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</row>
    <row r="6675" spans="1:8" x14ac:dyDescent="0.35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H6675" s="1">
        <v>45281</v>
      </c>
    </row>
    <row r="6676" spans="1:8" x14ac:dyDescent="0.35">
      <c r="A6676" t="s">
        <v>6695</v>
      </c>
      <c r="B6676" t="s">
        <v>9</v>
      </c>
      <c r="C6676">
        <v>2</v>
      </c>
      <c r="D6676">
        <v>2</v>
      </c>
      <c r="E6676">
        <v>4</v>
      </c>
      <c r="H6676" s="1">
        <v>45177</v>
      </c>
    </row>
    <row r="6677" spans="1:8" x14ac:dyDescent="0.35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H6677" s="1">
        <v>45025</v>
      </c>
    </row>
    <row r="6678" spans="1:8" x14ac:dyDescent="0.35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6698</v>
      </c>
      <c r="B6679" t="s">
        <v>19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</row>
    <row r="6683" spans="1:8" x14ac:dyDescent="0.35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6703</v>
      </c>
      <c r="B6684" t="s">
        <v>23</v>
      </c>
      <c r="C6684">
        <v>2</v>
      </c>
      <c r="D6684">
        <v>4</v>
      </c>
      <c r="E6684">
        <v>8</v>
      </c>
      <c r="H6684" s="1">
        <v>44998</v>
      </c>
    </row>
    <row r="6685" spans="1:8" x14ac:dyDescent="0.35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</row>
    <row r="6687" spans="1:8" x14ac:dyDescent="0.35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6707</v>
      </c>
      <c r="B6688" t="s">
        <v>19</v>
      </c>
      <c r="C6688">
        <v>1</v>
      </c>
      <c r="D6688">
        <v>5</v>
      </c>
      <c r="E6688">
        <v>5</v>
      </c>
      <c r="G6688" t="s">
        <v>11</v>
      </c>
      <c r="H6688" s="1">
        <v>45265</v>
      </c>
    </row>
    <row r="6689" spans="1:8" x14ac:dyDescent="0.35">
      <c r="A6689" t="s">
        <v>6708</v>
      </c>
      <c r="B6689" t="s">
        <v>19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6709</v>
      </c>
      <c r="B6690" t="s">
        <v>23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6711</v>
      </c>
      <c r="B6692" t="s">
        <v>9</v>
      </c>
      <c r="C6692">
        <v>5</v>
      </c>
      <c r="D6692">
        <v>2</v>
      </c>
      <c r="E6692">
        <v>10</v>
      </c>
      <c r="G6692" t="s">
        <v>15</v>
      </c>
      <c r="H6692" s="1">
        <v>45224</v>
      </c>
    </row>
    <row r="6693" spans="1:8" x14ac:dyDescent="0.35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6713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6714</v>
      </c>
      <c r="C6695">
        <v>3</v>
      </c>
      <c r="D6695">
        <v>4</v>
      </c>
      <c r="E6695">
        <v>12</v>
      </c>
      <c r="F6695" t="s">
        <v>14</v>
      </c>
      <c r="H6695" s="1">
        <v>45034</v>
      </c>
    </row>
    <row r="6696" spans="1:8" x14ac:dyDescent="0.35">
      <c r="A6696" t="s">
        <v>6715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H6697" s="1">
        <v>45178</v>
      </c>
    </row>
    <row r="6698" spans="1:8" x14ac:dyDescent="0.35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</row>
    <row r="6701" spans="1:8" x14ac:dyDescent="0.35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6722</v>
      </c>
      <c r="B6703" t="s">
        <v>23</v>
      </c>
      <c r="C6703">
        <v>1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6723</v>
      </c>
      <c r="B6704" t="s">
        <v>19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H6705" s="1">
        <v>45008</v>
      </c>
    </row>
    <row r="6706" spans="1:8" x14ac:dyDescent="0.35">
      <c r="A6706" t="s">
        <v>6725</v>
      </c>
      <c r="B6706" t="s">
        <v>37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6731</v>
      </c>
      <c r="B6712" t="s">
        <v>37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6732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</row>
    <row r="6714" spans="1:8" x14ac:dyDescent="0.35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6734</v>
      </c>
      <c r="B6715" t="s">
        <v>19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</row>
    <row r="6717" spans="1:8" x14ac:dyDescent="0.35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6737</v>
      </c>
      <c r="B6718" t="s">
        <v>19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6738</v>
      </c>
      <c r="B6719" t="s">
        <v>9</v>
      </c>
      <c r="C6719">
        <v>4</v>
      </c>
      <c r="D6719">
        <v>2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6741</v>
      </c>
      <c r="B6722" t="s">
        <v>23</v>
      </c>
      <c r="C6722">
        <v>4</v>
      </c>
      <c r="D6722">
        <v>4</v>
      </c>
      <c r="E6722">
        <v>16</v>
      </c>
      <c r="H6722" s="1">
        <v>45136</v>
      </c>
    </row>
    <row r="6723" spans="1:8" x14ac:dyDescent="0.35">
      <c r="A6723" t="s">
        <v>6742</v>
      </c>
      <c r="B6723" t="s">
        <v>13</v>
      </c>
      <c r="C6723">
        <v>1</v>
      </c>
      <c r="D6723">
        <v>3</v>
      </c>
      <c r="E6723">
        <v>3</v>
      </c>
      <c r="F6723" t="s">
        <v>10</v>
      </c>
      <c r="H6723" s="1">
        <v>45205</v>
      </c>
    </row>
    <row r="6724" spans="1:8" x14ac:dyDescent="0.35">
      <c r="A6724" t="s">
        <v>6743</v>
      </c>
      <c r="B6724" t="s">
        <v>63</v>
      </c>
      <c r="C6724">
        <v>4</v>
      </c>
      <c r="D6724">
        <v>1.5</v>
      </c>
      <c r="E6724">
        <v>6</v>
      </c>
      <c r="F6724" t="s">
        <v>21</v>
      </c>
      <c r="G6724" t="s">
        <v>15</v>
      </c>
      <c r="H6724" s="1">
        <v>45279</v>
      </c>
    </row>
    <row r="6725" spans="1:8" x14ac:dyDescent="0.35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6746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6747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H6730" s="1">
        <v>45291</v>
      </c>
    </row>
    <row r="6731" spans="1:8" x14ac:dyDescent="0.35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H6732" s="1">
        <v>44983</v>
      </c>
    </row>
    <row r="6733" spans="1:8" x14ac:dyDescent="0.35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6754</v>
      </c>
      <c r="B6735" t="s">
        <v>26</v>
      </c>
      <c r="C6735">
        <v>5</v>
      </c>
      <c r="D6735">
        <v>4</v>
      </c>
      <c r="E6735">
        <v>20</v>
      </c>
      <c r="G6735" t="s">
        <v>11</v>
      </c>
      <c r="H6735" s="1">
        <v>45283</v>
      </c>
    </row>
    <row r="6736" spans="1:8" x14ac:dyDescent="0.35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</row>
    <row r="6737" spans="1:8" x14ac:dyDescent="0.35">
      <c r="A6737" t="s">
        <v>6756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6757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</row>
    <row r="6740" spans="1:8" x14ac:dyDescent="0.35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</row>
    <row r="6741" spans="1:8" x14ac:dyDescent="0.35">
      <c r="A6741" t="s">
        <v>6760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H6743" s="1">
        <v>45225</v>
      </c>
    </row>
    <row r="6744" spans="1:8" x14ac:dyDescent="0.35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H6744" s="1">
        <v>44948</v>
      </c>
    </row>
    <row r="6745" spans="1:8" x14ac:dyDescent="0.35">
      <c r="A6745" t="s">
        <v>6764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6766</v>
      </c>
      <c r="B6747" t="s">
        <v>17</v>
      </c>
      <c r="C6747">
        <v>3</v>
      </c>
      <c r="D6747">
        <v>1</v>
      </c>
      <c r="E6747">
        <v>3</v>
      </c>
      <c r="F6747" t="s">
        <v>21</v>
      </c>
      <c r="G6747" t="s">
        <v>11</v>
      </c>
      <c r="H6747" s="1">
        <v>45095</v>
      </c>
    </row>
    <row r="6748" spans="1:8" x14ac:dyDescent="0.35">
      <c r="A6748" t="s">
        <v>6767</v>
      </c>
      <c r="B6748" t="s">
        <v>17</v>
      </c>
      <c r="C6748">
        <v>5</v>
      </c>
      <c r="D6748">
        <v>1</v>
      </c>
      <c r="E6748">
        <v>5</v>
      </c>
      <c r="H6748" s="1">
        <v>45036</v>
      </c>
    </row>
    <row r="6749" spans="1:8" x14ac:dyDescent="0.35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</row>
    <row r="6750" spans="1:8" x14ac:dyDescent="0.35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H6750" s="1">
        <v>45032</v>
      </c>
    </row>
    <row r="6751" spans="1:8" x14ac:dyDescent="0.35">
      <c r="A6751" t="s">
        <v>6770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H6752" s="1">
        <v>45017</v>
      </c>
    </row>
    <row r="6753" spans="1:8" x14ac:dyDescent="0.35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</row>
    <row r="6754" spans="1:8" x14ac:dyDescent="0.35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H6754" s="1">
        <v>45286</v>
      </c>
    </row>
    <row r="6755" spans="1:8" x14ac:dyDescent="0.35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H6755" s="1">
        <v>45164</v>
      </c>
    </row>
    <row r="6756" spans="1:8" x14ac:dyDescent="0.35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</row>
    <row r="6757" spans="1:8" x14ac:dyDescent="0.35">
      <c r="A6757" t="s">
        <v>6776</v>
      </c>
      <c r="B6757" t="s">
        <v>26</v>
      </c>
      <c r="C6757">
        <v>2</v>
      </c>
      <c r="D6757">
        <v>4</v>
      </c>
      <c r="E6757">
        <v>8</v>
      </c>
      <c r="H6757" s="1">
        <v>45074</v>
      </c>
    </row>
    <row r="6758" spans="1:8" x14ac:dyDescent="0.35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6778</v>
      </c>
      <c r="B6759" t="s">
        <v>17</v>
      </c>
      <c r="C6759">
        <v>5</v>
      </c>
      <c r="D6759">
        <v>1</v>
      </c>
      <c r="E6759">
        <v>5</v>
      </c>
      <c r="G6759" t="s">
        <v>15</v>
      </c>
      <c r="H6759" s="1">
        <v>45071</v>
      </c>
    </row>
    <row r="6760" spans="1:8" x14ac:dyDescent="0.35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</row>
    <row r="6761" spans="1:8" x14ac:dyDescent="0.35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6781</v>
      </c>
      <c r="B6762" t="s">
        <v>23</v>
      </c>
      <c r="C6762">
        <v>4</v>
      </c>
      <c r="D6762">
        <v>4</v>
      </c>
      <c r="E6762">
        <v>16</v>
      </c>
      <c r="H6762" s="1">
        <v>44986</v>
      </c>
    </row>
    <row r="6763" spans="1:8" x14ac:dyDescent="0.35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</row>
    <row r="6767" spans="1:8" x14ac:dyDescent="0.35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6788</v>
      </c>
      <c r="B6769" t="s">
        <v>37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6789</v>
      </c>
      <c r="C6770">
        <v>2</v>
      </c>
      <c r="D6770">
        <v>4</v>
      </c>
      <c r="E6770">
        <v>8</v>
      </c>
      <c r="F6770" t="s">
        <v>10</v>
      </c>
      <c r="G6770" t="s">
        <v>15</v>
      </c>
    </row>
    <row r="6771" spans="1:8" x14ac:dyDescent="0.35">
      <c r="A6771" t="s">
        <v>6790</v>
      </c>
      <c r="B6771" t="s">
        <v>23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6792</v>
      </c>
      <c r="B6773" t="s">
        <v>13</v>
      </c>
      <c r="C6773">
        <v>5</v>
      </c>
      <c r="D6773">
        <v>3</v>
      </c>
      <c r="E6773">
        <v>15</v>
      </c>
      <c r="H6773" s="1">
        <v>45112</v>
      </c>
    </row>
    <row r="6774" spans="1:8" x14ac:dyDescent="0.35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6797</v>
      </c>
      <c r="B6778" t="s">
        <v>9</v>
      </c>
      <c r="C6778">
        <v>2</v>
      </c>
      <c r="D6778">
        <v>2</v>
      </c>
      <c r="E6778">
        <v>4</v>
      </c>
      <c r="G6778" t="s">
        <v>15</v>
      </c>
      <c r="H6778" s="1">
        <v>45208</v>
      </c>
    </row>
    <row r="6779" spans="1:8" x14ac:dyDescent="0.35">
      <c r="A6779" t="s">
        <v>6798</v>
      </c>
      <c r="B6779" t="s">
        <v>26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6799</v>
      </c>
      <c r="B6780" t="s">
        <v>26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6800</v>
      </c>
      <c r="B6781" t="s">
        <v>23</v>
      </c>
      <c r="C6781">
        <v>5</v>
      </c>
      <c r="D6781">
        <v>4</v>
      </c>
      <c r="E6781">
        <v>20</v>
      </c>
      <c r="H6781" s="1">
        <v>45073</v>
      </c>
    </row>
    <row r="6782" spans="1:8" x14ac:dyDescent="0.35">
      <c r="A6782" t="s">
        <v>6801</v>
      </c>
      <c r="B6782" t="s">
        <v>23</v>
      </c>
      <c r="C6782">
        <v>1</v>
      </c>
      <c r="D6782">
        <v>4</v>
      </c>
      <c r="E6782">
        <v>4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6803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6805</v>
      </c>
      <c r="B6786" t="s">
        <v>13</v>
      </c>
      <c r="C6786">
        <v>3</v>
      </c>
      <c r="D6786">
        <v>3</v>
      </c>
      <c r="E6786">
        <v>9</v>
      </c>
      <c r="H6786" s="1">
        <v>45242</v>
      </c>
    </row>
    <row r="6787" spans="1:8" x14ac:dyDescent="0.35">
      <c r="A6787" t="s">
        <v>6806</v>
      </c>
      <c r="B6787" t="s">
        <v>37</v>
      </c>
      <c r="C6787">
        <v>2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6807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</row>
    <row r="6789" spans="1:8" x14ac:dyDescent="0.35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H6790" s="1">
        <v>45192</v>
      </c>
    </row>
    <row r="6791" spans="1:8" x14ac:dyDescent="0.35">
      <c r="A6791" t="s">
        <v>6810</v>
      </c>
      <c r="B6791" t="s">
        <v>17</v>
      </c>
      <c r="C6791">
        <v>3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</row>
    <row r="6792" spans="1:8" x14ac:dyDescent="0.35">
      <c r="A6792" t="s">
        <v>6811</v>
      </c>
      <c r="B6792" t="s">
        <v>23</v>
      </c>
      <c r="C6792">
        <v>3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</row>
    <row r="6793" spans="1:8" x14ac:dyDescent="0.35">
      <c r="A6793" t="s">
        <v>6812</v>
      </c>
      <c r="B6793" t="s">
        <v>13</v>
      </c>
      <c r="C6793">
        <v>4</v>
      </c>
      <c r="D6793">
        <v>3</v>
      </c>
      <c r="E6793">
        <v>12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H6797" s="1">
        <v>44963</v>
      </c>
    </row>
    <row r="6798" spans="1:8" x14ac:dyDescent="0.35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6818</v>
      </c>
      <c r="B6799" t="s">
        <v>37</v>
      </c>
      <c r="C6799">
        <v>2</v>
      </c>
      <c r="D6799">
        <v>3</v>
      </c>
      <c r="E6799">
        <v>6</v>
      </c>
      <c r="H6799" s="1">
        <v>45273</v>
      </c>
    </row>
    <row r="6800" spans="1:8" x14ac:dyDescent="0.35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6820</v>
      </c>
      <c r="B6801" t="s">
        <v>19</v>
      </c>
      <c r="C6801">
        <v>2</v>
      </c>
      <c r="D6801">
        <v>5</v>
      </c>
      <c r="E6801">
        <v>10</v>
      </c>
      <c r="H6801" s="1">
        <v>44973</v>
      </c>
    </row>
    <row r="6802" spans="1:8" x14ac:dyDescent="0.35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6822</v>
      </c>
      <c r="B6803" t="s">
        <v>26</v>
      </c>
      <c r="C6803">
        <v>5</v>
      </c>
      <c r="D6803">
        <v>4</v>
      </c>
      <c r="E6803">
        <v>20</v>
      </c>
      <c r="G6803" t="s">
        <v>11</v>
      </c>
      <c r="H6803" s="1">
        <v>45241</v>
      </c>
    </row>
    <row r="6804" spans="1:8" x14ac:dyDescent="0.35">
      <c r="A6804" t="s">
        <v>6823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6825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6826</v>
      </c>
      <c r="B6807" t="s">
        <v>37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6827</v>
      </c>
      <c r="B6808" t="s">
        <v>26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6828</v>
      </c>
      <c r="B6809" t="s">
        <v>13</v>
      </c>
      <c r="C6809">
        <v>3</v>
      </c>
      <c r="D6809">
        <v>3</v>
      </c>
      <c r="E6809">
        <v>9</v>
      </c>
      <c r="H6809" s="1">
        <v>44976</v>
      </c>
    </row>
    <row r="6810" spans="1:8" x14ac:dyDescent="0.35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</row>
    <row r="6811" spans="1:8" x14ac:dyDescent="0.35">
      <c r="A6811" t="s">
        <v>6830</v>
      </c>
      <c r="B6811" t="s">
        <v>37</v>
      </c>
      <c r="C6811">
        <v>5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</row>
    <row r="6812" spans="1:8" x14ac:dyDescent="0.35">
      <c r="A6812" t="s">
        <v>6831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6833</v>
      </c>
      <c r="B6814" t="s">
        <v>13</v>
      </c>
      <c r="C6814">
        <v>4</v>
      </c>
      <c r="D6814">
        <v>3</v>
      </c>
      <c r="E6814">
        <v>12</v>
      </c>
      <c r="F6814" t="s">
        <v>21</v>
      </c>
      <c r="H6814" s="1">
        <v>45003</v>
      </c>
    </row>
    <row r="6815" spans="1:8" x14ac:dyDescent="0.35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</row>
    <row r="6816" spans="1:8" x14ac:dyDescent="0.35">
      <c r="A6816" t="s">
        <v>6835</v>
      </c>
      <c r="B6816" t="s">
        <v>19</v>
      </c>
      <c r="C6816">
        <v>2</v>
      </c>
      <c r="D6816">
        <v>5</v>
      </c>
      <c r="E6816">
        <v>10</v>
      </c>
      <c r="F6816" t="s">
        <v>21</v>
      </c>
      <c r="G6816" t="s">
        <v>11</v>
      </c>
      <c r="H6816" s="1">
        <v>45078</v>
      </c>
    </row>
    <row r="6817" spans="1:8" x14ac:dyDescent="0.35">
      <c r="A6817" t="s">
        <v>6836</v>
      </c>
      <c r="B6817" t="s">
        <v>63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6837</v>
      </c>
      <c r="B6818" t="s">
        <v>26</v>
      </c>
      <c r="C6818">
        <v>5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H6819" s="1">
        <v>45159</v>
      </c>
    </row>
    <row r="6820" spans="1:8" x14ac:dyDescent="0.35">
      <c r="A6820" t="s">
        <v>6839</v>
      </c>
      <c r="B6820" t="s">
        <v>26</v>
      </c>
      <c r="C6820">
        <v>5</v>
      </c>
      <c r="D6820">
        <v>4</v>
      </c>
      <c r="E6820">
        <v>20</v>
      </c>
      <c r="G6820" t="s">
        <v>11</v>
      </c>
      <c r="H6820" s="1">
        <v>44973</v>
      </c>
    </row>
    <row r="6821" spans="1:8" x14ac:dyDescent="0.35">
      <c r="A6821" t="s">
        <v>6840</v>
      </c>
      <c r="B6821" t="s">
        <v>23</v>
      </c>
      <c r="C6821">
        <v>4</v>
      </c>
      <c r="D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6841</v>
      </c>
      <c r="B6822" t="s">
        <v>26</v>
      </c>
      <c r="C6822">
        <v>1</v>
      </c>
      <c r="D6822">
        <v>4</v>
      </c>
      <c r="E6822">
        <v>4</v>
      </c>
      <c r="G6822" t="s">
        <v>11</v>
      </c>
    </row>
    <row r="6823" spans="1:8" x14ac:dyDescent="0.35">
      <c r="A6823" t="s">
        <v>6842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6843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6844</v>
      </c>
      <c r="B6825" t="s">
        <v>63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H6828" s="1">
        <v>45049</v>
      </c>
    </row>
    <row r="6829" spans="1:8" x14ac:dyDescent="0.35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6849</v>
      </c>
      <c r="B6830" t="s">
        <v>63</v>
      </c>
      <c r="C6830">
        <v>3</v>
      </c>
      <c r="D6830">
        <v>1.5</v>
      </c>
      <c r="E6830">
        <v>4.5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6850</v>
      </c>
      <c r="B6831" t="s">
        <v>13</v>
      </c>
      <c r="C6831">
        <v>3</v>
      </c>
      <c r="D6831">
        <v>3</v>
      </c>
      <c r="E6831">
        <v>9</v>
      </c>
      <c r="F6831" t="s">
        <v>14</v>
      </c>
    </row>
    <row r="6832" spans="1:8" x14ac:dyDescent="0.35">
      <c r="A6832" t="s">
        <v>6851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6855</v>
      </c>
      <c r="B6836" t="s">
        <v>23</v>
      </c>
      <c r="C6836">
        <v>5</v>
      </c>
      <c r="D6836">
        <v>4</v>
      </c>
      <c r="E6836">
        <v>20</v>
      </c>
      <c r="F6836" t="s">
        <v>14</v>
      </c>
      <c r="H6836" s="1">
        <v>44961</v>
      </c>
    </row>
    <row r="6837" spans="1:8" x14ac:dyDescent="0.35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6858</v>
      </c>
      <c r="B6839" t="s">
        <v>26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6859</v>
      </c>
      <c r="B6840" t="s">
        <v>26</v>
      </c>
      <c r="C6840">
        <v>1</v>
      </c>
      <c r="D6840">
        <v>4</v>
      </c>
      <c r="E6840">
        <v>4</v>
      </c>
      <c r="G6840" t="s">
        <v>15</v>
      </c>
      <c r="H6840" s="1">
        <v>45130</v>
      </c>
    </row>
    <row r="6841" spans="1:8" x14ac:dyDescent="0.35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6862</v>
      </c>
      <c r="B6843" t="s">
        <v>63</v>
      </c>
      <c r="C6843">
        <v>4</v>
      </c>
      <c r="D6843">
        <v>1.5</v>
      </c>
      <c r="E6843">
        <v>6</v>
      </c>
      <c r="G6843" t="s">
        <v>15</v>
      </c>
    </row>
    <row r="6844" spans="1:8" x14ac:dyDescent="0.35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</row>
    <row r="6845" spans="1:8" x14ac:dyDescent="0.35">
      <c r="A6845" t="s">
        <v>6864</v>
      </c>
      <c r="B6845" t="s">
        <v>19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6865</v>
      </c>
      <c r="B6846" t="s">
        <v>19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6866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6867</v>
      </c>
      <c r="B6848" t="s">
        <v>26</v>
      </c>
      <c r="C6848">
        <v>4</v>
      </c>
      <c r="D6848">
        <v>4</v>
      </c>
      <c r="E6848">
        <v>16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6869</v>
      </c>
      <c r="B6850" t="s">
        <v>19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6870</v>
      </c>
      <c r="C6851">
        <v>3</v>
      </c>
      <c r="D6851">
        <v>4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6871</v>
      </c>
      <c r="B6852" t="s">
        <v>23</v>
      </c>
      <c r="C6852">
        <v>4</v>
      </c>
      <c r="D6852">
        <v>4</v>
      </c>
      <c r="E6852">
        <v>16</v>
      </c>
      <c r="H6852" s="1">
        <v>45124</v>
      </c>
    </row>
    <row r="6853" spans="1:8" x14ac:dyDescent="0.35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</row>
    <row r="6854" spans="1:8" x14ac:dyDescent="0.35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</row>
    <row r="6855" spans="1:8" x14ac:dyDescent="0.35">
      <c r="A6855" t="s">
        <v>6874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</row>
    <row r="6856" spans="1:8" x14ac:dyDescent="0.35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</row>
    <row r="6857" spans="1:8" x14ac:dyDescent="0.35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H6857" s="1">
        <v>44955</v>
      </c>
    </row>
    <row r="6858" spans="1:8" x14ac:dyDescent="0.35">
      <c r="A6858" t="s">
        <v>6877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6878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</row>
    <row r="6860" spans="1:8" x14ac:dyDescent="0.35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</row>
    <row r="6862" spans="1:8" x14ac:dyDescent="0.35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6884</v>
      </c>
      <c r="B6865" t="s">
        <v>26</v>
      </c>
      <c r="C6865">
        <v>2</v>
      </c>
      <c r="D6865">
        <v>4</v>
      </c>
      <c r="E6865">
        <v>8</v>
      </c>
      <c r="G6865" t="s">
        <v>11</v>
      </c>
      <c r="H6865" s="1">
        <v>45138</v>
      </c>
    </row>
    <row r="6866" spans="1:8" x14ac:dyDescent="0.35">
      <c r="A6866" t="s">
        <v>6885</v>
      </c>
      <c r="B6866" t="s">
        <v>17</v>
      </c>
      <c r="C6866">
        <v>3</v>
      </c>
      <c r="D6866">
        <v>1</v>
      </c>
      <c r="E6866">
        <v>3</v>
      </c>
      <c r="G6866" t="s">
        <v>15</v>
      </c>
      <c r="H6866" s="1">
        <v>45290</v>
      </c>
    </row>
    <row r="6867" spans="1:8" x14ac:dyDescent="0.35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</row>
    <row r="6868" spans="1:8" x14ac:dyDescent="0.35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6888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</row>
    <row r="6870" spans="1:8" x14ac:dyDescent="0.35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H6871" s="1">
        <v>45080</v>
      </c>
    </row>
    <row r="6872" spans="1:8" x14ac:dyDescent="0.35">
      <c r="A6872" t="s">
        <v>6891</v>
      </c>
      <c r="B6872" t="s">
        <v>23</v>
      </c>
      <c r="C6872">
        <v>3</v>
      </c>
      <c r="D6872">
        <v>4</v>
      </c>
      <c r="E6872">
        <v>12</v>
      </c>
      <c r="G6872" t="s">
        <v>15</v>
      </c>
      <c r="H6872" s="1">
        <v>45028</v>
      </c>
    </row>
    <row r="6873" spans="1:8" x14ac:dyDescent="0.35">
      <c r="A6873" t="s">
        <v>6892</v>
      </c>
      <c r="B6873" t="s">
        <v>17</v>
      </c>
      <c r="C6873">
        <v>3</v>
      </c>
      <c r="D6873">
        <v>1</v>
      </c>
      <c r="E6873">
        <v>3</v>
      </c>
      <c r="G6873" t="s">
        <v>15</v>
      </c>
      <c r="H6873" s="1">
        <v>44963</v>
      </c>
    </row>
    <row r="6874" spans="1:8" x14ac:dyDescent="0.35">
      <c r="A6874" t="s">
        <v>6893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6894</v>
      </c>
      <c r="C6875">
        <v>3</v>
      </c>
      <c r="D6875">
        <v>3</v>
      </c>
      <c r="E6875">
        <v>9</v>
      </c>
      <c r="F6875" t="s">
        <v>21</v>
      </c>
      <c r="H6875" s="1">
        <v>45077</v>
      </c>
    </row>
    <row r="6876" spans="1:8" x14ac:dyDescent="0.35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H6876" s="1">
        <v>45057</v>
      </c>
    </row>
    <row r="6877" spans="1:8" x14ac:dyDescent="0.35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6897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6898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6899</v>
      </c>
      <c r="B6880" t="s">
        <v>63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</row>
    <row r="6882" spans="1:8" x14ac:dyDescent="0.35">
      <c r="A6882" t="s">
        <v>6901</v>
      </c>
      <c r="B6882" t="s">
        <v>37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6902</v>
      </c>
      <c r="B6883" t="s">
        <v>13</v>
      </c>
      <c r="C6883">
        <v>5</v>
      </c>
      <c r="D6883">
        <v>3</v>
      </c>
      <c r="E6883">
        <v>15</v>
      </c>
      <c r="F6883" t="s">
        <v>14</v>
      </c>
      <c r="H6883" s="1">
        <v>44940</v>
      </c>
    </row>
    <row r="6884" spans="1:8" x14ac:dyDescent="0.35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6904</v>
      </c>
      <c r="B6885" t="s">
        <v>13</v>
      </c>
      <c r="C6885">
        <v>4</v>
      </c>
      <c r="D6885">
        <v>3</v>
      </c>
      <c r="E6885">
        <v>12</v>
      </c>
      <c r="H6885" s="1">
        <v>45274</v>
      </c>
    </row>
    <row r="6886" spans="1:8" x14ac:dyDescent="0.35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6906</v>
      </c>
      <c r="B6887" t="s">
        <v>23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</row>
    <row r="6890" spans="1:8" x14ac:dyDescent="0.35">
      <c r="A6890" t="s">
        <v>6909</v>
      </c>
      <c r="B6890" t="s">
        <v>26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6912</v>
      </c>
      <c r="B6893" t="s">
        <v>17</v>
      </c>
      <c r="C6893">
        <v>4</v>
      </c>
      <c r="D6893">
        <v>1</v>
      </c>
      <c r="E6893">
        <v>4</v>
      </c>
      <c r="H6893" s="1">
        <v>45134</v>
      </c>
    </row>
    <row r="6894" spans="1:8" x14ac:dyDescent="0.35">
      <c r="A6894" t="s">
        <v>6913</v>
      </c>
      <c r="B6894" t="s">
        <v>23</v>
      </c>
      <c r="C6894">
        <v>1</v>
      </c>
      <c r="D6894">
        <v>4</v>
      </c>
      <c r="E6894">
        <v>4</v>
      </c>
      <c r="G6894" t="s">
        <v>11</v>
      </c>
      <c r="H6894" s="1">
        <v>44979</v>
      </c>
    </row>
    <row r="6895" spans="1:8" x14ac:dyDescent="0.35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</row>
    <row r="6897" spans="1:8" x14ac:dyDescent="0.35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6920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6921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6922</v>
      </c>
      <c r="B6903" t="s">
        <v>13</v>
      </c>
      <c r="C6903">
        <v>2</v>
      </c>
      <c r="D6903">
        <v>3</v>
      </c>
      <c r="E6903">
        <v>6</v>
      </c>
      <c r="G6903" t="s">
        <v>15</v>
      </c>
      <c r="H6903" s="1">
        <v>45178</v>
      </c>
    </row>
    <row r="6904" spans="1:8" x14ac:dyDescent="0.35">
      <c r="A6904" t="s">
        <v>6923</v>
      </c>
      <c r="B6904" t="s">
        <v>9</v>
      </c>
      <c r="C6904">
        <v>3</v>
      </c>
      <c r="D6904">
        <v>2</v>
      </c>
      <c r="E6904">
        <v>6</v>
      </c>
      <c r="H6904" s="1">
        <v>45217</v>
      </c>
    </row>
    <row r="6905" spans="1:8" x14ac:dyDescent="0.35">
      <c r="A6905" t="s">
        <v>6924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6926</v>
      </c>
      <c r="B6907" t="s">
        <v>63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6928</v>
      </c>
      <c r="C6909">
        <v>1</v>
      </c>
      <c r="D6909">
        <v>5</v>
      </c>
      <c r="E6909">
        <v>5</v>
      </c>
    </row>
    <row r="6910" spans="1:8" x14ac:dyDescent="0.35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H6910" s="1">
        <v>44947</v>
      </c>
    </row>
    <row r="6911" spans="1:8" x14ac:dyDescent="0.35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</row>
    <row r="6912" spans="1:8" x14ac:dyDescent="0.35">
      <c r="A6912" t="s">
        <v>6931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6933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H6915" s="1">
        <v>45020</v>
      </c>
    </row>
    <row r="6916" spans="1:8" x14ac:dyDescent="0.35">
      <c r="A6916" t="s">
        <v>6935</v>
      </c>
      <c r="B6916" t="s">
        <v>26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6936</v>
      </c>
      <c r="B6917" t="s">
        <v>23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6937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6938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</row>
    <row r="6921" spans="1:8" x14ac:dyDescent="0.35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6943</v>
      </c>
      <c r="B6924" t="s">
        <v>37</v>
      </c>
      <c r="C6924">
        <v>5</v>
      </c>
      <c r="D6924">
        <v>3</v>
      </c>
      <c r="E6924">
        <v>15</v>
      </c>
      <c r="H6924" s="1">
        <v>44969</v>
      </c>
    </row>
    <row r="6925" spans="1:8" x14ac:dyDescent="0.35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6946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6947</v>
      </c>
      <c r="B6928" t="s">
        <v>63</v>
      </c>
      <c r="C6928">
        <v>5</v>
      </c>
      <c r="D6928">
        <v>1.5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</row>
    <row r="6930" spans="1:8" x14ac:dyDescent="0.35">
      <c r="A6930" t="s">
        <v>6949</v>
      </c>
      <c r="B6930" t="s">
        <v>37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6950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6951</v>
      </c>
      <c r="B6932" t="s">
        <v>19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6952</v>
      </c>
      <c r="B6933" t="s">
        <v>37</v>
      </c>
      <c r="C6933">
        <v>4</v>
      </c>
      <c r="D6933">
        <v>3</v>
      </c>
      <c r="E6933">
        <v>12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6953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</row>
    <row r="6936" spans="1:8" x14ac:dyDescent="0.35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</row>
    <row r="6939" spans="1:8" x14ac:dyDescent="0.35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</row>
    <row r="6940" spans="1:8" x14ac:dyDescent="0.35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</row>
    <row r="6941" spans="1:8" x14ac:dyDescent="0.35">
      <c r="A6941" t="s">
        <v>6960</v>
      </c>
      <c r="B6941" t="s">
        <v>26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H6942" s="1">
        <v>44985</v>
      </c>
    </row>
    <row r="6943" spans="1:8" x14ac:dyDescent="0.35">
      <c r="A6943" t="s">
        <v>6962</v>
      </c>
      <c r="B6943" t="s">
        <v>63</v>
      </c>
      <c r="C6943">
        <v>3</v>
      </c>
      <c r="D6943">
        <v>1.5</v>
      </c>
      <c r="E6943">
        <v>4.5</v>
      </c>
      <c r="F6943" t="s">
        <v>21</v>
      </c>
      <c r="H6943" s="1">
        <v>45125</v>
      </c>
    </row>
    <row r="6944" spans="1:8" x14ac:dyDescent="0.35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6966</v>
      </c>
      <c r="B6947" t="s">
        <v>19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6968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</row>
    <row r="6952" spans="1:8" x14ac:dyDescent="0.35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6972</v>
      </c>
      <c r="B6953" t="s">
        <v>37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H6954" s="1">
        <v>45249</v>
      </c>
    </row>
    <row r="6955" spans="1:8" x14ac:dyDescent="0.35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6975</v>
      </c>
      <c r="C6956">
        <v>5</v>
      </c>
      <c r="D6956">
        <v>2</v>
      </c>
      <c r="E6956">
        <v>10</v>
      </c>
      <c r="G6956" t="s">
        <v>15</v>
      </c>
      <c r="H6956" s="1">
        <v>45112</v>
      </c>
    </row>
    <row r="6957" spans="1:8" x14ac:dyDescent="0.35">
      <c r="A6957" t="s">
        <v>6976</v>
      </c>
      <c r="B6957" t="s">
        <v>23</v>
      </c>
      <c r="C6957">
        <v>3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6977</v>
      </c>
      <c r="B6958" t="s">
        <v>23</v>
      </c>
      <c r="C6958">
        <v>5</v>
      </c>
      <c r="D6958">
        <v>4</v>
      </c>
      <c r="E6958">
        <v>20</v>
      </c>
      <c r="H6958" s="1">
        <v>45144</v>
      </c>
    </row>
    <row r="6959" spans="1:8" x14ac:dyDescent="0.35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</row>
    <row r="6960" spans="1:8" x14ac:dyDescent="0.35">
      <c r="A6960" t="s">
        <v>6979</v>
      </c>
      <c r="B6960" t="s">
        <v>13</v>
      </c>
      <c r="C6960">
        <v>4</v>
      </c>
      <c r="D6960">
        <v>3</v>
      </c>
      <c r="E6960">
        <v>12</v>
      </c>
      <c r="F6960" t="s">
        <v>10</v>
      </c>
      <c r="H6960" s="1">
        <v>45003</v>
      </c>
    </row>
    <row r="6961" spans="1:8" x14ac:dyDescent="0.35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H6961" s="1">
        <v>44962</v>
      </c>
    </row>
    <row r="6962" spans="1:8" x14ac:dyDescent="0.35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6982</v>
      </c>
      <c r="B6963" t="s">
        <v>26</v>
      </c>
      <c r="C6963">
        <v>3</v>
      </c>
      <c r="D6963">
        <v>4</v>
      </c>
      <c r="E6963">
        <v>12</v>
      </c>
      <c r="F6963" t="s">
        <v>10</v>
      </c>
      <c r="H6963" s="1">
        <v>45055</v>
      </c>
    </row>
    <row r="6964" spans="1:8" x14ac:dyDescent="0.35">
      <c r="A6964" t="s">
        <v>6983</v>
      </c>
      <c r="B6964" t="s">
        <v>19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6984</v>
      </c>
      <c r="B6965" t="s">
        <v>13</v>
      </c>
      <c r="C6965">
        <v>2</v>
      </c>
      <c r="D6965">
        <v>3</v>
      </c>
      <c r="E6965">
        <v>6</v>
      </c>
      <c r="F6965" t="s">
        <v>10</v>
      </c>
      <c r="H6965" s="1">
        <v>45142</v>
      </c>
    </row>
    <row r="6966" spans="1:8" x14ac:dyDescent="0.35">
      <c r="A6966" t="s">
        <v>6985</v>
      </c>
      <c r="B6966" t="s">
        <v>19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6986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</row>
    <row r="6968" spans="1:8" x14ac:dyDescent="0.35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H6968" s="1">
        <v>45006</v>
      </c>
    </row>
    <row r="6969" spans="1:8" x14ac:dyDescent="0.35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</row>
    <row r="6970" spans="1:8" x14ac:dyDescent="0.35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H6970" s="1">
        <v>44987</v>
      </c>
    </row>
    <row r="6971" spans="1:8" x14ac:dyDescent="0.35">
      <c r="A6971" t="s">
        <v>6990</v>
      </c>
      <c r="B6971" t="s">
        <v>23</v>
      </c>
      <c r="C6971">
        <v>5</v>
      </c>
      <c r="D6971">
        <v>4</v>
      </c>
      <c r="E6971">
        <v>20</v>
      </c>
      <c r="H6971" s="1">
        <v>45154</v>
      </c>
    </row>
    <row r="6972" spans="1:8" x14ac:dyDescent="0.35">
      <c r="A6972" t="s">
        <v>6991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</row>
    <row r="6976" spans="1:8" x14ac:dyDescent="0.35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</row>
    <row r="6977" spans="1:8" x14ac:dyDescent="0.35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H6978" s="1">
        <v>44963</v>
      </c>
    </row>
    <row r="6979" spans="1:8" x14ac:dyDescent="0.35">
      <c r="A6979" t="s">
        <v>6998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7000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7001</v>
      </c>
      <c r="B6982" t="s">
        <v>37</v>
      </c>
      <c r="C6982">
        <v>3</v>
      </c>
      <c r="D6982">
        <v>3</v>
      </c>
      <c r="E6982">
        <v>9</v>
      </c>
      <c r="H6982" s="1">
        <v>45168</v>
      </c>
    </row>
    <row r="6983" spans="1:8" x14ac:dyDescent="0.35">
      <c r="A6983" t="s">
        <v>7002</v>
      </c>
      <c r="B6983" t="s">
        <v>26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</row>
    <row r="6985" spans="1:8" x14ac:dyDescent="0.35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</row>
    <row r="6987" spans="1:8" x14ac:dyDescent="0.35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H6987" s="1">
        <v>45117</v>
      </c>
    </row>
    <row r="6988" spans="1:8" x14ac:dyDescent="0.35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7008</v>
      </c>
      <c r="B6989" t="s">
        <v>63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7009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7010</v>
      </c>
      <c r="B6991" t="s">
        <v>13</v>
      </c>
      <c r="C6991">
        <v>3</v>
      </c>
      <c r="D6991">
        <v>3</v>
      </c>
      <c r="E6991">
        <v>9</v>
      </c>
      <c r="G6991" t="s">
        <v>15</v>
      </c>
      <c r="H6991" s="1">
        <v>45002</v>
      </c>
    </row>
    <row r="6992" spans="1:8" x14ac:dyDescent="0.35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</row>
    <row r="6993" spans="1:8" x14ac:dyDescent="0.35">
      <c r="A6993" t="s">
        <v>7012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7013</v>
      </c>
      <c r="B6994" t="s">
        <v>63</v>
      </c>
      <c r="C6994">
        <v>3</v>
      </c>
      <c r="D6994">
        <v>1.5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</row>
    <row r="6997" spans="1:8" x14ac:dyDescent="0.35">
      <c r="A6997" t="s">
        <v>7016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7018</v>
      </c>
      <c r="B6999" t="s">
        <v>37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</row>
    <row r="7001" spans="1:8" x14ac:dyDescent="0.35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7021</v>
      </c>
      <c r="B7002" t="s">
        <v>9</v>
      </c>
      <c r="C7002">
        <v>3</v>
      </c>
      <c r="D7002">
        <v>2</v>
      </c>
      <c r="E7002">
        <v>6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</row>
    <row r="7004" spans="1:8" x14ac:dyDescent="0.35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7025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</row>
    <row r="7007" spans="1:8" x14ac:dyDescent="0.35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H7008" s="1">
        <v>45196</v>
      </c>
    </row>
    <row r="7009" spans="1:8" x14ac:dyDescent="0.35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</row>
    <row r="7010" spans="1:8" x14ac:dyDescent="0.35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7030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7031</v>
      </c>
      <c r="B7012" t="s">
        <v>37</v>
      </c>
      <c r="C7012">
        <v>5</v>
      </c>
      <c r="D7012">
        <v>3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</row>
    <row r="7015" spans="1:8" x14ac:dyDescent="0.35">
      <c r="A7015" t="s">
        <v>7034</v>
      </c>
      <c r="B7015" t="s">
        <v>63</v>
      </c>
      <c r="C7015">
        <v>2</v>
      </c>
      <c r="D7015">
        <v>1.5</v>
      </c>
      <c r="E7015">
        <v>3</v>
      </c>
      <c r="G7015" t="s">
        <v>15</v>
      </c>
      <c r="H7015" s="1">
        <v>45105</v>
      </c>
    </row>
    <row r="7016" spans="1:8" x14ac:dyDescent="0.35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H7016" s="1">
        <v>44995</v>
      </c>
    </row>
    <row r="7017" spans="1:8" x14ac:dyDescent="0.35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</row>
    <row r="7020" spans="1:8" x14ac:dyDescent="0.35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</row>
    <row r="7022" spans="1:8" x14ac:dyDescent="0.35">
      <c r="A7022" t="s">
        <v>7041</v>
      </c>
      <c r="B7022" t="s">
        <v>23</v>
      </c>
      <c r="C7022">
        <v>5</v>
      </c>
      <c r="D7022">
        <v>4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7042</v>
      </c>
      <c r="B7023" t="s">
        <v>26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7043</v>
      </c>
      <c r="B7024" t="s">
        <v>37</v>
      </c>
      <c r="C7024">
        <v>3</v>
      </c>
      <c r="D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7044</v>
      </c>
      <c r="B7025" t="s">
        <v>23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7046</v>
      </c>
      <c r="B7027" t="s">
        <v>23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7049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7050</v>
      </c>
      <c r="B7031" t="s">
        <v>9</v>
      </c>
      <c r="D7031">
        <v>2</v>
      </c>
      <c r="F7031" t="s">
        <v>14</v>
      </c>
      <c r="H7031" s="1">
        <v>45285</v>
      </c>
    </row>
    <row r="7032" spans="1:8" x14ac:dyDescent="0.35">
      <c r="A7032" t="s">
        <v>7051</v>
      </c>
      <c r="B7032" t="s">
        <v>9</v>
      </c>
      <c r="C7032">
        <v>5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7052</v>
      </c>
      <c r="B7033" t="s">
        <v>37</v>
      </c>
      <c r="C7033">
        <v>5</v>
      </c>
      <c r="D7033">
        <v>3</v>
      </c>
      <c r="E7033">
        <v>15</v>
      </c>
      <c r="H7033" s="1">
        <v>45015</v>
      </c>
    </row>
    <row r="7034" spans="1:8" x14ac:dyDescent="0.35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H7034" s="1">
        <v>45009</v>
      </c>
    </row>
    <row r="7035" spans="1:8" x14ac:dyDescent="0.35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H7036" s="1">
        <v>45179</v>
      </c>
    </row>
    <row r="7037" spans="1:8" x14ac:dyDescent="0.35">
      <c r="A7037" t="s">
        <v>7056</v>
      </c>
      <c r="B7037" t="s">
        <v>19</v>
      </c>
      <c r="C7037">
        <v>5</v>
      </c>
      <c r="D7037">
        <v>5</v>
      </c>
      <c r="E7037">
        <v>25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</row>
    <row r="7040" spans="1:8" x14ac:dyDescent="0.35">
      <c r="A7040" t="s">
        <v>7059</v>
      </c>
      <c r="B7040" t="s">
        <v>26</v>
      </c>
      <c r="C7040">
        <v>5</v>
      </c>
      <c r="D7040">
        <v>4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7060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</row>
    <row r="7043" spans="1:8" x14ac:dyDescent="0.35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7063</v>
      </c>
      <c r="B7044" t="s">
        <v>26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H7045" s="1">
        <v>44993</v>
      </c>
    </row>
    <row r="7046" spans="1:8" x14ac:dyDescent="0.35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7069</v>
      </c>
      <c r="C7050">
        <v>5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H7051" s="1">
        <v>45089</v>
      </c>
    </row>
    <row r="7052" spans="1:8" x14ac:dyDescent="0.35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7072</v>
      </c>
      <c r="B7053" t="s">
        <v>19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H7056" s="1">
        <v>45179</v>
      </c>
    </row>
    <row r="7057" spans="1:8" x14ac:dyDescent="0.35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7078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H7060" s="1">
        <v>45091</v>
      </c>
    </row>
    <row r="7061" spans="1:8" x14ac:dyDescent="0.35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</row>
    <row r="7066" spans="1:8" x14ac:dyDescent="0.35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H7067" s="1">
        <v>45262</v>
      </c>
    </row>
    <row r="7068" spans="1:8" x14ac:dyDescent="0.35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7088</v>
      </c>
      <c r="C7069">
        <v>5</v>
      </c>
      <c r="D7069">
        <v>3</v>
      </c>
      <c r="E7069">
        <v>15</v>
      </c>
      <c r="F7069" t="s">
        <v>21</v>
      </c>
      <c r="G7069" t="s">
        <v>15</v>
      </c>
    </row>
    <row r="7070" spans="1:8" x14ac:dyDescent="0.35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H7070" s="1">
        <v>45046</v>
      </c>
    </row>
    <row r="7071" spans="1:8" x14ac:dyDescent="0.35">
      <c r="A7071" t="s">
        <v>7090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</row>
    <row r="7073" spans="1:8" x14ac:dyDescent="0.35">
      <c r="A7073" t="s">
        <v>7092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7093</v>
      </c>
      <c r="B7074" t="s">
        <v>17</v>
      </c>
      <c r="C7074">
        <v>1</v>
      </c>
      <c r="D7074">
        <v>1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7094</v>
      </c>
      <c r="B7075" t="s">
        <v>9</v>
      </c>
      <c r="C7075">
        <v>5</v>
      </c>
      <c r="D7075">
        <v>2</v>
      </c>
      <c r="E7075">
        <v>10</v>
      </c>
      <c r="H7075" s="1">
        <v>45123</v>
      </c>
    </row>
    <row r="7076" spans="1:8" x14ac:dyDescent="0.35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7096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7098</v>
      </c>
      <c r="B7079" t="s">
        <v>63</v>
      </c>
      <c r="C7079">
        <v>4</v>
      </c>
      <c r="D7079">
        <v>1.5</v>
      </c>
      <c r="E7079">
        <v>6</v>
      </c>
      <c r="H7079" s="1">
        <v>44941</v>
      </c>
    </row>
    <row r="7080" spans="1:8" x14ac:dyDescent="0.35">
      <c r="A7080" t="s">
        <v>7099</v>
      </c>
      <c r="B7080" t="s">
        <v>9</v>
      </c>
      <c r="C7080">
        <v>3</v>
      </c>
      <c r="D7080">
        <v>2</v>
      </c>
      <c r="E7080">
        <v>6</v>
      </c>
      <c r="G7080" t="s">
        <v>11</v>
      </c>
      <c r="H7080" s="1">
        <v>44987</v>
      </c>
    </row>
    <row r="7081" spans="1:8" x14ac:dyDescent="0.35">
      <c r="A7081" t="s">
        <v>7100</v>
      </c>
      <c r="B7081" t="s">
        <v>19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7101</v>
      </c>
      <c r="B7082" t="s">
        <v>63</v>
      </c>
      <c r="C7082">
        <v>2</v>
      </c>
      <c r="D7082">
        <v>1.5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7104</v>
      </c>
      <c r="B7085" t="s">
        <v>37</v>
      </c>
      <c r="C7085">
        <v>5</v>
      </c>
      <c r="D7085">
        <v>3</v>
      </c>
      <c r="E7085">
        <v>15</v>
      </c>
      <c r="G7085" t="s">
        <v>15</v>
      </c>
      <c r="H7085" s="1">
        <v>45220</v>
      </c>
    </row>
    <row r="7086" spans="1:8" x14ac:dyDescent="0.35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7107</v>
      </c>
      <c r="B7088" t="s">
        <v>9</v>
      </c>
      <c r="C7088">
        <v>3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</row>
    <row r="7091" spans="1:8" x14ac:dyDescent="0.35">
      <c r="A7091" t="s">
        <v>7110</v>
      </c>
      <c r="B7091" t="s">
        <v>63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7111</v>
      </c>
      <c r="B7092" t="s">
        <v>17</v>
      </c>
      <c r="C7092">
        <v>2</v>
      </c>
      <c r="D7092">
        <v>1</v>
      </c>
      <c r="E7092">
        <v>2</v>
      </c>
      <c r="H7092" s="1">
        <v>45043</v>
      </c>
    </row>
    <row r="7093" spans="1:8" x14ac:dyDescent="0.35">
      <c r="A7093" t="s">
        <v>7112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</row>
    <row r="7094" spans="1:8" x14ac:dyDescent="0.35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</row>
    <row r="7095" spans="1:8" x14ac:dyDescent="0.35">
      <c r="A7095" t="s">
        <v>7114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7116</v>
      </c>
      <c r="B7097" t="s">
        <v>23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</row>
    <row r="7099" spans="1:8" x14ac:dyDescent="0.35">
      <c r="A7099" t="s">
        <v>7118</v>
      </c>
      <c r="B7099" t="s">
        <v>63</v>
      </c>
      <c r="C7099">
        <v>5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7119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</row>
    <row r="7102" spans="1:8" x14ac:dyDescent="0.35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7123</v>
      </c>
      <c r="B7104" t="s">
        <v>26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H7105" s="1">
        <v>45190</v>
      </c>
    </row>
    <row r="7106" spans="1:8" x14ac:dyDescent="0.35">
      <c r="A7106" t="s">
        <v>7125</v>
      </c>
      <c r="B7106" t="s">
        <v>26</v>
      </c>
      <c r="C7106">
        <v>2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</row>
    <row r="7107" spans="1:8" x14ac:dyDescent="0.35">
      <c r="A7107" t="s">
        <v>7126</v>
      </c>
      <c r="B7107" t="s">
        <v>63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H7108" s="1">
        <v>45234</v>
      </c>
    </row>
    <row r="7109" spans="1:8" x14ac:dyDescent="0.35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7129</v>
      </c>
      <c r="B7110" t="s">
        <v>19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7130</v>
      </c>
      <c r="B7111" t="s">
        <v>37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7131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7133</v>
      </c>
      <c r="B7114" t="s">
        <v>37</v>
      </c>
      <c r="C7114">
        <v>1</v>
      </c>
      <c r="D7114">
        <v>3</v>
      </c>
      <c r="E7114">
        <v>3</v>
      </c>
      <c r="G7114" t="s">
        <v>15</v>
      </c>
      <c r="H7114" s="1">
        <v>45106</v>
      </c>
    </row>
    <row r="7115" spans="1:8" x14ac:dyDescent="0.35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</row>
    <row r="7117" spans="1:8" x14ac:dyDescent="0.35">
      <c r="A7117" t="s">
        <v>7136</v>
      </c>
      <c r="B7117" t="s">
        <v>9</v>
      </c>
      <c r="C7117">
        <v>4</v>
      </c>
      <c r="D7117">
        <v>2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H7119" s="1">
        <v>45047</v>
      </c>
    </row>
    <row r="7120" spans="1:8" x14ac:dyDescent="0.35">
      <c r="A7120" t="s">
        <v>7139</v>
      </c>
      <c r="B7120" t="s">
        <v>37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7140</v>
      </c>
      <c r="B7121" t="s">
        <v>17</v>
      </c>
      <c r="C7121">
        <v>4</v>
      </c>
      <c r="D7121">
        <v>1</v>
      </c>
      <c r="E7121">
        <v>4</v>
      </c>
      <c r="F7121" t="s">
        <v>21</v>
      </c>
      <c r="H7121" s="1">
        <v>45010</v>
      </c>
    </row>
    <row r="7122" spans="1:8" x14ac:dyDescent="0.35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7146</v>
      </c>
      <c r="B7127" t="s">
        <v>26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</row>
    <row r="7130" spans="1:8" x14ac:dyDescent="0.35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H7131" s="1">
        <v>45142</v>
      </c>
    </row>
    <row r="7132" spans="1:8" x14ac:dyDescent="0.35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7152</v>
      </c>
      <c r="B7133" t="s">
        <v>63</v>
      </c>
      <c r="C7133">
        <v>2</v>
      </c>
      <c r="D7133">
        <v>1.5</v>
      </c>
      <c r="E7133">
        <v>3</v>
      </c>
      <c r="F7133" t="s">
        <v>21</v>
      </c>
      <c r="G7133" t="s">
        <v>15</v>
      </c>
      <c r="H7133" s="1">
        <v>45215</v>
      </c>
    </row>
    <row r="7134" spans="1:8" x14ac:dyDescent="0.35">
      <c r="A7134" t="s">
        <v>7153</v>
      </c>
      <c r="B7134" t="s">
        <v>37</v>
      </c>
      <c r="C7134">
        <v>3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</row>
    <row r="7136" spans="1:8" x14ac:dyDescent="0.35">
      <c r="A7136" t="s">
        <v>7155</v>
      </c>
      <c r="B7136" t="s">
        <v>63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7156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7157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7158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7159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7160</v>
      </c>
      <c r="B7141" t="s">
        <v>23</v>
      </c>
      <c r="C7141">
        <v>3</v>
      </c>
      <c r="D7141">
        <v>4</v>
      </c>
      <c r="E7141">
        <v>12</v>
      </c>
      <c r="F7141" t="s">
        <v>21</v>
      </c>
      <c r="G7141" t="s">
        <v>15</v>
      </c>
      <c r="H7141" s="1">
        <v>45063</v>
      </c>
    </row>
    <row r="7142" spans="1:8" x14ac:dyDescent="0.35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</row>
    <row r="7143" spans="1:8" x14ac:dyDescent="0.35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7164</v>
      </c>
      <c r="B7145" t="s">
        <v>19</v>
      </c>
      <c r="C7145">
        <v>3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</row>
    <row r="7147" spans="1:8" x14ac:dyDescent="0.35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7168</v>
      </c>
      <c r="B7149" t="s">
        <v>23</v>
      </c>
      <c r="C7149">
        <v>5</v>
      </c>
      <c r="D7149">
        <v>4</v>
      </c>
      <c r="E7149">
        <v>20</v>
      </c>
      <c r="F7149" t="s">
        <v>14</v>
      </c>
      <c r="H7149" s="1">
        <v>45190</v>
      </c>
    </row>
    <row r="7150" spans="1:8" x14ac:dyDescent="0.35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H7153" s="1">
        <v>45133</v>
      </c>
    </row>
    <row r="7154" spans="1:8" x14ac:dyDescent="0.35">
      <c r="A7154" t="s">
        <v>7173</v>
      </c>
      <c r="B7154" t="s">
        <v>9</v>
      </c>
      <c r="C7154">
        <v>1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</row>
    <row r="7157" spans="1:8" x14ac:dyDescent="0.35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H7158" s="1">
        <v>45033</v>
      </c>
    </row>
    <row r="7159" spans="1:8" x14ac:dyDescent="0.35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H7159" s="1">
        <v>45164</v>
      </c>
    </row>
    <row r="7160" spans="1:8" x14ac:dyDescent="0.35">
      <c r="A7160" t="s">
        <v>7179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7180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</row>
    <row r="7164" spans="1:8" x14ac:dyDescent="0.35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H7165" s="1">
        <v>45210</v>
      </c>
    </row>
    <row r="7166" spans="1:8" x14ac:dyDescent="0.35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</row>
    <row r="7167" spans="1:8" x14ac:dyDescent="0.35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</row>
    <row r="7169" spans="1:8" x14ac:dyDescent="0.35">
      <c r="A7169" t="s">
        <v>7188</v>
      </c>
      <c r="B7169" t="s">
        <v>63</v>
      </c>
      <c r="C7169">
        <v>5</v>
      </c>
      <c r="D7169">
        <v>1.5</v>
      </c>
      <c r="E7169">
        <v>7.5</v>
      </c>
      <c r="F7169" t="s">
        <v>21</v>
      </c>
      <c r="G7169" t="s">
        <v>11</v>
      </c>
      <c r="H7169" s="1">
        <v>45163</v>
      </c>
    </row>
    <row r="7170" spans="1:8" x14ac:dyDescent="0.35">
      <c r="A7170" t="s">
        <v>7189</v>
      </c>
      <c r="C7170">
        <v>3</v>
      </c>
      <c r="D7170">
        <v>5</v>
      </c>
      <c r="E7170">
        <v>15</v>
      </c>
      <c r="F7170" t="s">
        <v>21</v>
      </c>
      <c r="H7170" s="1">
        <v>44938</v>
      </c>
    </row>
    <row r="7171" spans="1:8" x14ac:dyDescent="0.35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</row>
    <row r="7172" spans="1:8" x14ac:dyDescent="0.35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</row>
    <row r="7175" spans="1:8" x14ac:dyDescent="0.35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</row>
    <row r="7176" spans="1:8" x14ac:dyDescent="0.35">
      <c r="A7176" t="s">
        <v>7195</v>
      </c>
      <c r="B7176" t="s">
        <v>63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7197</v>
      </c>
      <c r="B7178" t="s">
        <v>23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</row>
    <row r="7182" spans="1:8" x14ac:dyDescent="0.35">
      <c r="A7182" t="s">
        <v>7201</v>
      </c>
      <c r="B7182" t="s">
        <v>23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H7184" s="1">
        <v>45013</v>
      </c>
    </row>
    <row r="7185" spans="1:8" x14ac:dyDescent="0.35">
      <c r="A7185" t="s">
        <v>7204</v>
      </c>
      <c r="B7185" t="s">
        <v>23</v>
      </c>
      <c r="C7185">
        <v>4</v>
      </c>
      <c r="D7185">
        <v>4</v>
      </c>
      <c r="E7185">
        <v>16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</row>
    <row r="7187" spans="1:8" x14ac:dyDescent="0.35">
      <c r="A7187" t="s">
        <v>7206</v>
      </c>
      <c r="B7187" t="s">
        <v>26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7207</v>
      </c>
      <c r="B7188" t="s">
        <v>17</v>
      </c>
      <c r="C7188">
        <v>4</v>
      </c>
      <c r="D7188">
        <v>1</v>
      </c>
      <c r="E7188">
        <v>4</v>
      </c>
      <c r="G7188" t="s">
        <v>11</v>
      </c>
      <c r="H7188" s="1">
        <v>45237</v>
      </c>
    </row>
    <row r="7189" spans="1:8" x14ac:dyDescent="0.35">
      <c r="A7189" t="s">
        <v>7208</v>
      </c>
      <c r="C7189">
        <v>3</v>
      </c>
      <c r="D7189">
        <v>3</v>
      </c>
      <c r="E7189">
        <v>9</v>
      </c>
      <c r="H7189" s="1">
        <v>45182</v>
      </c>
    </row>
    <row r="7190" spans="1:8" x14ac:dyDescent="0.35">
      <c r="A7190" t="s">
        <v>7209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</row>
    <row r="7192" spans="1:8" x14ac:dyDescent="0.35">
      <c r="A7192" t="s">
        <v>7211</v>
      </c>
      <c r="B7192" t="s">
        <v>13</v>
      </c>
      <c r="C7192">
        <v>2</v>
      </c>
      <c r="D7192">
        <v>3</v>
      </c>
      <c r="E7192">
        <v>6</v>
      </c>
      <c r="H7192" s="1">
        <v>45066</v>
      </c>
    </row>
    <row r="7193" spans="1:8" x14ac:dyDescent="0.35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</row>
    <row r="7194" spans="1:8" x14ac:dyDescent="0.35">
      <c r="A7194" t="s">
        <v>7213</v>
      </c>
      <c r="B7194" t="s">
        <v>37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7214</v>
      </c>
      <c r="B7195" t="s">
        <v>37</v>
      </c>
      <c r="C7195">
        <v>3</v>
      </c>
      <c r="D7195">
        <v>3</v>
      </c>
      <c r="E7195">
        <v>9</v>
      </c>
      <c r="H7195" s="1">
        <v>45011</v>
      </c>
    </row>
    <row r="7196" spans="1:8" x14ac:dyDescent="0.35">
      <c r="A7196" t="s">
        <v>7215</v>
      </c>
      <c r="B7196" t="s">
        <v>13</v>
      </c>
      <c r="C7196">
        <v>1</v>
      </c>
      <c r="D7196">
        <v>3</v>
      </c>
      <c r="E7196">
        <v>3</v>
      </c>
      <c r="G7196" t="s">
        <v>15</v>
      </c>
      <c r="H7196" s="1">
        <v>44930</v>
      </c>
    </row>
    <row r="7197" spans="1:8" x14ac:dyDescent="0.35">
      <c r="A7197" t="s">
        <v>7216</v>
      </c>
      <c r="B7197" t="s">
        <v>23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7217</v>
      </c>
      <c r="B7198" t="s">
        <v>37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7218</v>
      </c>
      <c r="B7199" t="s">
        <v>37</v>
      </c>
      <c r="C7199">
        <v>5</v>
      </c>
      <c r="D7199">
        <v>3</v>
      </c>
      <c r="E7199">
        <v>15</v>
      </c>
      <c r="F7199" t="s">
        <v>21</v>
      </c>
      <c r="H7199" s="1">
        <v>45212</v>
      </c>
    </row>
    <row r="7200" spans="1:8" x14ac:dyDescent="0.35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7220</v>
      </c>
      <c r="B7201" t="s">
        <v>17</v>
      </c>
      <c r="C7201">
        <v>1</v>
      </c>
      <c r="D7201">
        <v>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7221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7222</v>
      </c>
      <c r="B7203" t="s">
        <v>37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7224</v>
      </c>
      <c r="B7205" t="s">
        <v>26</v>
      </c>
      <c r="C7205">
        <v>2</v>
      </c>
      <c r="D7205">
        <v>4</v>
      </c>
      <c r="E7205">
        <v>8</v>
      </c>
      <c r="H7205" s="1">
        <v>45085</v>
      </c>
    </row>
    <row r="7206" spans="1:8" x14ac:dyDescent="0.35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H7206" s="1">
        <v>44937</v>
      </c>
    </row>
    <row r="7207" spans="1:8" x14ac:dyDescent="0.35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</row>
    <row r="7208" spans="1:8" x14ac:dyDescent="0.35">
      <c r="A7208" t="s">
        <v>7227</v>
      </c>
      <c r="B7208" t="s">
        <v>23</v>
      </c>
      <c r="C7208">
        <v>2</v>
      </c>
      <c r="D7208">
        <v>4</v>
      </c>
      <c r="E7208">
        <v>8</v>
      </c>
      <c r="H7208" s="1">
        <v>44968</v>
      </c>
    </row>
    <row r="7209" spans="1:8" x14ac:dyDescent="0.35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H7209" s="1">
        <v>45262</v>
      </c>
    </row>
    <row r="7210" spans="1:8" x14ac:dyDescent="0.35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7230</v>
      </c>
      <c r="B7211" t="s">
        <v>9</v>
      </c>
      <c r="C7211">
        <v>4</v>
      </c>
      <c r="D7211">
        <v>2</v>
      </c>
      <c r="E7211">
        <v>8</v>
      </c>
      <c r="F7211" t="s">
        <v>21</v>
      </c>
      <c r="G7211" t="s">
        <v>15</v>
      </c>
      <c r="H7211" s="1">
        <v>44977</v>
      </c>
    </row>
    <row r="7212" spans="1:8" x14ac:dyDescent="0.35">
      <c r="A7212" t="s">
        <v>7231</v>
      </c>
      <c r="B7212" t="s">
        <v>23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</row>
    <row r="7214" spans="1:8" x14ac:dyDescent="0.35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</row>
    <row r="7218" spans="1:8" x14ac:dyDescent="0.35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</row>
    <row r="7221" spans="1:8" x14ac:dyDescent="0.35">
      <c r="A7221" t="s">
        <v>7240</v>
      </c>
      <c r="B7221" t="s">
        <v>26</v>
      </c>
      <c r="C7221">
        <v>3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</row>
    <row r="7223" spans="1:8" x14ac:dyDescent="0.35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7244</v>
      </c>
      <c r="B7225" t="s">
        <v>19</v>
      </c>
      <c r="C7225">
        <v>5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H7226" s="1">
        <v>45093</v>
      </c>
    </row>
    <row r="7227" spans="1:8" x14ac:dyDescent="0.35">
      <c r="A7227" t="s">
        <v>7246</v>
      </c>
      <c r="B7227" t="s">
        <v>63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7247</v>
      </c>
      <c r="C7228">
        <v>3</v>
      </c>
      <c r="D7228">
        <v>4</v>
      </c>
      <c r="E7228">
        <v>12</v>
      </c>
      <c r="F7228" t="s">
        <v>21</v>
      </c>
      <c r="H7228" s="1">
        <v>45195</v>
      </c>
    </row>
    <row r="7229" spans="1:8" x14ac:dyDescent="0.35">
      <c r="A7229" t="s">
        <v>7248</v>
      </c>
      <c r="C7229">
        <v>2</v>
      </c>
      <c r="D7229">
        <v>4</v>
      </c>
      <c r="E7229">
        <v>8</v>
      </c>
      <c r="H7229" s="1">
        <v>45220</v>
      </c>
    </row>
    <row r="7230" spans="1:8" x14ac:dyDescent="0.35">
      <c r="A7230" t="s">
        <v>7249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7251</v>
      </c>
      <c r="B7232" t="s">
        <v>17</v>
      </c>
      <c r="C7232">
        <v>2</v>
      </c>
      <c r="D7232">
        <v>1</v>
      </c>
      <c r="E7232">
        <v>2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7252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7253</v>
      </c>
      <c r="B7234" t="s">
        <v>19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7254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</row>
    <row r="7237" spans="1:8" x14ac:dyDescent="0.35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</row>
    <row r="7239" spans="1:8" x14ac:dyDescent="0.35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</row>
    <row r="7240" spans="1:8" x14ac:dyDescent="0.35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</row>
    <row r="7242" spans="1:8" x14ac:dyDescent="0.35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</row>
    <row r="7244" spans="1:8" x14ac:dyDescent="0.35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7265</v>
      </c>
      <c r="B7246" t="s">
        <v>26</v>
      </c>
      <c r="C7246">
        <v>5</v>
      </c>
      <c r="D7246">
        <v>4</v>
      </c>
      <c r="E7246">
        <v>20</v>
      </c>
      <c r="F7246" t="s">
        <v>21</v>
      </c>
      <c r="G7246" t="s">
        <v>11</v>
      </c>
      <c r="H7246" s="1">
        <v>45199</v>
      </c>
    </row>
    <row r="7247" spans="1:8" x14ac:dyDescent="0.35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7267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7268</v>
      </c>
      <c r="B7249" t="s">
        <v>26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H7250" s="1">
        <v>44969</v>
      </c>
    </row>
    <row r="7251" spans="1:8" x14ac:dyDescent="0.35">
      <c r="A7251" t="s">
        <v>7270</v>
      </c>
      <c r="B7251" t="s">
        <v>13</v>
      </c>
      <c r="C7251">
        <v>2</v>
      </c>
      <c r="D7251">
        <v>3</v>
      </c>
      <c r="E7251">
        <v>6</v>
      </c>
      <c r="H7251" s="1">
        <v>45149</v>
      </c>
    </row>
    <row r="7252" spans="1:8" x14ac:dyDescent="0.35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7272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H7254" s="1">
        <v>45061</v>
      </c>
    </row>
    <row r="7255" spans="1:8" x14ac:dyDescent="0.35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7276</v>
      </c>
      <c r="B7257" t="s">
        <v>37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7277</v>
      </c>
      <c r="B7258" t="s">
        <v>23</v>
      </c>
      <c r="C7258">
        <v>5</v>
      </c>
      <c r="D7258">
        <v>4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7279</v>
      </c>
      <c r="B7260" t="s">
        <v>17</v>
      </c>
      <c r="C7260">
        <v>5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7281</v>
      </c>
      <c r="B7262" t="s">
        <v>63</v>
      </c>
      <c r="C7262">
        <v>1</v>
      </c>
      <c r="D7262">
        <v>1.5</v>
      </c>
      <c r="E7262">
        <v>1.5</v>
      </c>
      <c r="G7262" t="s">
        <v>11</v>
      </c>
      <c r="H7262" s="1">
        <v>44979</v>
      </c>
    </row>
    <row r="7263" spans="1:8" x14ac:dyDescent="0.35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</row>
    <row r="7264" spans="1:8" x14ac:dyDescent="0.35">
      <c r="A7264" t="s">
        <v>7283</v>
      </c>
      <c r="B7264" t="s">
        <v>19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</row>
    <row r="7266" spans="1:8" x14ac:dyDescent="0.35">
      <c r="A7266" t="s">
        <v>7285</v>
      </c>
      <c r="B7266" t="s">
        <v>26</v>
      </c>
      <c r="C7266">
        <v>5</v>
      </c>
      <c r="D7266">
        <v>4</v>
      </c>
      <c r="E7266">
        <v>20</v>
      </c>
      <c r="F7266" t="s">
        <v>21</v>
      </c>
      <c r="G7266" t="s">
        <v>15</v>
      </c>
      <c r="H7266" s="1">
        <v>45281</v>
      </c>
    </row>
    <row r="7267" spans="1:8" x14ac:dyDescent="0.35">
      <c r="A7267" t="s">
        <v>7286</v>
      </c>
      <c r="B7267" t="s">
        <v>63</v>
      </c>
      <c r="C7267">
        <v>4</v>
      </c>
      <c r="D7267">
        <v>1.5</v>
      </c>
      <c r="E7267">
        <v>6</v>
      </c>
      <c r="F7267" t="s">
        <v>21</v>
      </c>
    </row>
    <row r="7268" spans="1:8" x14ac:dyDescent="0.35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7288</v>
      </c>
      <c r="C7269">
        <v>5</v>
      </c>
      <c r="D7269">
        <v>1.5</v>
      </c>
      <c r="E7269">
        <v>7.5</v>
      </c>
      <c r="F7269" t="s">
        <v>21</v>
      </c>
      <c r="G7269" t="s">
        <v>15</v>
      </c>
      <c r="H7269" s="1">
        <v>44947</v>
      </c>
    </row>
    <row r="7270" spans="1:8" x14ac:dyDescent="0.35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7291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7293</v>
      </c>
      <c r="B7274" t="s">
        <v>19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7294</v>
      </c>
      <c r="B7275" t="s">
        <v>17</v>
      </c>
      <c r="C7275">
        <v>5</v>
      </c>
      <c r="D7275">
        <v>1</v>
      </c>
      <c r="E7275">
        <v>5</v>
      </c>
      <c r="G7275" t="s">
        <v>15</v>
      </c>
      <c r="H7275" s="1">
        <v>45261</v>
      </c>
    </row>
    <row r="7276" spans="1:8" x14ac:dyDescent="0.35">
      <c r="A7276" t="s">
        <v>7295</v>
      </c>
      <c r="B7276" t="s">
        <v>26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7296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7297</v>
      </c>
      <c r="B7278" t="s">
        <v>9</v>
      </c>
      <c r="C7278">
        <v>5</v>
      </c>
      <c r="D7278">
        <v>2</v>
      </c>
      <c r="E7278">
        <v>10</v>
      </c>
      <c r="H7278" s="1">
        <v>44960</v>
      </c>
    </row>
    <row r="7279" spans="1:8" x14ac:dyDescent="0.35">
      <c r="A7279" t="s">
        <v>7298</v>
      </c>
      <c r="B7279" t="s">
        <v>9</v>
      </c>
      <c r="C7279">
        <v>3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</row>
    <row r="7280" spans="1:8" x14ac:dyDescent="0.35">
      <c r="A7280" t="s">
        <v>7299</v>
      </c>
      <c r="B7280" t="s">
        <v>19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H7281" s="1">
        <v>45080</v>
      </c>
    </row>
    <row r="7282" spans="1:8" x14ac:dyDescent="0.35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7302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7303</v>
      </c>
      <c r="C7284">
        <v>2</v>
      </c>
      <c r="D7284">
        <v>3</v>
      </c>
      <c r="E7284">
        <v>6</v>
      </c>
      <c r="F7284" t="s">
        <v>21</v>
      </c>
      <c r="H7284" s="1">
        <v>45092</v>
      </c>
    </row>
    <row r="7285" spans="1:8" x14ac:dyDescent="0.35">
      <c r="A7285" t="s">
        <v>7304</v>
      </c>
      <c r="B7285" t="s">
        <v>17</v>
      </c>
      <c r="C7285">
        <v>5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7306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7307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</row>
    <row r="7290" spans="1:8" x14ac:dyDescent="0.35">
      <c r="A7290" t="s">
        <v>7309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7311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7312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7313</v>
      </c>
      <c r="B7294" t="s">
        <v>19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H7296" s="1">
        <v>45223</v>
      </c>
    </row>
    <row r="7297" spans="1:8" x14ac:dyDescent="0.35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</row>
    <row r="7298" spans="1:8" x14ac:dyDescent="0.35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</row>
    <row r="7299" spans="1:8" x14ac:dyDescent="0.35">
      <c r="A7299" t="s">
        <v>7318</v>
      </c>
      <c r="B7299" t="s">
        <v>23</v>
      </c>
      <c r="D7299">
        <v>4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7319</v>
      </c>
      <c r="B7300" t="s">
        <v>63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7322</v>
      </c>
      <c r="B7303" t="s">
        <v>19</v>
      </c>
      <c r="C7303">
        <v>5</v>
      </c>
      <c r="D7303">
        <v>5</v>
      </c>
      <c r="E7303">
        <v>25</v>
      </c>
      <c r="G7303" t="s">
        <v>11</v>
      </c>
      <c r="H7303" s="1">
        <v>45130</v>
      </c>
    </row>
    <row r="7304" spans="1:8" x14ac:dyDescent="0.35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</row>
    <row r="7306" spans="1:8" x14ac:dyDescent="0.35">
      <c r="A7306" t="s">
        <v>7325</v>
      </c>
      <c r="B7306" t="s">
        <v>9</v>
      </c>
      <c r="C7306">
        <v>5</v>
      </c>
      <c r="D7306">
        <v>2</v>
      </c>
      <c r="E7306">
        <v>10</v>
      </c>
      <c r="H7306" s="1">
        <v>45146</v>
      </c>
    </row>
    <row r="7307" spans="1:8" x14ac:dyDescent="0.35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H7308" s="1">
        <v>44927</v>
      </c>
    </row>
    <row r="7309" spans="1:8" x14ac:dyDescent="0.35">
      <c r="A7309" t="s">
        <v>7328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</row>
    <row r="7310" spans="1:8" x14ac:dyDescent="0.35">
      <c r="A7310" t="s">
        <v>7329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7330</v>
      </c>
      <c r="B7311" t="s">
        <v>63</v>
      </c>
      <c r="C7311">
        <v>5</v>
      </c>
      <c r="D7311">
        <v>1.5</v>
      </c>
      <c r="E7311">
        <v>7.5</v>
      </c>
      <c r="G7311" t="s">
        <v>11</v>
      </c>
      <c r="H7311" s="1">
        <v>44927</v>
      </c>
    </row>
    <row r="7312" spans="1:8" x14ac:dyDescent="0.35">
      <c r="A7312" t="s">
        <v>7331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</row>
    <row r="7313" spans="1:8" x14ac:dyDescent="0.35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H7314" s="1">
        <v>45180</v>
      </c>
    </row>
    <row r="7315" spans="1:8" x14ac:dyDescent="0.35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</row>
    <row r="7316" spans="1:8" x14ac:dyDescent="0.35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</row>
    <row r="7317" spans="1:8" x14ac:dyDescent="0.35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</row>
    <row r="7318" spans="1:8" x14ac:dyDescent="0.35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7338</v>
      </c>
      <c r="B7319" t="s">
        <v>19</v>
      </c>
      <c r="C7319">
        <v>1</v>
      </c>
      <c r="D7319">
        <v>5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7339</v>
      </c>
      <c r="B7320" t="s">
        <v>37</v>
      </c>
      <c r="C7320">
        <v>3</v>
      </c>
      <c r="D7320">
        <v>3</v>
      </c>
      <c r="E7320">
        <v>9</v>
      </c>
      <c r="G7320" t="s">
        <v>15</v>
      </c>
      <c r="H7320" s="1">
        <v>45126</v>
      </c>
    </row>
    <row r="7321" spans="1:8" x14ac:dyDescent="0.35">
      <c r="A7321" t="s">
        <v>7340</v>
      </c>
      <c r="B7321" t="s">
        <v>23</v>
      </c>
      <c r="C7321">
        <v>5</v>
      </c>
      <c r="D7321">
        <v>4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H7322" s="1">
        <v>45236</v>
      </c>
    </row>
    <row r="7323" spans="1:8" x14ac:dyDescent="0.35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</row>
    <row r="7324" spans="1:8" x14ac:dyDescent="0.35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7344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7346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</row>
    <row r="7330" spans="1:8" x14ac:dyDescent="0.35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H7330" s="1">
        <v>45090</v>
      </c>
    </row>
    <row r="7331" spans="1:8" x14ac:dyDescent="0.35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7352</v>
      </c>
      <c r="B7333" t="s">
        <v>37</v>
      </c>
      <c r="C7333">
        <v>2</v>
      </c>
      <c r="D7333">
        <v>3</v>
      </c>
      <c r="E7333">
        <v>6</v>
      </c>
      <c r="G7333" t="s">
        <v>15</v>
      </c>
      <c r="H7333" s="1">
        <v>45143</v>
      </c>
    </row>
    <row r="7334" spans="1:8" x14ac:dyDescent="0.35">
      <c r="A7334" t="s">
        <v>7353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7354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</row>
    <row r="7337" spans="1:8" x14ac:dyDescent="0.35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</row>
    <row r="7340" spans="1:8" x14ac:dyDescent="0.35">
      <c r="A7340" t="s">
        <v>7359</v>
      </c>
      <c r="B7340" t="s">
        <v>37</v>
      </c>
      <c r="C7340">
        <v>5</v>
      </c>
      <c r="D7340">
        <v>3</v>
      </c>
      <c r="E7340">
        <v>15</v>
      </c>
      <c r="H7340" s="1">
        <v>45060</v>
      </c>
    </row>
    <row r="7341" spans="1:8" x14ac:dyDescent="0.35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</row>
    <row r="7344" spans="1:8" x14ac:dyDescent="0.35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H7344" s="1">
        <v>45076</v>
      </c>
    </row>
    <row r="7345" spans="1:8" x14ac:dyDescent="0.35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7367</v>
      </c>
      <c r="B7348" t="s">
        <v>63</v>
      </c>
      <c r="C7348">
        <v>3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7369</v>
      </c>
      <c r="B7350" t="s">
        <v>13</v>
      </c>
      <c r="C7350">
        <v>5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H7352" s="1">
        <v>45120</v>
      </c>
    </row>
    <row r="7353" spans="1:8" x14ac:dyDescent="0.35">
      <c r="A7353" t="s">
        <v>7372</v>
      </c>
      <c r="B7353" t="s">
        <v>63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</row>
    <row r="7355" spans="1:8" x14ac:dyDescent="0.35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</row>
    <row r="7358" spans="1:8" x14ac:dyDescent="0.35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7378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7379</v>
      </c>
      <c r="B7360" t="s">
        <v>9</v>
      </c>
      <c r="C7360">
        <v>1</v>
      </c>
      <c r="D7360">
        <v>2</v>
      </c>
      <c r="E7360">
        <v>2</v>
      </c>
      <c r="F7360" t="s">
        <v>21</v>
      </c>
      <c r="H7360" s="1">
        <v>45134</v>
      </c>
    </row>
    <row r="7361" spans="1:8" x14ac:dyDescent="0.35">
      <c r="A7361" t="s">
        <v>7380</v>
      </c>
      <c r="B7361" t="s">
        <v>37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7381</v>
      </c>
      <c r="B7362" t="s">
        <v>13</v>
      </c>
      <c r="C7362">
        <v>1</v>
      </c>
      <c r="D7362">
        <v>3</v>
      </c>
      <c r="E7362">
        <v>3</v>
      </c>
      <c r="H7362" s="1">
        <v>45039</v>
      </c>
    </row>
    <row r="7363" spans="1:8" x14ac:dyDescent="0.35">
      <c r="A7363" t="s">
        <v>7382</v>
      </c>
      <c r="B7363" t="s">
        <v>9</v>
      </c>
      <c r="C7363">
        <v>2</v>
      </c>
      <c r="D7363">
        <v>2</v>
      </c>
      <c r="E7363">
        <v>4</v>
      </c>
      <c r="G7363" t="s">
        <v>15</v>
      </c>
    </row>
    <row r="7364" spans="1:8" x14ac:dyDescent="0.35">
      <c r="A7364" t="s">
        <v>7383</v>
      </c>
      <c r="B7364" t="s">
        <v>37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7385</v>
      </c>
      <c r="B7366" t="s">
        <v>17</v>
      </c>
      <c r="C7366">
        <v>4</v>
      </c>
      <c r="D7366">
        <v>1</v>
      </c>
      <c r="E7366">
        <v>4</v>
      </c>
      <c r="F7366" t="s">
        <v>21</v>
      </c>
      <c r="H7366" s="1">
        <v>45165</v>
      </c>
    </row>
    <row r="7367" spans="1:8" x14ac:dyDescent="0.35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7389</v>
      </c>
      <c r="B7370" t="s">
        <v>13</v>
      </c>
      <c r="C7370">
        <v>2</v>
      </c>
      <c r="D7370">
        <v>3</v>
      </c>
      <c r="E7370">
        <v>6</v>
      </c>
      <c r="G7370" t="s">
        <v>15</v>
      </c>
      <c r="H7370" s="1">
        <v>45035</v>
      </c>
    </row>
    <row r="7371" spans="1:8" x14ac:dyDescent="0.35">
      <c r="A7371" t="s">
        <v>7390</v>
      </c>
      <c r="B7371" t="s">
        <v>63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7391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</row>
    <row r="7374" spans="1:8" x14ac:dyDescent="0.35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7394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</row>
    <row r="7376" spans="1:8" x14ac:dyDescent="0.35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H7376" s="1">
        <v>45047</v>
      </c>
    </row>
    <row r="7377" spans="1:8" x14ac:dyDescent="0.35">
      <c r="A7377" t="s">
        <v>7396</v>
      </c>
      <c r="B7377" t="s">
        <v>26</v>
      </c>
      <c r="C7377">
        <v>3</v>
      </c>
      <c r="D7377">
        <v>4</v>
      </c>
      <c r="E7377">
        <v>12</v>
      </c>
      <c r="F7377" t="s">
        <v>14</v>
      </c>
      <c r="H7377" s="1">
        <v>44997</v>
      </c>
    </row>
    <row r="7378" spans="1:8" x14ac:dyDescent="0.35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H7378" s="1">
        <v>45114</v>
      </c>
    </row>
    <row r="7379" spans="1:8" x14ac:dyDescent="0.35">
      <c r="A7379" t="s">
        <v>7398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7399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</row>
    <row r="7382" spans="1:8" x14ac:dyDescent="0.35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7402</v>
      </c>
      <c r="B7383" t="s">
        <v>26</v>
      </c>
      <c r="C7383">
        <v>4</v>
      </c>
      <c r="D7383">
        <v>4</v>
      </c>
      <c r="E7383">
        <v>16</v>
      </c>
      <c r="F7383" t="s">
        <v>21</v>
      </c>
      <c r="H7383" s="1">
        <v>45024</v>
      </c>
    </row>
    <row r="7384" spans="1:8" x14ac:dyDescent="0.35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7404</v>
      </c>
      <c r="B7385" t="s">
        <v>26</v>
      </c>
      <c r="C7385">
        <v>4</v>
      </c>
      <c r="D7385">
        <v>4</v>
      </c>
      <c r="E7385">
        <v>16</v>
      </c>
      <c r="H7385" s="1">
        <v>44941</v>
      </c>
    </row>
    <row r="7386" spans="1:8" x14ac:dyDescent="0.35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</row>
    <row r="7388" spans="1:8" x14ac:dyDescent="0.35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H7389" s="1">
        <v>45095</v>
      </c>
    </row>
    <row r="7390" spans="1:8" x14ac:dyDescent="0.35">
      <c r="A7390" t="s">
        <v>7409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</row>
    <row r="7393" spans="1:8" x14ac:dyDescent="0.35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7415</v>
      </c>
      <c r="B7396" t="s">
        <v>37</v>
      </c>
      <c r="C7396">
        <v>1</v>
      </c>
      <c r="D7396">
        <v>3</v>
      </c>
      <c r="E7396">
        <v>3</v>
      </c>
      <c r="G7396" t="s">
        <v>11</v>
      </c>
      <c r="H7396" s="1">
        <v>45165</v>
      </c>
    </row>
    <row r="7397" spans="1:8" x14ac:dyDescent="0.35">
      <c r="A7397" t="s">
        <v>7416</v>
      </c>
      <c r="B7397" t="s">
        <v>63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</row>
    <row r="7399" spans="1:8" x14ac:dyDescent="0.35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</row>
    <row r="7401" spans="1:8" x14ac:dyDescent="0.35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</row>
    <row r="7403" spans="1:8" x14ac:dyDescent="0.35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H7403" s="1">
        <v>45115</v>
      </c>
    </row>
    <row r="7404" spans="1:8" x14ac:dyDescent="0.35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7424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7425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7427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H7409" s="1">
        <v>45176</v>
      </c>
    </row>
    <row r="7410" spans="1:8" x14ac:dyDescent="0.35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7430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7433</v>
      </c>
      <c r="B7414" t="s">
        <v>26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</row>
    <row r="7417" spans="1:8" x14ac:dyDescent="0.35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7438</v>
      </c>
      <c r="B7419" t="s">
        <v>63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7439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7441</v>
      </c>
      <c r="B7422" t="s">
        <v>37</v>
      </c>
      <c r="C7422">
        <v>5</v>
      </c>
      <c r="D7422">
        <v>3</v>
      </c>
      <c r="E7422">
        <v>15</v>
      </c>
      <c r="G7422" t="s">
        <v>11</v>
      </c>
      <c r="H7422" s="1">
        <v>45228</v>
      </c>
    </row>
    <row r="7423" spans="1:8" x14ac:dyDescent="0.35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7443</v>
      </c>
      <c r="B7424" t="s">
        <v>9</v>
      </c>
      <c r="C7424">
        <v>5</v>
      </c>
      <c r="D7424">
        <v>2</v>
      </c>
      <c r="E7424">
        <v>10</v>
      </c>
      <c r="H7424" s="1">
        <v>45002</v>
      </c>
    </row>
    <row r="7425" spans="1:8" x14ac:dyDescent="0.35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</row>
    <row r="7426" spans="1:8" x14ac:dyDescent="0.35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H7426" s="1">
        <v>45235</v>
      </c>
    </row>
    <row r="7427" spans="1:8" x14ac:dyDescent="0.35">
      <c r="A7427" t="s">
        <v>7446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7447</v>
      </c>
      <c r="B7428" t="s">
        <v>19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7448</v>
      </c>
      <c r="B7429" t="s">
        <v>17</v>
      </c>
      <c r="C7429">
        <v>2</v>
      </c>
      <c r="D7429">
        <v>1</v>
      </c>
      <c r="E7429">
        <v>2</v>
      </c>
      <c r="H7429" s="1">
        <v>45132</v>
      </c>
    </row>
    <row r="7430" spans="1:8" x14ac:dyDescent="0.35">
      <c r="A7430" t="s">
        <v>7449</v>
      </c>
      <c r="B7430" t="s">
        <v>26</v>
      </c>
      <c r="C7430">
        <v>4</v>
      </c>
      <c r="D7430">
        <v>4</v>
      </c>
      <c r="E7430">
        <v>16</v>
      </c>
      <c r="G7430" t="s">
        <v>15</v>
      </c>
      <c r="H7430" s="1">
        <v>45028</v>
      </c>
    </row>
    <row r="7431" spans="1:8" x14ac:dyDescent="0.35">
      <c r="A7431" t="s">
        <v>7450</v>
      </c>
      <c r="B7431" t="s">
        <v>63</v>
      </c>
      <c r="C7431">
        <v>4</v>
      </c>
      <c r="D7431">
        <v>1.5</v>
      </c>
      <c r="E7431">
        <v>6</v>
      </c>
      <c r="H7431" s="1">
        <v>45282</v>
      </c>
    </row>
    <row r="7432" spans="1:8" x14ac:dyDescent="0.35">
      <c r="A7432" t="s">
        <v>7451</v>
      </c>
      <c r="B7432" t="s">
        <v>26</v>
      </c>
      <c r="C7432">
        <v>2</v>
      </c>
      <c r="D7432">
        <v>4</v>
      </c>
      <c r="E7432">
        <v>8</v>
      </c>
      <c r="F7432" t="s">
        <v>21</v>
      </c>
      <c r="H7432" s="1">
        <v>45290</v>
      </c>
    </row>
    <row r="7433" spans="1:8" x14ac:dyDescent="0.35">
      <c r="A7433" t="s">
        <v>7452</v>
      </c>
      <c r="B7433" t="s">
        <v>26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7453</v>
      </c>
      <c r="B7434" t="s">
        <v>17</v>
      </c>
      <c r="C7434">
        <v>1</v>
      </c>
      <c r="D7434">
        <v>1</v>
      </c>
      <c r="E7434">
        <v>1</v>
      </c>
      <c r="F7434" t="s">
        <v>14</v>
      </c>
      <c r="H7434" s="1">
        <v>44984</v>
      </c>
    </row>
    <row r="7435" spans="1:8" x14ac:dyDescent="0.35">
      <c r="A7435" t="s">
        <v>7454</v>
      </c>
      <c r="B7435" t="s">
        <v>9</v>
      </c>
      <c r="C7435">
        <v>3</v>
      </c>
      <c r="D7435">
        <v>2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7455</v>
      </c>
      <c r="B7436" t="s">
        <v>63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7456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</row>
    <row r="7440" spans="1:8" x14ac:dyDescent="0.35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H7440" s="1">
        <v>45054</v>
      </c>
    </row>
    <row r="7441" spans="1:8" x14ac:dyDescent="0.35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7464</v>
      </c>
      <c r="B7445" t="s">
        <v>19</v>
      </c>
      <c r="C7445">
        <v>2</v>
      </c>
      <c r="D7445">
        <v>5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7467</v>
      </c>
      <c r="B7448" t="s">
        <v>23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7468</v>
      </c>
      <c r="B7449" t="s">
        <v>37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7469</v>
      </c>
      <c r="B7450" t="s">
        <v>63</v>
      </c>
      <c r="C7450">
        <v>2</v>
      </c>
      <c r="D7450">
        <v>1.5</v>
      </c>
      <c r="E7450">
        <v>3</v>
      </c>
      <c r="H7450" s="1">
        <v>45026</v>
      </c>
    </row>
    <row r="7451" spans="1:8" x14ac:dyDescent="0.35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</row>
    <row r="7452" spans="1:8" x14ac:dyDescent="0.35">
      <c r="A7452" t="s">
        <v>7471</v>
      </c>
      <c r="B7452" t="s">
        <v>19</v>
      </c>
      <c r="C7452">
        <v>1</v>
      </c>
      <c r="D7452">
        <v>5</v>
      </c>
      <c r="E7452">
        <v>5</v>
      </c>
      <c r="G7452" t="s">
        <v>11</v>
      </c>
      <c r="H7452" s="1">
        <v>45208</v>
      </c>
    </row>
    <row r="7453" spans="1:8" x14ac:dyDescent="0.35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</row>
    <row r="7454" spans="1:8" x14ac:dyDescent="0.35">
      <c r="A7454" t="s">
        <v>7473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7474</v>
      </c>
      <c r="B7455" t="s">
        <v>17</v>
      </c>
      <c r="C7455">
        <v>2</v>
      </c>
      <c r="D7455">
        <v>1</v>
      </c>
      <c r="E7455">
        <v>2</v>
      </c>
      <c r="H7455" s="1">
        <v>45233</v>
      </c>
    </row>
    <row r="7456" spans="1:8" x14ac:dyDescent="0.35">
      <c r="A7456" t="s">
        <v>7475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H7457" s="1">
        <v>44983</v>
      </c>
    </row>
    <row r="7458" spans="1:8" x14ac:dyDescent="0.35">
      <c r="A7458" t="s">
        <v>7477</v>
      </c>
      <c r="B7458" t="s">
        <v>26</v>
      </c>
      <c r="C7458">
        <v>3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7478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</row>
    <row r="7460" spans="1:8" x14ac:dyDescent="0.35">
      <c r="A7460" t="s">
        <v>7479</v>
      </c>
      <c r="B7460" t="s">
        <v>63</v>
      </c>
      <c r="C7460">
        <v>4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</row>
    <row r="7462" spans="1:8" x14ac:dyDescent="0.35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</row>
    <row r="7463" spans="1:8" x14ac:dyDescent="0.35">
      <c r="A7463" t="s">
        <v>7482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7484</v>
      </c>
      <c r="C7465">
        <v>4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7485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7487</v>
      </c>
      <c r="B7468" t="s">
        <v>63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7488</v>
      </c>
      <c r="B7469" t="s">
        <v>37</v>
      </c>
      <c r="C7469">
        <v>5</v>
      </c>
      <c r="D7469">
        <v>3</v>
      </c>
      <c r="E7469">
        <v>15</v>
      </c>
      <c r="F7469" t="s">
        <v>21</v>
      </c>
      <c r="H7469" s="1">
        <v>45243</v>
      </c>
    </row>
    <row r="7470" spans="1:8" x14ac:dyDescent="0.35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7490</v>
      </c>
      <c r="B7471" t="s">
        <v>19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7492</v>
      </c>
      <c r="B7473" t="s">
        <v>23</v>
      </c>
      <c r="C7473">
        <v>5</v>
      </c>
      <c r="D7473">
        <v>4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7495</v>
      </c>
      <c r="B7476" t="s">
        <v>19</v>
      </c>
      <c r="C7476">
        <v>4</v>
      </c>
      <c r="D7476">
        <v>5</v>
      </c>
      <c r="E7476">
        <v>20</v>
      </c>
      <c r="G7476" t="s">
        <v>15</v>
      </c>
    </row>
    <row r="7477" spans="1:8" x14ac:dyDescent="0.35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H7477" s="1">
        <v>45221</v>
      </c>
    </row>
    <row r="7478" spans="1:8" x14ac:dyDescent="0.35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7498</v>
      </c>
      <c r="B7479" t="s">
        <v>9</v>
      </c>
      <c r="C7479">
        <v>2</v>
      </c>
      <c r="D7479">
        <v>2</v>
      </c>
      <c r="E7479">
        <v>4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7499</v>
      </c>
      <c r="C7480">
        <v>4</v>
      </c>
      <c r="D7480">
        <v>4</v>
      </c>
      <c r="E7480">
        <v>16</v>
      </c>
      <c r="H7480" s="1">
        <v>44988</v>
      </c>
    </row>
    <row r="7481" spans="1:8" x14ac:dyDescent="0.35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</row>
    <row r="7484" spans="1:8" x14ac:dyDescent="0.35">
      <c r="A7484" t="s">
        <v>7503</v>
      </c>
      <c r="B7484" t="s">
        <v>23</v>
      </c>
      <c r="C7484">
        <v>2</v>
      </c>
      <c r="D7484">
        <v>4</v>
      </c>
      <c r="E7484">
        <v>8</v>
      </c>
      <c r="H7484" s="1">
        <v>45183</v>
      </c>
    </row>
    <row r="7485" spans="1:8" x14ac:dyDescent="0.35">
      <c r="A7485" t="s">
        <v>7504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</row>
    <row r="7487" spans="1:8" x14ac:dyDescent="0.35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7507</v>
      </c>
      <c r="B7488" t="s">
        <v>63</v>
      </c>
      <c r="C7488">
        <v>1</v>
      </c>
      <c r="D7488">
        <v>1.5</v>
      </c>
      <c r="E7488">
        <v>1.5</v>
      </c>
      <c r="H7488" s="1">
        <v>44942</v>
      </c>
    </row>
    <row r="7489" spans="1:8" x14ac:dyDescent="0.35">
      <c r="A7489" t="s">
        <v>7508</v>
      </c>
      <c r="B7489" t="s">
        <v>23</v>
      </c>
      <c r="C7489">
        <v>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7513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</row>
    <row r="7495" spans="1:8" x14ac:dyDescent="0.35">
      <c r="A7495" t="s">
        <v>7514</v>
      </c>
      <c r="B7495" t="s">
        <v>19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7515</v>
      </c>
      <c r="B7496" t="s">
        <v>37</v>
      </c>
      <c r="C7496">
        <v>3</v>
      </c>
      <c r="D7496">
        <v>3</v>
      </c>
      <c r="E7496">
        <v>9</v>
      </c>
      <c r="H7496" s="1">
        <v>45147</v>
      </c>
    </row>
    <row r="7497" spans="1:8" x14ac:dyDescent="0.35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</row>
    <row r="7499" spans="1:8" x14ac:dyDescent="0.35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H7499" s="1">
        <v>45086</v>
      </c>
    </row>
    <row r="7500" spans="1:8" x14ac:dyDescent="0.35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</row>
    <row r="7501" spans="1:8" x14ac:dyDescent="0.35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</row>
    <row r="7503" spans="1:8" x14ac:dyDescent="0.35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</row>
    <row r="7506" spans="1:8" x14ac:dyDescent="0.35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</row>
    <row r="7507" spans="1:8" x14ac:dyDescent="0.35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</row>
    <row r="7508" spans="1:8" x14ac:dyDescent="0.35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H7508" s="1">
        <v>45021</v>
      </c>
    </row>
    <row r="7509" spans="1:8" x14ac:dyDescent="0.35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</row>
    <row r="7513" spans="1:8" x14ac:dyDescent="0.35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H7513" s="1">
        <v>44944</v>
      </c>
    </row>
    <row r="7514" spans="1:8" x14ac:dyDescent="0.35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7536</v>
      </c>
      <c r="B7517" t="s">
        <v>37</v>
      </c>
      <c r="C7517">
        <v>5</v>
      </c>
      <c r="D7517">
        <v>3</v>
      </c>
      <c r="E7517">
        <v>15</v>
      </c>
      <c r="G7517" t="s">
        <v>15</v>
      </c>
    </row>
    <row r="7518" spans="1:8" x14ac:dyDescent="0.35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7538</v>
      </c>
      <c r="B7519" t="s">
        <v>23</v>
      </c>
      <c r="C7519">
        <v>2</v>
      </c>
      <c r="D7519">
        <v>4</v>
      </c>
      <c r="E7519">
        <v>8</v>
      </c>
      <c r="F7519" t="s">
        <v>21</v>
      </c>
      <c r="G7519" t="s">
        <v>15</v>
      </c>
      <c r="H7519" s="1">
        <v>45214</v>
      </c>
    </row>
    <row r="7520" spans="1:8" x14ac:dyDescent="0.35">
      <c r="A7520" t="s">
        <v>7539</v>
      </c>
      <c r="B7520" t="s">
        <v>26</v>
      </c>
      <c r="C7520">
        <v>5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</row>
    <row r="7523" spans="1:8" x14ac:dyDescent="0.35">
      <c r="A7523" t="s">
        <v>7542</v>
      </c>
      <c r="B7523" t="s">
        <v>17</v>
      </c>
      <c r="C7523">
        <v>4</v>
      </c>
      <c r="D7523">
        <v>1</v>
      </c>
      <c r="E7523">
        <v>4</v>
      </c>
      <c r="G7523" t="s">
        <v>15</v>
      </c>
      <c r="H7523" s="1">
        <v>44965</v>
      </c>
    </row>
    <row r="7524" spans="1:8" x14ac:dyDescent="0.35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7544</v>
      </c>
      <c r="B7525" t="s">
        <v>26</v>
      </c>
      <c r="C7525">
        <v>4</v>
      </c>
      <c r="D7525">
        <v>4</v>
      </c>
      <c r="E7525">
        <v>16</v>
      </c>
      <c r="H7525" s="1">
        <v>45144</v>
      </c>
    </row>
    <row r="7526" spans="1:8" x14ac:dyDescent="0.35">
      <c r="A7526" t="s">
        <v>7545</v>
      </c>
      <c r="B7526" t="s">
        <v>13</v>
      </c>
      <c r="C7526">
        <v>4</v>
      </c>
      <c r="D7526">
        <v>3</v>
      </c>
      <c r="E7526">
        <v>12</v>
      </c>
      <c r="H7526" s="1">
        <v>44975</v>
      </c>
    </row>
    <row r="7527" spans="1:8" x14ac:dyDescent="0.35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</row>
    <row r="7531" spans="1:8" x14ac:dyDescent="0.35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7551</v>
      </c>
      <c r="B7532" t="s">
        <v>17</v>
      </c>
      <c r="C7532">
        <v>4</v>
      </c>
      <c r="D7532">
        <v>1</v>
      </c>
      <c r="E7532">
        <v>4</v>
      </c>
      <c r="H7532" s="1">
        <v>45192</v>
      </c>
    </row>
    <row r="7533" spans="1:8" x14ac:dyDescent="0.35">
      <c r="A7533" t="s">
        <v>7552</v>
      </c>
      <c r="B7533" t="s">
        <v>23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7553</v>
      </c>
      <c r="B7534" t="s">
        <v>23</v>
      </c>
      <c r="C7534">
        <v>3</v>
      </c>
      <c r="D7534">
        <v>4</v>
      </c>
      <c r="E7534">
        <v>12</v>
      </c>
      <c r="H7534" s="1">
        <v>44943</v>
      </c>
    </row>
    <row r="7535" spans="1:8" x14ac:dyDescent="0.35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7555</v>
      </c>
      <c r="B7536" t="s">
        <v>23</v>
      </c>
      <c r="C7536">
        <v>5</v>
      </c>
      <c r="D7536">
        <v>4</v>
      </c>
      <c r="E7536">
        <v>20</v>
      </c>
      <c r="F7536" t="s">
        <v>21</v>
      </c>
      <c r="H7536" s="1">
        <v>45269</v>
      </c>
    </row>
    <row r="7537" spans="1:8" x14ac:dyDescent="0.35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7557</v>
      </c>
      <c r="B7538" t="s">
        <v>13</v>
      </c>
      <c r="C7538">
        <v>5</v>
      </c>
      <c r="D7538">
        <v>3</v>
      </c>
      <c r="E7538">
        <v>15</v>
      </c>
      <c r="G7538" t="s">
        <v>15</v>
      </c>
      <c r="H7538" s="1">
        <v>45031</v>
      </c>
    </row>
    <row r="7539" spans="1:8" x14ac:dyDescent="0.35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H7539" s="1">
        <v>44931</v>
      </c>
    </row>
    <row r="7540" spans="1:8" x14ac:dyDescent="0.35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H7542" s="1">
        <v>45228</v>
      </c>
    </row>
    <row r="7543" spans="1:8" x14ac:dyDescent="0.35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</row>
    <row r="7544" spans="1:8" x14ac:dyDescent="0.35">
      <c r="A7544" t="s">
        <v>7563</v>
      </c>
      <c r="B7544" t="s">
        <v>26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7564</v>
      </c>
      <c r="B7545" t="s">
        <v>63</v>
      </c>
      <c r="C7545">
        <v>1</v>
      </c>
      <c r="D7545">
        <v>1.5</v>
      </c>
      <c r="E7545">
        <v>1.5</v>
      </c>
      <c r="F7545" t="s">
        <v>14</v>
      </c>
      <c r="H7545" s="1">
        <v>45209</v>
      </c>
    </row>
    <row r="7546" spans="1:8" x14ac:dyDescent="0.35">
      <c r="A7546" t="s">
        <v>7565</v>
      </c>
      <c r="B7546" t="s">
        <v>23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7567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7568</v>
      </c>
      <c r="B7549" t="s">
        <v>26</v>
      </c>
      <c r="C7549">
        <v>5</v>
      </c>
      <c r="D7549">
        <v>4</v>
      </c>
      <c r="E7549">
        <v>20</v>
      </c>
      <c r="F7549" t="s">
        <v>21</v>
      </c>
      <c r="H7549" s="1">
        <v>44985</v>
      </c>
    </row>
    <row r="7550" spans="1:8" x14ac:dyDescent="0.35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</row>
    <row r="7552" spans="1:8" x14ac:dyDescent="0.35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7572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7575</v>
      </c>
      <c r="B7556" t="s">
        <v>13</v>
      </c>
      <c r="C7556">
        <v>4</v>
      </c>
      <c r="D7556">
        <v>3</v>
      </c>
      <c r="E7556">
        <v>12</v>
      </c>
      <c r="G7556" t="s">
        <v>15</v>
      </c>
    </row>
    <row r="7557" spans="1:8" x14ac:dyDescent="0.35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H7558" s="1">
        <v>45234</v>
      </c>
    </row>
    <row r="7559" spans="1:8" x14ac:dyDescent="0.35">
      <c r="A7559" t="s">
        <v>7578</v>
      </c>
      <c r="B7559" t="s">
        <v>26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</row>
    <row r="7561" spans="1:8" x14ac:dyDescent="0.35">
      <c r="A7561" t="s">
        <v>7580</v>
      </c>
      <c r="B7561" t="s">
        <v>26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7581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7583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7585</v>
      </c>
      <c r="B7566" t="s">
        <v>37</v>
      </c>
      <c r="C7566">
        <v>3</v>
      </c>
      <c r="D7566">
        <v>3</v>
      </c>
      <c r="E7566">
        <v>9</v>
      </c>
      <c r="G7566" t="s">
        <v>11</v>
      </c>
    </row>
    <row r="7567" spans="1:8" x14ac:dyDescent="0.35">
      <c r="A7567" t="s">
        <v>7586</v>
      </c>
      <c r="B7567" t="s">
        <v>17</v>
      </c>
      <c r="C7567">
        <v>2</v>
      </c>
      <c r="D7567">
        <v>1</v>
      </c>
      <c r="E7567">
        <v>2</v>
      </c>
      <c r="G7567" t="s">
        <v>11</v>
      </c>
      <c r="H7567" s="1">
        <v>45126</v>
      </c>
    </row>
    <row r="7568" spans="1:8" x14ac:dyDescent="0.35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7588</v>
      </c>
      <c r="B7569" t="s">
        <v>23</v>
      </c>
      <c r="C7569">
        <v>2</v>
      </c>
      <c r="D7569">
        <v>4</v>
      </c>
      <c r="E7569">
        <v>8</v>
      </c>
      <c r="F7569" t="s">
        <v>21</v>
      </c>
      <c r="G7569" t="s">
        <v>11</v>
      </c>
      <c r="H7569" s="1">
        <v>45083</v>
      </c>
    </row>
    <row r="7570" spans="1:8" x14ac:dyDescent="0.35">
      <c r="A7570" t="s">
        <v>7589</v>
      </c>
      <c r="B7570" t="s">
        <v>17</v>
      </c>
      <c r="C7570">
        <v>5</v>
      </c>
      <c r="D7570">
        <v>1</v>
      </c>
      <c r="E7570">
        <v>5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7590</v>
      </c>
      <c r="B7571" t="s">
        <v>19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7591</v>
      </c>
      <c r="B7572" t="s">
        <v>19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</row>
    <row r="7574" spans="1:8" x14ac:dyDescent="0.35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</row>
    <row r="7575" spans="1:8" x14ac:dyDescent="0.35">
      <c r="A7575" t="s">
        <v>7594</v>
      </c>
      <c r="B7575" t="s">
        <v>13</v>
      </c>
      <c r="C7575">
        <v>4</v>
      </c>
      <c r="D7575">
        <v>3</v>
      </c>
      <c r="E7575">
        <v>12</v>
      </c>
      <c r="F7575" t="s">
        <v>14</v>
      </c>
      <c r="H7575" s="1">
        <v>45250</v>
      </c>
    </row>
    <row r="7576" spans="1:8" x14ac:dyDescent="0.35">
      <c r="A7576" t="s">
        <v>7595</v>
      </c>
      <c r="B7576" t="s">
        <v>19</v>
      </c>
      <c r="C7576">
        <v>1</v>
      </c>
      <c r="D7576">
        <v>5</v>
      </c>
      <c r="E7576">
        <v>5</v>
      </c>
      <c r="G7576" t="s">
        <v>11</v>
      </c>
      <c r="H7576" s="1">
        <v>45182</v>
      </c>
    </row>
    <row r="7577" spans="1:8" x14ac:dyDescent="0.35">
      <c r="A7577" t="s">
        <v>7596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</row>
    <row r="7579" spans="1:8" x14ac:dyDescent="0.35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7599</v>
      </c>
      <c r="B7580" t="s">
        <v>9</v>
      </c>
      <c r="C7580">
        <v>1</v>
      </c>
      <c r="D7580">
        <v>2</v>
      </c>
      <c r="E7580">
        <v>2</v>
      </c>
      <c r="F7580" t="s">
        <v>21</v>
      </c>
      <c r="H7580" s="1">
        <v>45039</v>
      </c>
    </row>
    <row r="7581" spans="1:8" x14ac:dyDescent="0.35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7601</v>
      </c>
      <c r="B7582" t="s">
        <v>26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7602</v>
      </c>
      <c r="B7583" t="s">
        <v>19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7604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7605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7606</v>
      </c>
      <c r="B7587" t="s">
        <v>63</v>
      </c>
      <c r="C7587">
        <v>5</v>
      </c>
      <c r="D7587">
        <v>1.5</v>
      </c>
      <c r="E7587">
        <v>7.5</v>
      </c>
      <c r="G7587" t="s">
        <v>11</v>
      </c>
      <c r="H7587" s="1">
        <v>45007</v>
      </c>
    </row>
    <row r="7588" spans="1:8" x14ac:dyDescent="0.35">
      <c r="A7588" t="s">
        <v>7607</v>
      </c>
      <c r="B7588" t="s">
        <v>23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7608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7609</v>
      </c>
      <c r="B7590" t="s">
        <v>9</v>
      </c>
      <c r="C7590">
        <v>4</v>
      </c>
      <c r="D7590">
        <v>2</v>
      </c>
      <c r="E7590">
        <v>8</v>
      </c>
      <c r="F7590" t="s">
        <v>21</v>
      </c>
      <c r="H7590" s="1">
        <v>45019</v>
      </c>
    </row>
    <row r="7591" spans="1:8" x14ac:dyDescent="0.35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7611</v>
      </c>
      <c r="C7592">
        <v>1</v>
      </c>
      <c r="D7592">
        <v>1</v>
      </c>
      <c r="E7592">
        <v>1</v>
      </c>
      <c r="G7592" t="s">
        <v>11</v>
      </c>
      <c r="H7592" s="1">
        <v>45216</v>
      </c>
    </row>
    <row r="7593" spans="1:8" x14ac:dyDescent="0.35">
      <c r="A7593" t="s">
        <v>7612</v>
      </c>
      <c r="B7593" t="s">
        <v>13</v>
      </c>
      <c r="C7593">
        <v>1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7613</v>
      </c>
      <c r="B7594" t="s">
        <v>23</v>
      </c>
      <c r="C7594">
        <v>2</v>
      </c>
      <c r="D7594">
        <v>4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7615</v>
      </c>
      <c r="B7596" t="s">
        <v>9</v>
      </c>
      <c r="C7596">
        <v>2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7617</v>
      </c>
      <c r="B7598" t="s">
        <v>26</v>
      </c>
      <c r="C7598">
        <v>1</v>
      </c>
      <c r="D7598">
        <v>4</v>
      </c>
      <c r="E7598">
        <v>4</v>
      </c>
      <c r="H7598" s="1">
        <v>45231</v>
      </c>
    </row>
    <row r="7599" spans="1:8" x14ac:dyDescent="0.35">
      <c r="A7599" t="s">
        <v>7618</v>
      </c>
      <c r="E7599">
        <v>9</v>
      </c>
      <c r="F7599" t="s">
        <v>21</v>
      </c>
      <c r="G7599" t="s">
        <v>15</v>
      </c>
      <c r="H7599" s="1">
        <v>45273</v>
      </c>
    </row>
    <row r="7600" spans="1:8" x14ac:dyDescent="0.35">
      <c r="A7600" t="s">
        <v>7619</v>
      </c>
      <c r="B7600" t="s">
        <v>26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7622</v>
      </c>
      <c r="B7603" t="s">
        <v>37</v>
      </c>
      <c r="C7603">
        <v>2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H7604" s="1">
        <v>45123</v>
      </c>
    </row>
    <row r="7605" spans="1:8" x14ac:dyDescent="0.35">
      <c r="A7605" t="s">
        <v>7624</v>
      </c>
      <c r="B7605" t="s">
        <v>19</v>
      </c>
      <c r="C7605">
        <v>5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</row>
    <row r="7606" spans="1:8" x14ac:dyDescent="0.35">
      <c r="A7606" t="s">
        <v>7625</v>
      </c>
      <c r="C7606">
        <v>4</v>
      </c>
      <c r="D7606">
        <v>3</v>
      </c>
      <c r="E7606">
        <v>12</v>
      </c>
      <c r="H7606" s="1">
        <v>44930</v>
      </c>
    </row>
    <row r="7607" spans="1:8" x14ac:dyDescent="0.35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7628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</row>
    <row r="7614" spans="1:8" x14ac:dyDescent="0.35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</row>
    <row r="7615" spans="1:8" x14ac:dyDescent="0.35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7635</v>
      </c>
      <c r="B7616" t="s">
        <v>13</v>
      </c>
      <c r="C7616">
        <v>2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</row>
    <row r="7617" spans="1:8" x14ac:dyDescent="0.35">
      <c r="A7617" t="s">
        <v>7636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7637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</row>
    <row r="7620" spans="1:8" x14ac:dyDescent="0.35">
      <c r="A7620" t="s">
        <v>7639</v>
      </c>
      <c r="B7620" t="s">
        <v>63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7641</v>
      </c>
      <c r="B7622" t="s">
        <v>63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</row>
    <row r="7624" spans="1:8" x14ac:dyDescent="0.35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H7624" s="1">
        <v>45147</v>
      </c>
    </row>
    <row r="7625" spans="1:8" x14ac:dyDescent="0.35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7645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</row>
    <row r="7627" spans="1:8" x14ac:dyDescent="0.35">
      <c r="A7627" t="s">
        <v>7646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7647</v>
      </c>
      <c r="B7628" t="s">
        <v>63</v>
      </c>
      <c r="C7628">
        <v>5</v>
      </c>
      <c r="D7628">
        <v>1.5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7648</v>
      </c>
      <c r="C7629">
        <v>4</v>
      </c>
      <c r="D7629">
        <v>3</v>
      </c>
      <c r="E7629">
        <v>12</v>
      </c>
      <c r="F7629" t="s">
        <v>14</v>
      </c>
      <c r="H7629" s="1">
        <v>45175</v>
      </c>
    </row>
    <row r="7630" spans="1:8" x14ac:dyDescent="0.35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7650</v>
      </c>
      <c r="B7631" t="s">
        <v>23</v>
      </c>
      <c r="C7631">
        <v>5</v>
      </c>
      <c r="D7631">
        <v>4</v>
      </c>
      <c r="E7631">
        <v>20</v>
      </c>
      <c r="F7631" t="s">
        <v>21</v>
      </c>
      <c r="G7631" t="s">
        <v>11</v>
      </c>
      <c r="H7631" s="1">
        <v>45032</v>
      </c>
    </row>
    <row r="7632" spans="1:8" x14ac:dyDescent="0.35">
      <c r="A7632" t="s">
        <v>7651</v>
      </c>
      <c r="B7632" t="s">
        <v>23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7653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7655</v>
      </c>
      <c r="B7636" t="s">
        <v>26</v>
      </c>
      <c r="C7636">
        <v>1</v>
      </c>
      <c r="D7636">
        <v>4</v>
      </c>
      <c r="E7636">
        <v>4</v>
      </c>
      <c r="H7636" s="1">
        <v>45124</v>
      </c>
    </row>
    <row r="7637" spans="1:8" x14ac:dyDescent="0.35">
      <c r="A7637" t="s">
        <v>7656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7657</v>
      </c>
      <c r="B7638" t="s">
        <v>9</v>
      </c>
      <c r="C7638">
        <v>3</v>
      </c>
      <c r="D7638">
        <v>2</v>
      </c>
      <c r="E7638">
        <v>6</v>
      </c>
      <c r="G7638" t="s">
        <v>15</v>
      </c>
      <c r="H7638" s="1">
        <v>44962</v>
      </c>
    </row>
    <row r="7639" spans="1:8" x14ac:dyDescent="0.35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H7640" s="1">
        <v>45063</v>
      </c>
    </row>
    <row r="7641" spans="1:8" x14ac:dyDescent="0.35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7663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7664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7665</v>
      </c>
      <c r="B7646" t="s">
        <v>23</v>
      </c>
      <c r="C7646">
        <v>4</v>
      </c>
      <c r="D7646">
        <v>4</v>
      </c>
      <c r="E7646">
        <v>16</v>
      </c>
      <c r="G7646" t="s">
        <v>11</v>
      </c>
      <c r="H7646" s="1">
        <v>45012</v>
      </c>
    </row>
    <row r="7647" spans="1:8" x14ac:dyDescent="0.35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</row>
    <row r="7648" spans="1:8" x14ac:dyDescent="0.35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</row>
    <row r="7650" spans="1:8" x14ac:dyDescent="0.35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7671</v>
      </c>
      <c r="B7652" t="s">
        <v>23</v>
      </c>
      <c r="C7652">
        <v>1</v>
      </c>
      <c r="D7652">
        <v>4</v>
      </c>
      <c r="E7652">
        <v>4</v>
      </c>
      <c r="F7652" t="s">
        <v>10</v>
      </c>
      <c r="H7652" s="1">
        <v>45282</v>
      </c>
    </row>
    <row r="7653" spans="1:8" x14ac:dyDescent="0.35">
      <c r="A7653" t="s">
        <v>7672</v>
      </c>
      <c r="B7653" t="s">
        <v>19</v>
      </c>
      <c r="C7653">
        <v>3</v>
      </c>
      <c r="D7653">
        <v>5</v>
      </c>
      <c r="E7653">
        <v>15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7673</v>
      </c>
      <c r="B7654" t="s">
        <v>26</v>
      </c>
      <c r="C7654">
        <v>3</v>
      </c>
      <c r="D7654">
        <v>4</v>
      </c>
      <c r="E7654">
        <v>12</v>
      </c>
      <c r="G7654" t="s">
        <v>11</v>
      </c>
      <c r="H7654" s="1">
        <v>44930</v>
      </c>
    </row>
    <row r="7655" spans="1:8" x14ac:dyDescent="0.35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</row>
    <row r="7656" spans="1:8" x14ac:dyDescent="0.35">
      <c r="A7656" t="s">
        <v>7675</v>
      </c>
      <c r="B7656" t="s">
        <v>19</v>
      </c>
      <c r="C7656">
        <v>2</v>
      </c>
      <c r="D7656">
        <v>5</v>
      </c>
      <c r="E7656">
        <v>10</v>
      </c>
      <c r="G7656" t="s">
        <v>15</v>
      </c>
      <c r="H7656" s="1">
        <v>44993</v>
      </c>
    </row>
    <row r="7657" spans="1:8" x14ac:dyDescent="0.35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</row>
    <row r="7658" spans="1:8" x14ac:dyDescent="0.35">
      <c r="A7658" t="s">
        <v>7677</v>
      </c>
      <c r="B7658" t="s">
        <v>9</v>
      </c>
      <c r="C7658">
        <v>3</v>
      </c>
      <c r="D7658">
        <v>2</v>
      </c>
      <c r="E7658">
        <v>6</v>
      </c>
      <c r="F7658" t="s">
        <v>14</v>
      </c>
      <c r="H7658" s="1">
        <v>45241</v>
      </c>
    </row>
    <row r="7659" spans="1:8" x14ac:dyDescent="0.35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7679</v>
      </c>
      <c r="B7660" t="s">
        <v>19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7680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</row>
    <row r="7663" spans="1:8" x14ac:dyDescent="0.35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7683</v>
      </c>
      <c r="B7664" t="s">
        <v>63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7684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7685</v>
      </c>
      <c r="B7666" t="s">
        <v>63</v>
      </c>
      <c r="C7666">
        <v>1</v>
      </c>
      <c r="D7666">
        <v>1.5</v>
      </c>
      <c r="E7666">
        <v>1.5</v>
      </c>
      <c r="F7666" t="s">
        <v>21</v>
      </c>
      <c r="H7666" s="1">
        <v>44938</v>
      </c>
    </row>
    <row r="7667" spans="1:8" x14ac:dyDescent="0.35">
      <c r="A7667" t="s">
        <v>7686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H7668" s="1">
        <v>45247</v>
      </c>
    </row>
    <row r="7669" spans="1:8" x14ac:dyDescent="0.35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7691</v>
      </c>
      <c r="B7672" t="s">
        <v>19</v>
      </c>
      <c r="C7672">
        <v>4</v>
      </c>
      <c r="D7672">
        <v>5</v>
      </c>
      <c r="E7672">
        <v>20</v>
      </c>
      <c r="F7672" t="s">
        <v>10</v>
      </c>
      <c r="H7672" s="1">
        <v>45252</v>
      </c>
    </row>
    <row r="7673" spans="1:8" x14ac:dyDescent="0.35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7693</v>
      </c>
      <c r="B7674" t="s">
        <v>37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7694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7696</v>
      </c>
      <c r="B7677" t="s">
        <v>63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7697</v>
      </c>
      <c r="B7678" t="s">
        <v>63</v>
      </c>
      <c r="C7678">
        <v>5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7698</v>
      </c>
      <c r="C7679">
        <v>2</v>
      </c>
      <c r="D7679">
        <v>5</v>
      </c>
      <c r="E7679">
        <v>10</v>
      </c>
      <c r="F7679" t="s">
        <v>21</v>
      </c>
      <c r="H7679" s="1">
        <v>45095</v>
      </c>
    </row>
    <row r="7680" spans="1:8" x14ac:dyDescent="0.35">
      <c r="A7680" t="s">
        <v>7699</v>
      </c>
      <c r="B7680" t="s">
        <v>63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7700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7701</v>
      </c>
      <c r="B7682" t="s">
        <v>37</v>
      </c>
      <c r="C7682">
        <v>3</v>
      </c>
      <c r="D7682">
        <v>3</v>
      </c>
      <c r="E7682">
        <v>9</v>
      </c>
      <c r="F7682" t="s">
        <v>10</v>
      </c>
      <c r="H7682" s="1">
        <v>45124</v>
      </c>
    </row>
    <row r="7683" spans="1:8" x14ac:dyDescent="0.35">
      <c r="A7683" t="s">
        <v>7702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7703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7704</v>
      </c>
      <c r="B7685" t="s">
        <v>37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7705</v>
      </c>
      <c r="C7686">
        <v>1</v>
      </c>
      <c r="D7686">
        <v>4</v>
      </c>
      <c r="E7686">
        <v>4</v>
      </c>
      <c r="F7686" t="s">
        <v>10</v>
      </c>
    </row>
    <row r="7687" spans="1:8" x14ac:dyDescent="0.35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7707</v>
      </c>
      <c r="B7688" t="s">
        <v>9</v>
      </c>
      <c r="C7688">
        <v>5</v>
      </c>
      <c r="D7688">
        <v>2</v>
      </c>
      <c r="E7688">
        <v>10</v>
      </c>
      <c r="F7688" t="s">
        <v>14</v>
      </c>
      <c r="H7688" s="1">
        <v>45147</v>
      </c>
    </row>
    <row r="7689" spans="1:8" x14ac:dyDescent="0.35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H7690" s="1">
        <v>45003</v>
      </c>
    </row>
    <row r="7691" spans="1:8" x14ac:dyDescent="0.35">
      <c r="A7691" t="s">
        <v>7710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</row>
    <row r="7693" spans="1:8" x14ac:dyDescent="0.35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7714</v>
      </c>
      <c r="B7695" t="s">
        <v>9</v>
      </c>
      <c r="C7695">
        <v>3</v>
      </c>
      <c r="D7695">
        <v>2</v>
      </c>
      <c r="E7695">
        <v>6</v>
      </c>
      <c r="F7695" t="s">
        <v>21</v>
      </c>
      <c r="H7695" s="1">
        <v>45011</v>
      </c>
    </row>
    <row r="7696" spans="1:8" x14ac:dyDescent="0.35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7716</v>
      </c>
      <c r="B7697" t="s">
        <v>23</v>
      </c>
      <c r="C7697">
        <v>3</v>
      </c>
      <c r="D7697">
        <v>4</v>
      </c>
      <c r="E7697">
        <v>12</v>
      </c>
      <c r="G7697" t="s">
        <v>11</v>
      </c>
    </row>
    <row r="7698" spans="1:8" x14ac:dyDescent="0.35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7718</v>
      </c>
      <c r="C7699">
        <v>5</v>
      </c>
      <c r="D7699">
        <v>2</v>
      </c>
      <c r="E7699">
        <v>10</v>
      </c>
      <c r="F7699" t="s">
        <v>14</v>
      </c>
      <c r="H7699" s="1">
        <v>45221</v>
      </c>
    </row>
    <row r="7700" spans="1:8" x14ac:dyDescent="0.35">
      <c r="A7700" t="s">
        <v>7719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</row>
    <row r="7702" spans="1:8" x14ac:dyDescent="0.35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7722</v>
      </c>
      <c r="C7703">
        <v>2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7723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</row>
    <row r="7705" spans="1:8" x14ac:dyDescent="0.35">
      <c r="A7705" t="s">
        <v>7724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</row>
    <row r="7707" spans="1:8" x14ac:dyDescent="0.35">
      <c r="A7707" t="s">
        <v>7726</v>
      </c>
      <c r="B7707" t="s">
        <v>37</v>
      </c>
      <c r="C7707">
        <v>5</v>
      </c>
      <c r="D7707">
        <v>3</v>
      </c>
      <c r="E7707">
        <v>15</v>
      </c>
      <c r="F7707" t="s">
        <v>14</v>
      </c>
      <c r="G7707" t="s">
        <v>11</v>
      </c>
    </row>
    <row r="7708" spans="1:8" x14ac:dyDescent="0.35">
      <c r="A7708" t="s">
        <v>7727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7728</v>
      </c>
      <c r="B7709" t="s">
        <v>37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H7712" s="1">
        <v>45156</v>
      </c>
    </row>
    <row r="7713" spans="1:8" x14ac:dyDescent="0.35">
      <c r="A7713" t="s">
        <v>7732</v>
      </c>
      <c r="B7713" t="s">
        <v>9</v>
      </c>
      <c r="C7713">
        <v>2</v>
      </c>
      <c r="D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7733</v>
      </c>
      <c r="B7714" t="s">
        <v>23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7736</v>
      </c>
      <c r="B7717" t="s">
        <v>63</v>
      </c>
      <c r="C7717">
        <v>5</v>
      </c>
      <c r="D7717">
        <v>1.5</v>
      </c>
      <c r="E7717">
        <v>7.5</v>
      </c>
      <c r="H7717" s="1">
        <v>44951</v>
      </c>
    </row>
    <row r="7718" spans="1:8" x14ac:dyDescent="0.35">
      <c r="A7718" t="s">
        <v>7737</v>
      </c>
      <c r="B7718" t="s">
        <v>19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7738</v>
      </c>
      <c r="B7719" t="s">
        <v>13</v>
      </c>
      <c r="C7719">
        <v>2</v>
      </c>
      <c r="D7719">
        <v>3</v>
      </c>
      <c r="E7719">
        <v>6</v>
      </c>
      <c r="H7719" s="1">
        <v>45220</v>
      </c>
    </row>
    <row r="7720" spans="1:8" x14ac:dyDescent="0.35">
      <c r="A7720" t="s">
        <v>7739</v>
      </c>
      <c r="B7720" t="s">
        <v>37</v>
      </c>
      <c r="C7720">
        <v>5</v>
      </c>
      <c r="D7720">
        <v>3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7740</v>
      </c>
      <c r="B7721" t="s">
        <v>9</v>
      </c>
      <c r="C7721">
        <v>3</v>
      </c>
      <c r="D7721">
        <v>2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</row>
    <row r="7723" spans="1:8" x14ac:dyDescent="0.35">
      <c r="A7723" t="s">
        <v>7742</v>
      </c>
      <c r="B7723" t="s">
        <v>26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7743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7745</v>
      </c>
      <c r="B7726" t="s">
        <v>13</v>
      </c>
      <c r="C7726">
        <v>2</v>
      </c>
      <c r="D7726">
        <v>3</v>
      </c>
      <c r="E7726">
        <v>6</v>
      </c>
      <c r="H7726" s="1">
        <v>45275</v>
      </c>
    </row>
    <row r="7727" spans="1:8" x14ac:dyDescent="0.35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</row>
    <row r="7728" spans="1:8" x14ac:dyDescent="0.35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H7728" s="1">
        <v>44983</v>
      </c>
    </row>
    <row r="7729" spans="1:8" x14ac:dyDescent="0.35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7749</v>
      </c>
      <c r="B7730" t="s">
        <v>23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7750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H7733" s="1">
        <v>45137</v>
      </c>
    </row>
    <row r="7734" spans="1:8" x14ac:dyDescent="0.35">
      <c r="A7734" t="s">
        <v>7753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</row>
    <row r="7736" spans="1:8" x14ac:dyDescent="0.35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7757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</row>
    <row r="7740" spans="1:8" x14ac:dyDescent="0.35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H7742" s="1">
        <v>45262</v>
      </c>
    </row>
    <row r="7743" spans="1:8" x14ac:dyDescent="0.35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</row>
    <row r="7744" spans="1:8" x14ac:dyDescent="0.35">
      <c r="A7744" t="s">
        <v>7763</v>
      </c>
      <c r="B7744" t="s">
        <v>26</v>
      </c>
      <c r="C7744">
        <v>3</v>
      </c>
      <c r="D7744">
        <v>4</v>
      </c>
      <c r="E7744">
        <v>12</v>
      </c>
      <c r="G7744" t="s">
        <v>11</v>
      </c>
      <c r="H7744" s="1">
        <v>44952</v>
      </c>
    </row>
    <row r="7745" spans="1:8" x14ac:dyDescent="0.35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H7746" s="1">
        <v>45175</v>
      </c>
    </row>
    <row r="7747" spans="1:8" x14ac:dyDescent="0.35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</row>
    <row r="7749" spans="1:8" x14ac:dyDescent="0.35">
      <c r="A7749" t="s">
        <v>7768</v>
      </c>
      <c r="B7749" t="s">
        <v>63</v>
      </c>
      <c r="C7749">
        <v>4</v>
      </c>
      <c r="D7749">
        <v>1.5</v>
      </c>
      <c r="E7749">
        <v>6</v>
      </c>
      <c r="G7749" t="s">
        <v>11</v>
      </c>
      <c r="H7749" s="1">
        <v>45049</v>
      </c>
    </row>
    <row r="7750" spans="1:8" x14ac:dyDescent="0.35">
      <c r="A7750" t="s">
        <v>7769</v>
      </c>
      <c r="B7750" t="s">
        <v>13</v>
      </c>
      <c r="C7750">
        <v>5</v>
      </c>
      <c r="D7750">
        <v>3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7770</v>
      </c>
      <c r="B7751" t="s">
        <v>23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</row>
    <row r="7753" spans="1:8" x14ac:dyDescent="0.35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H7753" s="1">
        <v>44930</v>
      </c>
    </row>
    <row r="7754" spans="1:8" x14ac:dyDescent="0.35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7775</v>
      </c>
      <c r="B7756" t="s">
        <v>37</v>
      </c>
      <c r="C7756">
        <v>1</v>
      </c>
      <c r="D7756">
        <v>3</v>
      </c>
      <c r="E7756">
        <v>3</v>
      </c>
      <c r="F7756" t="s">
        <v>10</v>
      </c>
      <c r="H7756" s="1">
        <v>45215</v>
      </c>
    </row>
    <row r="7757" spans="1:8" x14ac:dyDescent="0.35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H7757" s="1">
        <v>45057</v>
      </c>
    </row>
    <row r="7758" spans="1:8" x14ac:dyDescent="0.35">
      <c r="A7758" t="s">
        <v>7777</v>
      </c>
      <c r="B7758" t="s">
        <v>26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7778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</row>
    <row r="7762" spans="1:8" x14ac:dyDescent="0.35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7783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</row>
    <row r="7765" spans="1:8" x14ac:dyDescent="0.35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H7765" s="1">
        <v>45145</v>
      </c>
    </row>
    <row r="7766" spans="1:8" x14ac:dyDescent="0.35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</row>
    <row r="7767" spans="1:8" x14ac:dyDescent="0.35">
      <c r="A7767" t="s">
        <v>7786</v>
      </c>
      <c r="B7767" t="s">
        <v>19</v>
      </c>
      <c r="C7767">
        <v>3</v>
      </c>
      <c r="D7767">
        <v>5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</row>
    <row r="7769" spans="1:8" x14ac:dyDescent="0.35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7789</v>
      </c>
      <c r="B7770" t="s">
        <v>19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7791</v>
      </c>
      <c r="B7772" t="s">
        <v>26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7792</v>
      </c>
      <c r="B7773" t="s">
        <v>37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H7775" s="1">
        <v>45051</v>
      </c>
    </row>
    <row r="7776" spans="1:8" x14ac:dyDescent="0.35">
      <c r="A7776" t="s">
        <v>7795</v>
      </c>
      <c r="B7776" t="s">
        <v>23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7797</v>
      </c>
      <c r="B7778" t="s">
        <v>37</v>
      </c>
      <c r="C7778">
        <v>1</v>
      </c>
      <c r="D7778">
        <v>3</v>
      </c>
      <c r="E7778">
        <v>3</v>
      </c>
      <c r="G7778" t="s">
        <v>11</v>
      </c>
      <c r="H7778" s="1">
        <v>45138</v>
      </c>
    </row>
    <row r="7779" spans="1:8" x14ac:dyDescent="0.35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7799</v>
      </c>
      <c r="B7780" t="s">
        <v>13</v>
      </c>
      <c r="C7780">
        <v>3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</row>
    <row r="7781" spans="1:8" x14ac:dyDescent="0.35">
      <c r="A7781" t="s">
        <v>7800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7801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7802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7805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7806</v>
      </c>
      <c r="B7787" t="s">
        <v>26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7807</v>
      </c>
      <c r="B7788" t="s">
        <v>26</v>
      </c>
      <c r="C7788">
        <v>4</v>
      </c>
      <c r="D7788">
        <v>4</v>
      </c>
      <c r="E7788">
        <v>16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7808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</row>
    <row r="7791" spans="1:8" x14ac:dyDescent="0.35">
      <c r="A7791" t="s">
        <v>7810</v>
      </c>
      <c r="B7791" t="s">
        <v>19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7811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7812</v>
      </c>
      <c r="B7793" t="s">
        <v>23</v>
      </c>
      <c r="C7793">
        <v>3</v>
      </c>
      <c r="D7793">
        <v>4</v>
      </c>
      <c r="E7793">
        <v>12</v>
      </c>
      <c r="G7793" t="s">
        <v>15</v>
      </c>
      <c r="H7793" s="1">
        <v>45103</v>
      </c>
    </row>
    <row r="7794" spans="1:8" x14ac:dyDescent="0.35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</row>
    <row r="7795" spans="1:8" x14ac:dyDescent="0.35">
      <c r="A7795" t="s">
        <v>7814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7817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</row>
    <row r="7800" spans="1:8" x14ac:dyDescent="0.35">
      <c r="A7800" t="s">
        <v>7819</v>
      </c>
      <c r="B7800" t="s">
        <v>63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7821</v>
      </c>
      <c r="C7802">
        <v>1</v>
      </c>
      <c r="D7802">
        <v>3</v>
      </c>
      <c r="E7802">
        <v>3</v>
      </c>
      <c r="F7802" t="s">
        <v>21</v>
      </c>
      <c r="H7802" s="1">
        <v>44963</v>
      </c>
    </row>
    <row r="7803" spans="1:8" x14ac:dyDescent="0.35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</row>
    <row r="7804" spans="1:8" x14ac:dyDescent="0.35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7825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H7808" s="1">
        <v>45189</v>
      </c>
    </row>
    <row r="7809" spans="1:8" x14ac:dyDescent="0.35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7829</v>
      </c>
      <c r="B7810" t="s">
        <v>23</v>
      </c>
      <c r="C7810">
        <v>2</v>
      </c>
      <c r="D7810">
        <v>4</v>
      </c>
      <c r="E7810">
        <v>8</v>
      </c>
      <c r="G7810" t="s">
        <v>11</v>
      </c>
      <c r="H7810" s="1">
        <v>45196</v>
      </c>
    </row>
    <row r="7811" spans="1:8" x14ac:dyDescent="0.35">
      <c r="A7811" t="s">
        <v>7830</v>
      </c>
      <c r="B7811" t="s">
        <v>63</v>
      </c>
      <c r="C7811">
        <v>1</v>
      </c>
      <c r="D7811">
        <v>1.5</v>
      </c>
      <c r="E7811">
        <v>1.5</v>
      </c>
      <c r="H7811" s="1">
        <v>45199</v>
      </c>
    </row>
    <row r="7812" spans="1:8" x14ac:dyDescent="0.35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7834</v>
      </c>
      <c r="B7815" t="s">
        <v>13</v>
      </c>
      <c r="C7815">
        <v>3</v>
      </c>
      <c r="D7815">
        <v>3</v>
      </c>
      <c r="E7815">
        <v>9</v>
      </c>
      <c r="H7815" s="1">
        <v>45183</v>
      </c>
    </row>
    <row r="7816" spans="1:8" x14ac:dyDescent="0.35">
      <c r="A7816" t="s">
        <v>7835</v>
      </c>
      <c r="B7816" t="s">
        <v>9</v>
      </c>
      <c r="C7816">
        <v>4</v>
      </c>
      <c r="D7816">
        <v>2</v>
      </c>
      <c r="E7816">
        <v>8</v>
      </c>
      <c r="F7816" t="s">
        <v>21</v>
      </c>
      <c r="H7816" s="1">
        <v>45225</v>
      </c>
    </row>
    <row r="7817" spans="1:8" x14ac:dyDescent="0.35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7838</v>
      </c>
      <c r="B7819" t="s">
        <v>23</v>
      </c>
      <c r="C7819">
        <v>5</v>
      </c>
      <c r="D7819">
        <v>4</v>
      </c>
      <c r="E7819">
        <v>20</v>
      </c>
      <c r="F7819" t="s">
        <v>21</v>
      </c>
      <c r="G7819" t="s">
        <v>11</v>
      </c>
      <c r="H7819" s="1">
        <v>45263</v>
      </c>
    </row>
    <row r="7820" spans="1:8" x14ac:dyDescent="0.35">
      <c r="A7820" t="s">
        <v>7839</v>
      </c>
      <c r="B7820" t="s">
        <v>23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7840</v>
      </c>
      <c r="C7821">
        <v>3</v>
      </c>
      <c r="D7821">
        <v>4</v>
      </c>
      <c r="E7821">
        <v>12</v>
      </c>
      <c r="G7821" t="s">
        <v>15</v>
      </c>
      <c r="H7821" s="1">
        <v>44929</v>
      </c>
    </row>
    <row r="7822" spans="1:8" x14ac:dyDescent="0.35">
      <c r="A7822" t="s">
        <v>7841</v>
      </c>
      <c r="B7822" t="s">
        <v>26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</row>
    <row r="7824" spans="1:8" x14ac:dyDescent="0.35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7844</v>
      </c>
      <c r="B7825" t="s">
        <v>37</v>
      </c>
      <c r="C7825">
        <v>1</v>
      </c>
      <c r="D7825">
        <v>3</v>
      </c>
      <c r="E7825">
        <v>3</v>
      </c>
      <c r="G7825" t="s">
        <v>15</v>
      </c>
      <c r="H7825" s="1">
        <v>44986</v>
      </c>
    </row>
    <row r="7826" spans="1:8" x14ac:dyDescent="0.35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</row>
    <row r="7828" spans="1:8" x14ac:dyDescent="0.35">
      <c r="A7828" t="s">
        <v>7847</v>
      </c>
      <c r="B7828" t="s">
        <v>23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7848</v>
      </c>
      <c r="B7829" t="s">
        <v>26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7851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7854</v>
      </c>
      <c r="B7835" t="s">
        <v>37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H7838" s="1">
        <v>44998</v>
      </c>
    </row>
    <row r="7839" spans="1:8" x14ac:dyDescent="0.35">
      <c r="A7839" t="s">
        <v>7858</v>
      </c>
      <c r="B7839" t="s">
        <v>63</v>
      </c>
      <c r="C7839">
        <v>2</v>
      </c>
      <c r="D7839">
        <v>1.5</v>
      </c>
      <c r="E7839">
        <v>3</v>
      </c>
      <c r="G7839" t="s">
        <v>11</v>
      </c>
      <c r="H7839" s="1">
        <v>45222</v>
      </c>
    </row>
    <row r="7840" spans="1:8" x14ac:dyDescent="0.35">
      <c r="A7840" t="s">
        <v>7859</v>
      </c>
      <c r="B7840" t="s">
        <v>26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</row>
    <row r="7842" spans="1:8" x14ac:dyDescent="0.35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7864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H7846" s="1">
        <v>45241</v>
      </c>
    </row>
    <row r="7847" spans="1:8" x14ac:dyDescent="0.35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H7847" s="1">
        <v>44992</v>
      </c>
    </row>
    <row r="7848" spans="1:8" x14ac:dyDescent="0.35">
      <c r="A7848" t="s">
        <v>7867</v>
      </c>
      <c r="B7848" t="s">
        <v>63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7868</v>
      </c>
      <c r="B7849" t="s">
        <v>23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</row>
    <row r="7851" spans="1:8" x14ac:dyDescent="0.35">
      <c r="A7851" t="s">
        <v>7870</v>
      </c>
      <c r="B7851" t="s">
        <v>63</v>
      </c>
      <c r="C7851">
        <v>2</v>
      </c>
      <c r="D7851">
        <v>1.5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H7852" s="1">
        <v>45198</v>
      </c>
    </row>
    <row r="7853" spans="1:8" x14ac:dyDescent="0.35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</row>
    <row r="7855" spans="1:8" x14ac:dyDescent="0.35">
      <c r="A7855" t="s">
        <v>7874</v>
      </c>
      <c r="C7855">
        <v>3</v>
      </c>
      <c r="D7855">
        <v>3</v>
      </c>
      <c r="E7855">
        <v>9</v>
      </c>
      <c r="F7855" t="s">
        <v>14</v>
      </c>
      <c r="G7855" t="s">
        <v>11</v>
      </c>
    </row>
    <row r="7856" spans="1:8" x14ac:dyDescent="0.35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7876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</row>
    <row r="7858" spans="1:8" x14ac:dyDescent="0.35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7878</v>
      </c>
      <c r="B7859" t="s">
        <v>63</v>
      </c>
      <c r="C7859">
        <v>4</v>
      </c>
      <c r="D7859">
        <v>1.5</v>
      </c>
      <c r="E7859">
        <v>6</v>
      </c>
      <c r="F7859" t="s">
        <v>21</v>
      </c>
      <c r="G7859" t="s">
        <v>11</v>
      </c>
      <c r="H7859" s="1">
        <v>45286</v>
      </c>
    </row>
    <row r="7860" spans="1:8" x14ac:dyDescent="0.35">
      <c r="A7860" t="s">
        <v>7879</v>
      </c>
      <c r="B7860" t="s">
        <v>17</v>
      </c>
      <c r="C7860">
        <v>1</v>
      </c>
      <c r="D7860">
        <v>1</v>
      </c>
      <c r="E7860">
        <v>1</v>
      </c>
    </row>
    <row r="7861" spans="1:8" x14ac:dyDescent="0.35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7882</v>
      </c>
      <c r="B7863" t="s">
        <v>23</v>
      </c>
      <c r="C7863">
        <v>1</v>
      </c>
      <c r="D7863">
        <v>4</v>
      </c>
      <c r="E7863">
        <v>4</v>
      </c>
      <c r="H7863" s="1">
        <v>45135</v>
      </c>
    </row>
    <row r="7864" spans="1:8" x14ac:dyDescent="0.35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7884</v>
      </c>
      <c r="C7865">
        <v>3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7885</v>
      </c>
      <c r="B7866" t="s">
        <v>63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7888</v>
      </c>
      <c r="B7869" t="s">
        <v>26</v>
      </c>
      <c r="C7869">
        <v>3</v>
      </c>
      <c r="D7869">
        <v>4</v>
      </c>
      <c r="E7869">
        <v>12</v>
      </c>
      <c r="G7869" t="s">
        <v>15</v>
      </c>
      <c r="H7869" s="1">
        <v>45280</v>
      </c>
    </row>
    <row r="7870" spans="1:8" x14ac:dyDescent="0.35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7890</v>
      </c>
      <c r="B7871" t="s">
        <v>37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7895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7897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</row>
    <row r="7879" spans="1:8" x14ac:dyDescent="0.35">
      <c r="A7879" t="s">
        <v>7898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</row>
    <row r="7880" spans="1:8" x14ac:dyDescent="0.35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</row>
    <row r="7881" spans="1:8" x14ac:dyDescent="0.35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7902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7906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7908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</row>
    <row r="7891" spans="1:8" x14ac:dyDescent="0.35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H7891" s="1">
        <v>45086</v>
      </c>
    </row>
    <row r="7892" spans="1:8" x14ac:dyDescent="0.35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</row>
    <row r="7893" spans="1:8" x14ac:dyDescent="0.35">
      <c r="A7893" t="s">
        <v>7912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</row>
    <row r="7895" spans="1:8" x14ac:dyDescent="0.35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7915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H7897" s="1">
        <v>45142</v>
      </c>
    </row>
    <row r="7898" spans="1:8" x14ac:dyDescent="0.35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</row>
    <row r="7899" spans="1:8" x14ac:dyDescent="0.35">
      <c r="A7899" t="s">
        <v>7918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7919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</row>
    <row r="7902" spans="1:8" x14ac:dyDescent="0.35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7923</v>
      </c>
      <c r="B7904" t="s">
        <v>19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</row>
    <row r="7906" spans="1:8" x14ac:dyDescent="0.35">
      <c r="A7906" t="s">
        <v>7925</v>
      </c>
      <c r="B7906" t="s">
        <v>37</v>
      </c>
      <c r="C7906">
        <v>1</v>
      </c>
      <c r="D7906">
        <v>3</v>
      </c>
      <c r="E7906">
        <v>3</v>
      </c>
      <c r="F7906" t="s">
        <v>10</v>
      </c>
      <c r="H7906" s="1">
        <v>44982</v>
      </c>
    </row>
    <row r="7907" spans="1:8" x14ac:dyDescent="0.35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H7907" s="1">
        <v>45187</v>
      </c>
    </row>
    <row r="7908" spans="1:8" x14ac:dyDescent="0.35">
      <c r="A7908" t="s">
        <v>7927</v>
      </c>
      <c r="B7908" t="s">
        <v>17</v>
      </c>
      <c r="C7908">
        <v>5</v>
      </c>
      <c r="D7908">
        <v>1</v>
      </c>
      <c r="E7908">
        <v>5</v>
      </c>
      <c r="G7908" t="s">
        <v>11</v>
      </c>
      <c r="H7908" s="1">
        <v>44943</v>
      </c>
    </row>
    <row r="7909" spans="1:8" x14ac:dyDescent="0.35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7929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H7911" s="1">
        <v>45017</v>
      </c>
    </row>
    <row r="7912" spans="1:8" x14ac:dyDescent="0.35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7932</v>
      </c>
      <c r="B7913" t="s">
        <v>63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7934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</row>
    <row r="7917" spans="1:8" x14ac:dyDescent="0.35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</row>
    <row r="7919" spans="1:8" x14ac:dyDescent="0.35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7939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7940</v>
      </c>
      <c r="B7921" t="s">
        <v>63</v>
      </c>
      <c r="C7921">
        <v>5</v>
      </c>
      <c r="D7921">
        <v>1.5</v>
      </c>
      <c r="E7921">
        <v>7.5</v>
      </c>
      <c r="H7921" s="1">
        <v>44941</v>
      </c>
    </row>
    <row r="7922" spans="1:8" x14ac:dyDescent="0.35">
      <c r="A7922" t="s">
        <v>7941</v>
      </c>
      <c r="B7922" t="s">
        <v>26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7942</v>
      </c>
      <c r="B7923" t="s">
        <v>19</v>
      </c>
      <c r="C7923">
        <v>2</v>
      </c>
      <c r="D7923">
        <v>5</v>
      </c>
      <c r="E7923">
        <v>10</v>
      </c>
      <c r="F7923" t="s">
        <v>21</v>
      </c>
      <c r="H7923" s="1">
        <v>45219</v>
      </c>
    </row>
    <row r="7924" spans="1:8" x14ac:dyDescent="0.35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7944</v>
      </c>
      <c r="B7925" t="s">
        <v>19</v>
      </c>
      <c r="C7925">
        <v>4</v>
      </c>
      <c r="D7925">
        <v>5</v>
      </c>
      <c r="E7925">
        <v>20</v>
      </c>
    </row>
    <row r="7926" spans="1:8" x14ac:dyDescent="0.35">
      <c r="A7926" t="s">
        <v>7945</v>
      </c>
      <c r="B7926" t="s">
        <v>23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7946</v>
      </c>
      <c r="B7927" t="s">
        <v>19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H7928" s="1">
        <v>45057</v>
      </c>
    </row>
    <row r="7929" spans="1:8" x14ac:dyDescent="0.35">
      <c r="A7929" t="s">
        <v>7948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7949</v>
      </c>
      <c r="B7930" t="s">
        <v>19</v>
      </c>
      <c r="C7930">
        <v>4</v>
      </c>
      <c r="D7930">
        <v>5</v>
      </c>
      <c r="E7930">
        <v>20</v>
      </c>
      <c r="G7930" t="s">
        <v>11</v>
      </c>
      <c r="H7930" s="1">
        <v>45254</v>
      </c>
    </row>
    <row r="7931" spans="1:8" x14ac:dyDescent="0.35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</row>
    <row r="7933" spans="1:8" x14ac:dyDescent="0.35">
      <c r="A7933" t="s">
        <v>7952</v>
      </c>
      <c r="B7933" t="s">
        <v>9</v>
      </c>
      <c r="C7933">
        <v>1</v>
      </c>
      <c r="D7933">
        <v>2</v>
      </c>
      <c r="E7933">
        <v>2</v>
      </c>
      <c r="G7933" t="s">
        <v>11</v>
      </c>
      <c r="H7933" s="1">
        <v>45108</v>
      </c>
    </row>
    <row r="7934" spans="1:8" x14ac:dyDescent="0.35">
      <c r="A7934" t="s">
        <v>7953</v>
      </c>
      <c r="B7934" t="s">
        <v>19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</row>
    <row r="7936" spans="1:8" x14ac:dyDescent="0.35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</row>
    <row r="7937" spans="1:8" x14ac:dyDescent="0.35">
      <c r="A7937" t="s">
        <v>7956</v>
      </c>
      <c r="B7937" t="s">
        <v>23</v>
      </c>
      <c r="C7937">
        <v>4</v>
      </c>
      <c r="D7937">
        <v>4</v>
      </c>
      <c r="E7937">
        <v>16</v>
      </c>
      <c r="H7937" s="1">
        <v>45100</v>
      </c>
    </row>
    <row r="7938" spans="1:8" x14ac:dyDescent="0.35">
      <c r="A7938" t="s">
        <v>7957</v>
      </c>
      <c r="B7938" t="s">
        <v>23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</row>
    <row r="7941" spans="1:8" x14ac:dyDescent="0.35">
      <c r="A7941" t="s">
        <v>7960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7961</v>
      </c>
      <c r="B7942" t="s">
        <v>37</v>
      </c>
      <c r="C7942">
        <v>2</v>
      </c>
      <c r="D7942">
        <v>3</v>
      </c>
      <c r="E7942">
        <v>6</v>
      </c>
      <c r="G7942" t="s">
        <v>11</v>
      </c>
      <c r="H7942" s="1">
        <v>45264</v>
      </c>
    </row>
    <row r="7943" spans="1:8" x14ac:dyDescent="0.35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7964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7966</v>
      </c>
      <c r="B7947" t="s">
        <v>23</v>
      </c>
      <c r="C7947">
        <v>2</v>
      </c>
      <c r="D7947">
        <v>4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7967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7968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7969</v>
      </c>
      <c r="B7950" t="s">
        <v>9</v>
      </c>
      <c r="C7950">
        <v>1</v>
      </c>
      <c r="D7950">
        <v>2</v>
      </c>
      <c r="E7950">
        <v>2</v>
      </c>
      <c r="H7950" s="1">
        <v>45012</v>
      </c>
    </row>
    <row r="7951" spans="1:8" x14ac:dyDescent="0.35">
      <c r="A7951" t="s">
        <v>7970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7971</v>
      </c>
      <c r="B7952" t="s">
        <v>63</v>
      </c>
      <c r="C7952">
        <v>2</v>
      </c>
      <c r="D7952">
        <v>1.5</v>
      </c>
      <c r="E7952">
        <v>3</v>
      </c>
      <c r="H7952" s="1">
        <v>45154</v>
      </c>
    </row>
    <row r="7953" spans="1:8" x14ac:dyDescent="0.35">
      <c r="A7953" t="s">
        <v>7972</v>
      </c>
      <c r="C7953">
        <v>3</v>
      </c>
      <c r="D7953">
        <v>4</v>
      </c>
      <c r="E7953">
        <v>12</v>
      </c>
      <c r="F7953" t="s">
        <v>21</v>
      </c>
      <c r="H7953" s="1">
        <v>45173</v>
      </c>
    </row>
    <row r="7954" spans="1:8" x14ac:dyDescent="0.35">
      <c r="A7954" t="s">
        <v>7973</v>
      </c>
      <c r="B7954" t="s">
        <v>63</v>
      </c>
      <c r="C7954">
        <v>5</v>
      </c>
      <c r="D7954">
        <v>1.5</v>
      </c>
      <c r="E7954">
        <v>7.5</v>
      </c>
      <c r="H7954" s="1">
        <v>45000</v>
      </c>
    </row>
    <row r="7955" spans="1:8" x14ac:dyDescent="0.35">
      <c r="A7955" t="s">
        <v>7974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7975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H7958" s="1">
        <v>45051</v>
      </c>
    </row>
    <row r="7959" spans="1:8" x14ac:dyDescent="0.35">
      <c r="A7959" t="s">
        <v>7978</v>
      </c>
      <c r="B7959" t="s">
        <v>19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7982</v>
      </c>
      <c r="B7963" t="s">
        <v>26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7983</v>
      </c>
      <c r="B7964" t="s">
        <v>37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7985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7987</v>
      </c>
      <c r="B7968" t="s">
        <v>26</v>
      </c>
      <c r="C7968">
        <v>4</v>
      </c>
      <c r="D7968">
        <v>4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7988</v>
      </c>
      <c r="B7969" t="s">
        <v>9</v>
      </c>
      <c r="C7969">
        <v>5</v>
      </c>
      <c r="D7969">
        <v>2</v>
      </c>
      <c r="E7969">
        <v>10</v>
      </c>
      <c r="H7969" s="1">
        <v>45045</v>
      </c>
    </row>
    <row r="7970" spans="1:8" x14ac:dyDescent="0.35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H7972" s="1">
        <v>45233</v>
      </c>
    </row>
    <row r="7973" spans="1:8" x14ac:dyDescent="0.35">
      <c r="A7973" t="s">
        <v>7992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7993</v>
      </c>
      <c r="B7974" t="s">
        <v>37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7994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7995</v>
      </c>
      <c r="B7976" t="s">
        <v>26</v>
      </c>
      <c r="C7976">
        <v>3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H7978" s="1">
        <v>45265</v>
      </c>
    </row>
    <row r="7979" spans="1:8" x14ac:dyDescent="0.35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7999</v>
      </c>
      <c r="B7980" t="s">
        <v>26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8000</v>
      </c>
      <c r="B7981" t="s">
        <v>19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8002</v>
      </c>
      <c r="B7983" t="s">
        <v>23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8003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H7987" s="1">
        <v>45011</v>
      </c>
    </row>
    <row r="7988" spans="1:8" x14ac:dyDescent="0.35">
      <c r="A7988" t="s">
        <v>8007</v>
      </c>
      <c r="B7988" t="s">
        <v>37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8008</v>
      </c>
      <c r="B7989" t="s">
        <v>37</v>
      </c>
      <c r="C7989">
        <v>4</v>
      </c>
      <c r="D7989">
        <v>3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8009</v>
      </c>
      <c r="B7990" t="s">
        <v>63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8011</v>
      </c>
      <c r="B7992" t="s">
        <v>17</v>
      </c>
      <c r="C7992">
        <v>3</v>
      </c>
      <c r="D7992">
        <v>1</v>
      </c>
      <c r="E7992">
        <v>3</v>
      </c>
      <c r="G7992" t="s">
        <v>11</v>
      </c>
      <c r="H7992" s="1">
        <v>45078</v>
      </c>
    </row>
    <row r="7993" spans="1:8" x14ac:dyDescent="0.35">
      <c r="A7993" t="s">
        <v>8012</v>
      </c>
      <c r="B7993" t="s">
        <v>19</v>
      </c>
      <c r="C7993">
        <v>2</v>
      </c>
      <c r="D7993">
        <v>5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8014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H7997" s="1">
        <v>45101</v>
      </c>
    </row>
    <row r="7998" spans="1:8" x14ac:dyDescent="0.35">
      <c r="A7998" t="s">
        <v>8017</v>
      </c>
      <c r="B7998" t="s">
        <v>37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8018</v>
      </c>
      <c r="B7999" t="s">
        <v>37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8019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8022</v>
      </c>
      <c r="B8003" t="s">
        <v>63</v>
      </c>
      <c r="C8003">
        <v>5</v>
      </c>
      <c r="D8003">
        <v>1.5</v>
      </c>
      <c r="E8003">
        <v>7.5</v>
      </c>
      <c r="H8003" s="1">
        <v>44963</v>
      </c>
    </row>
    <row r="8004" spans="1:8" x14ac:dyDescent="0.35">
      <c r="A8004" t="s">
        <v>8023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8024</v>
      </c>
      <c r="B8005" t="s">
        <v>13</v>
      </c>
      <c r="C8005">
        <v>4</v>
      </c>
      <c r="D8005">
        <v>3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8025</v>
      </c>
      <c r="B8006" t="s">
        <v>13</v>
      </c>
      <c r="C8006">
        <v>3</v>
      </c>
      <c r="D8006">
        <v>3</v>
      </c>
      <c r="E8006">
        <v>9</v>
      </c>
      <c r="H8006" s="1">
        <v>45101</v>
      </c>
    </row>
    <row r="8007" spans="1:8" x14ac:dyDescent="0.35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</row>
    <row r="8008" spans="1:8" x14ac:dyDescent="0.35">
      <c r="A8008" t="s">
        <v>8027</v>
      </c>
      <c r="B8008" t="s">
        <v>23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8028</v>
      </c>
      <c r="B8009" t="s">
        <v>17</v>
      </c>
      <c r="C8009">
        <v>1</v>
      </c>
      <c r="D8009">
        <v>1</v>
      </c>
      <c r="E8009">
        <v>1</v>
      </c>
      <c r="G8009" t="s">
        <v>15</v>
      </c>
      <c r="H8009" s="1">
        <v>44959</v>
      </c>
    </row>
    <row r="8010" spans="1:8" x14ac:dyDescent="0.35">
      <c r="A8010" t="s">
        <v>8029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8031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8032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8035</v>
      </c>
      <c r="B8016" t="s">
        <v>17</v>
      </c>
      <c r="C8016">
        <v>2</v>
      </c>
      <c r="D8016">
        <v>1</v>
      </c>
      <c r="E8016">
        <v>2</v>
      </c>
      <c r="F8016" t="s">
        <v>21</v>
      </c>
      <c r="H8016" s="1">
        <v>45228</v>
      </c>
    </row>
    <row r="8017" spans="1:8" x14ac:dyDescent="0.35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</row>
    <row r="8018" spans="1:8" x14ac:dyDescent="0.35">
      <c r="A8018" t="s">
        <v>8037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8038</v>
      </c>
      <c r="B8019" t="s">
        <v>19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H8020" s="1">
        <v>45289</v>
      </c>
    </row>
    <row r="8021" spans="1:8" x14ac:dyDescent="0.35">
      <c r="A8021" t="s">
        <v>8040</v>
      </c>
      <c r="B8021" t="s">
        <v>63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</row>
    <row r="8023" spans="1:8" x14ac:dyDescent="0.35">
      <c r="A8023" t="s">
        <v>8042</v>
      </c>
      <c r="B8023" t="s">
        <v>19</v>
      </c>
      <c r="D8023">
        <v>5</v>
      </c>
      <c r="G8023" t="s">
        <v>15</v>
      </c>
      <c r="H8023" s="1">
        <v>45055</v>
      </c>
    </row>
    <row r="8024" spans="1:8" x14ac:dyDescent="0.35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8045</v>
      </c>
      <c r="B8026" t="s">
        <v>26</v>
      </c>
      <c r="C8026">
        <v>4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</row>
    <row r="8028" spans="1:8" x14ac:dyDescent="0.35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</row>
    <row r="8029" spans="1:8" x14ac:dyDescent="0.35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</row>
    <row r="8030" spans="1:8" x14ac:dyDescent="0.35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H8030" s="1">
        <v>45135</v>
      </c>
    </row>
    <row r="8031" spans="1:8" x14ac:dyDescent="0.35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H8031" s="1">
        <v>45214</v>
      </c>
    </row>
    <row r="8032" spans="1:8" x14ac:dyDescent="0.35">
      <c r="A8032" t="s">
        <v>8051</v>
      </c>
      <c r="B8032" t="s">
        <v>37</v>
      </c>
      <c r="C8032">
        <v>4</v>
      </c>
      <c r="D8032">
        <v>3</v>
      </c>
      <c r="E8032">
        <v>12</v>
      </c>
      <c r="H8032" s="1">
        <v>45155</v>
      </c>
    </row>
    <row r="8033" spans="1:8" x14ac:dyDescent="0.35">
      <c r="A8033" t="s">
        <v>8052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8053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8054</v>
      </c>
      <c r="B8035" t="s">
        <v>23</v>
      </c>
      <c r="C8035">
        <v>2</v>
      </c>
      <c r="D8035">
        <v>4</v>
      </c>
      <c r="E8035">
        <v>8</v>
      </c>
      <c r="F8035" t="s">
        <v>21</v>
      </c>
      <c r="H8035" s="1">
        <v>45191</v>
      </c>
    </row>
    <row r="8036" spans="1:8" x14ac:dyDescent="0.35">
      <c r="A8036" t="s">
        <v>8055</v>
      </c>
      <c r="B8036" t="s">
        <v>63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</row>
    <row r="8040" spans="1:8" x14ac:dyDescent="0.35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H8040" s="1">
        <v>45049</v>
      </c>
    </row>
    <row r="8041" spans="1:8" x14ac:dyDescent="0.35">
      <c r="A8041" t="s">
        <v>8060</v>
      </c>
      <c r="B8041" t="s">
        <v>9</v>
      </c>
      <c r="C8041">
        <v>1</v>
      </c>
      <c r="D8041">
        <v>2</v>
      </c>
      <c r="E8041">
        <v>2</v>
      </c>
      <c r="G8041" t="s">
        <v>11</v>
      </c>
    </row>
    <row r="8042" spans="1:8" x14ac:dyDescent="0.35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8062</v>
      </c>
      <c r="B8043" t="s">
        <v>23</v>
      </c>
      <c r="C8043">
        <v>1</v>
      </c>
      <c r="D8043">
        <v>4</v>
      </c>
      <c r="E8043">
        <v>4</v>
      </c>
      <c r="H8043" s="1">
        <v>45264</v>
      </c>
    </row>
    <row r="8044" spans="1:8" x14ac:dyDescent="0.35">
      <c r="A8044" t="s">
        <v>8063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8064</v>
      </c>
      <c r="B8045" t="s">
        <v>26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8066</v>
      </c>
      <c r="B8047" t="s">
        <v>63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8067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8070</v>
      </c>
      <c r="B8051" t="s">
        <v>13</v>
      </c>
      <c r="C8051">
        <v>3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</row>
    <row r="8052" spans="1:8" x14ac:dyDescent="0.35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H8055" s="1">
        <v>45030</v>
      </c>
    </row>
    <row r="8056" spans="1:8" x14ac:dyDescent="0.35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</row>
    <row r="8058" spans="1:8" x14ac:dyDescent="0.35">
      <c r="A8058" t="s">
        <v>8077</v>
      </c>
      <c r="B8058" t="s">
        <v>37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H8059" s="1">
        <v>45135</v>
      </c>
    </row>
    <row r="8060" spans="1:8" x14ac:dyDescent="0.35">
      <c r="A8060" t="s">
        <v>8079</v>
      </c>
      <c r="B8060" t="s">
        <v>37</v>
      </c>
      <c r="C8060">
        <v>1</v>
      </c>
      <c r="D8060">
        <v>3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8080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8081</v>
      </c>
      <c r="B8062" t="s">
        <v>23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8083</v>
      </c>
      <c r="B8064" t="s">
        <v>19</v>
      </c>
      <c r="C8064">
        <v>3</v>
      </c>
      <c r="D8064">
        <v>5</v>
      </c>
      <c r="E8064">
        <v>15</v>
      </c>
      <c r="G8064" t="s">
        <v>11</v>
      </c>
      <c r="H8064" s="1">
        <v>44972</v>
      </c>
    </row>
    <row r="8065" spans="1:8" x14ac:dyDescent="0.35">
      <c r="A8065" t="s">
        <v>8084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</row>
    <row r="8067" spans="1:8" x14ac:dyDescent="0.35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8087</v>
      </c>
      <c r="B8068" t="s">
        <v>26</v>
      </c>
      <c r="C8068">
        <v>4</v>
      </c>
      <c r="D8068">
        <v>4</v>
      </c>
      <c r="E8068">
        <v>16</v>
      </c>
      <c r="G8068" t="s">
        <v>15</v>
      </c>
      <c r="H8068" s="1">
        <v>45013</v>
      </c>
    </row>
    <row r="8069" spans="1:8" x14ac:dyDescent="0.35">
      <c r="A8069" t="s">
        <v>8088</v>
      </c>
      <c r="B8069" t="s">
        <v>13</v>
      </c>
      <c r="C8069">
        <v>1</v>
      </c>
      <c r="D8069">
        <v>3</v>
      </c>
      <c r="E8069">
        <v>3</v>
      </c>
      <c r="H8069" s="1">
        <v>45186</v>
      </c>
    </row>
    <row r="8070" spans="1:8" x14ac:dyDescent="0.35">
      <c r="A8070" t="s">
        <v>8089</v>
      </c>
      <c r="C8070">
        <v>3</v>
      </c>
      <c r="D8070">
        <v>5</v>
      </c>
      <c r="E8070">
        <v>15</v>
      </c>
      <c r="F8070" t="s">
        <v>21</v>
      </c>
    </row>
    <row r="8071" spans="1:8" x14ac:dyDescent="0.35">
      <c r="A8071" t="s">
        <v>8090</v>
      </c>
      <c r="B8071" t="s">
        <v>26</v>
      </c>
      <c r="C8071">
        <v>2</v>
      </c>
      <c r="D8071">
        <v>4</v>
      </c>
      <c r="E8071">
        <v>8</v>
      </c>
      <c r="H8071" s="1">
        <v>44976</v>
      </c>
    </row>
    <row r="8072" spans="1:8" x14ac:dyDescent="0.35">
      <c r="A8072" t="s">
        <v>8091</v>
      </c>
      <c r="B8072" t="s">
        <v>17</v>
      </c>
      <c r="C8072">
        <v>4</v>
      </c>
      <c r="D8072">
        <v>1</v>
      </c>
      <c r="E8072">
        <v>4</v>
      </c>
      <c r="H8072" s="1">
        <v>44930</v>
      </c>
    </row>
    <row r="8073" spans="1:8" x14ac:dyDescent="0.35">
      <c r="A8073" t="s">
        <v>8092</v>
      </c>
      <c r="B8073" t="s">
        <v>13</v>
      </c>
      <c r="C8073">
        <v>5</v>
      </c>
      <c r="D8073">
        <v>3</v>
      </c>
      <c r="E8073">
        <v>15</v>
      </c>
      <c r="F8073" t="s">
        <v>21</v>
      </c>
      <c r="G8073" t="s">
        <v>11</v>
      </c>
      <c r="H8073" s="1">
        <v>45080</v>
      </c>
    </row>
    <row r="8074" spans="1:8" x14ac:dyDescent="0.35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</row>
    <row r="8078" spans="1:8" x14ac:dyDescent="0.35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H8078" s="1">
        <v>45277</v>
      </c>
    </row>
    <row r="8079" spans="1:8" x14ac:dyDescent="0.35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8099</v>
      </c>
      <c r="B8080" t="s">
        <v>9</v>
      </c>
      <c r="C8080">
        <v>2</v>
      </c>
      <c r="D8080">
        <v>2</v>
      </c>
      <c r="E8080">
        <v>4</v>
      </c>
      <c r="F8080" t="s">
        <v>21</v>
      </c>
      <c r="G8080" t="s">
        <v>11</v>
      </c>
      <c r="H8080" s="1">
        <v>45009</v>
      </c>
    </row>
    <row r="8081" spans="1:8" x14ac:dyDescent="0.35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H8082" s="1">
        <v>45263</v>
      </c>
    </row>
    <row r="8083" spans="1:8" x14ac:dyDescent="0.35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H8083" s="1">
        <v>45020</v>
      </c>
    </row>
    <row r="8084" spans="1:8" x14ac:dyDescent="0.35">
      <c r="A8084" t="s">
        <v>8103</v>
      </c>
      <c r="B8084" t="s">
        <v>37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8105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</row>
    <row r="8088" spans="1:8" x14ac:dyDescent="0.35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8108</v>
      </c>
      <c r="B8089" t="s">
        <v>23</v>
      </c>
      <c r="C8089">
        <v>4</v>
      </c>
      <c r="D8089">
        <v>4</v>
      </c>
      <c r="E8089">
        <v>16</v>
      </c>
      <c r="G8089" t="s">
        <v>15</v>
      </c>
      <c r="H8089" s="1">
        <v>45250</v>
      </c>
    </row>
    <row r="8090" spans="1:8" x14ac:dyDescent="0.35">
      <c r="A8090" t="s">
        <v>8109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8110</v>
      </c>
      <c r="C8091">
        <v>3</v>
      </c>
      <c r="D8091">
        <v>2</v>
      </c>
      <c r="E8091">
        <v>6</v>
      </c>
      <c r="F8091" t="s">
        <v>21</v>
      </c>
      <c r="H8091" s="1">
        <v>45219</v>
      </c>
    </row>
    <row r="8092" spans="1:8" x14ac:dyDescent="0.35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8112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8113</v>
      </c>
      <c r="B8094" t="s">
        <v>9</v>
      </c>
      <c r="C8094">
        <v>1</v>
      </c>
      <c r="D8094">
        <v>2</v>
      </c>
      <c r="E8094">
        <v>2</v>
      </c>
      <c r="G8094" t="s">
        <v>11</v>
      </c>
      <c r="H8094" s="1">
        <v>44979</v>
      </c>
    </row>
    <row r="8095" spans="1:8" x14ac:dyDescent="0.35">
      <c r="A8095" t="s">
        <v>8114</v>
      </c>
      <c r="B8095" t="s">
        <v>37</v>
      </c>
      <c r="C8095">
        <v>5</v>
      </c>
      <c r="D8095">
        <v>3</v>
      </c>
      <c r="E8095">
        <v>15</v>
      </c>
      <c r="G8095" t="s">
        <v>11</v>
      </c>
      <c r="H8095" s="1">
        <v>45025</v>
      </c>
    </row>
    <row r="8096" spans="1:8" x14ac:dyDescent="0.35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</row>
    <row r="8098" spans="1:8" x14ac:dyDescent="0.35">
      <c r="A8098" t="s">
        <v>8117</v>
      </c>
      <c r="C8098">
        <v>4</v>
      </c>
      <c r="D8098">
        <v>2</v>
      </c>
      <c r="E8098">
        <v>8</v>
      </c>
      <c r="F8098" t="s">
        <v>21</v>
      </c>
      <c r="G8098" t="s">
        <v>11</v>
      </c>
    </row>
    <row r="8099" spans="1:8" x14ac:dyDescent="0.35">
      <c r="A8099" t="s">
        <v>8118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8119</v>
      </c>
      <c r="B8100" t="s">
        <v>63</v>
      </c>
      <c r="C8100">
        <v>5</v>
      </c>
      <c r="D8100">
        <v>1.5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8121</v>
      </c>
      <c r="B8102" t="s">
        <v>19</v>
      </c>
      <c r="C8102">
        <v>2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</row>
    <row r="8103" spans="1:8" x14ac:dyDescent="0.35">
      <c r="A8103" t="s">
        <v>8122</v>
      </c>
      <c r="C8103">
        <v>3</v>
      </c>
      <c r="D8103">
        <v>5</v>
      </c>
      <c r="E8103">
        <v>15</v>
      </c>
      <c r="F8103" t="s">
        <v>10</v>
      </c>
    </row>
    <row r="8104" spans="1:8" x14ac:dyDescent="0.35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8125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8126</v>
      </c>
      <c r="B8107" t="s">
        <v>19</v>
      </c>
      <c r="C8107">
        <v>1</v>
      </c>
      <c r="D8107">
        <v>5</v>
      </c>
      <c r="E8107">
        <v>5</v>
      </c>
      <c r="G8107" t="s">
        <v>15</v>
      </c>
      <c r="H8107" s="1">
        <v>44931</v>
      </c>
    </row>
    <row r="8108" spans="1:8" x14ac:dyDescent="0.35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</row>
    <row r="8110" spans="1:8" x14ac:dyDescent="0.35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H8111" s="1">
        <v>45269</v>
      </c>
    </row>
    <row r="8112" spans="1:8" x14ac:dyDescent="0.35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H8113" s="1">
        <v>45204</v>
      </c>
    </row>
    <row r="8114" spans="1:8" x14ac:dyDescent="0.35">
      <c r="A8114" t="s">
        <v>8133</v>
      </c>
      <c r="B8114" t="s">
        <v>19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H8115" s="1">
        <v>45102</v>
      </c>
    </row>
    <row r="8116" spans="1:8" x14ac:dyDescent="0.35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</row>
    <row r="8117" spans="1:8" x14ac:dyDescent="0.35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8137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8138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8139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H8122" s="1">
        <v>45248</v>
      </c>
    </row>
    <row r="8123" spans="1:8" x14ac:dyDescent="0.35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H8123" s="1">
        <v>45036</v>
      </c>
    </row>
    <row r="8124" spans="1:8" x14ac:dyDescent="0.35">
      <c r="A8124" t="s">
        <v>8143</v>
      </c>
      <c r="B8124" t="s">
        <v>17</v>
      </c>
      <c r="C8124">
        <v>4</v>
      </c>
      <c r="D8124">
        <v>1</v>
      </c>
      <c r="E8124">
        <v>4</v>
      </c>
      <c r="F8124" t="s">
        <v>21</v>
      </c>
      <c r="H8124" s="1">
        <v>45277</v>
      </c>
    </row>
    <row r="8125" spans="1:8" x14ac:dyDescent="0.35">
      <c r="A8125" t="s">
        <v>8144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</row>
    <row r="8128" spans="1:8" x14ac:dyDescent="0.35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8149</v>
      </c>
      <c r="B8130" t="s">
        <v>23</v>
      </c>
      <c r="C8130">
        <v>3</v>
      </c>
      <c r="D8130">
        <v>4</v>
      </c>
      <c r="E8130">
        <v>12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8150</v>
      </c>
      <c r="C8131">
        <v>3</v>
      </c>
      <c r="D8131">
        <v>5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8151</v>
      </c>
      <c r="B8132" t="s">
        <v>26</v>
      </c>
      <c r="C8132">
        <v>3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</row>
    <row r="8133" spans="1:8" x14ac:dyDescent="0.35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H8133" s="1">
        <v>45195</v>
      </c>
    </row>
    <row r="8134" spans="1:8" x14ac:dyDescent="0.35">
      <c r="A8134" t="s">
        <v>8153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8154</v>
      </c>
      <c r="B8135" t="s">
        <v>37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8155</v>
      </c>
      <c r="C8136">
        <v>3</v>
      </c>
      <c r="D8136">
        <v>3</v>
      </c>
      <c r="E8136">
        <v>9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</row>
    <row r="8138" spans="1:8" x14ac:dyDescent="0.35">
      <c r="A8138" t="s">
        <v>8157</v>
      </c>
      <c r="B8138" t="s">
        <v>23</v>
      </c>
      <c r="C8138">
        <v>2</v>
      </c>
      <c r="D8138">
        <v>4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8158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H8140" s="1">
        <v>45024</v>
      </c>
    </row>
    <row r="8141" spans="1:8" x14ac:dyDescent="0.35">
      <c r="A8141" t="s">
        <v>8160</v>
      </c>
      <c r="B8141" t="s">
        <v>13</v>
      </c>
      <c r="C8141">
        <v>4</v>
      </c>
      <c r="D8141">
        <v>3</v>
      </c>
      <c r="E8141">
        <v>12</v>
      </c>
      <c r="G8141" t="s">
        <v>11</v>
      </c>
      <c r="H8141" s="1">
        <v>45209</v>
      </c>
    </row>
    <row r="8142" spans="1:8" x14ac:dyDescent="0.35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</row>
    <row r="8143" spans="1:8" x14ac:dyDescent="0.35">
      <c r="A8143" t="s">
        <v>8162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</row>
    <row r="8144" spans="1:8" x14ac:dyDescent="0.35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H8146" s="1">
        <v>45027</v>
      </c>
    </row>
    <row r="8147" spans="1:8" x14ac:dyDescent="0.35">
      <c r="A8147" t="s">
        <v>8166</v>
      </c>
      <c r="B8147" t="s">
        <v>19</v>
      </c>
      <c r="C8147">
        <v>5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8167</v>
      </c>
      <c r="B8148" t="s">
        <v>23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</row>
    <row r="8150" spans="1:8" x14ac:dyDescent="0.35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</row>
    <row r="8155" spans="1:8" x14ac:dyDescent="0.35">
      <c r="A8155" t="s">
        <v>8174</v>
      </c>
      <c r="B8155" t="s">
        <v>26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</row>
    <row r="8157" spans="1:8" x14ac:dyDescent="0.35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8177</v>
      </c>
      <c r="B8158" t="s">
        <v>63</v>
      </c>
      <c r="C8158">
        <v>5</v>
      </c>
      <c r="D8158">
        <v>1.5</v>
      </c>
      <c r="E8158">
        <v>7.5</v>
      </c>
      <c r="G8158" t="s">
        <v>15</v>
      </c>
      <c r="H8158" s="1">
        <v>45220</v>
      </c>
    </row>
    <row r="8159" spans="1:8" x14ac:dyDescent="0.35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</row>
    <row r="8160" spans="1:8" x14ac:dyDescent="0.35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</row>
    <row r="8161" spans="1:8" x14ac:dyDescent="0.35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H8161" s="1">
        <v>45008</v>
      </c>
    </row>
    <row r="8162" spans="1:8" x14ac:dyDescent="0.35">
      <c r="A8162" t="s">
        <v>8181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8182</v>
      </c>
      <c r="B8163" t="s">
        <v>17</v>
      </c>
      <c r="C8163">
        <v>4</v>
      </c>
      <c r="D8163">
        <v>1</v>
      </c>
      <c r="E8163">
        <v>4</v>
      </c>
      <c r="G8163" t="s">
        <v>15</v>
      </c>
    </row>
    <row r="8164" spans="1:8" x14ac:dyDescent="0.35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H8165" s="1">
        <v>45082</v>
      </c>
    </row>
    <row r="8166" spans="1:8" x14ac:dyDescent="0.35">
      <c r="A8166" t="s">
        <v>8185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</row>
    <row r="8168" spans="1:8" x14ac:dyDescent="0.35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H8168" s="1">
        <v>45144</v>
      </c>
    </row>
    <row r="8169" spans="1:8" x14ac:dyDescent="0.35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H8170" s="1">
        <v>44937</v>
      </c>
    </row>
    <row r="8171" spans="1:8" x14ac:dyDescent="0.35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</row>
    <row r="8173" spans="1:8" x14ac:dyDescent="0.35">
      <c r="A8173" t="s">
        <v>8192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</row>
    <row r="8175" spans="1:8" x14ac:dyDescent="0.35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H8176" s="1">
        <v>45134</v>
      </c>
    </row>
    <row r="8177" spans="1:8" x14ac:dyDescent="0.35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</row>
    <row r="8179" spans="1:8" x14ac:dyDescent="0.35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8201</v>
      </c>
      <c r="C8182">
        <v>1</v>
      </c>
      <c r="D8182">
        <v>5</v>
      </c>
      <c r="E8182">
        <v>5</v>
      </c>
      <c r="F8182" t="s">
        <v>14</v>
      </c>
      <c r="H8182" s="1">
        <v>45061</v>
      </c>
    </row>
    <row r="8183" spans="1:8" x14ac:dyDescent="0.35">
      <c r="A8183" t="s">
        <v>8202</v>
      </c>
      <c r="B8183" t="s">
        <v>23</v>
      </c>
      <c r="C8183">
        <v>3</v>
      </c>
      <c r="D8183">
        <v>4</v>
      </c>
      <c r="E8183">
        <v>12</v>
      </c>
    </row>
    <row r="8184" spans="1:8" x14ac:dyDescent="0.35">
      <c r="A8184" t="s">
        <v>8203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8206</v>
      </c>
      <c r="B8187" t="s">
        <v>37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8209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8211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8213</v>
      </c>
      <c r="B8194" t="s">
        <v>37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8214</v>
      </c>
      <c r="B8195" t="s">
        <v>23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8216</v>
      </c>
      <c r="B8197" t="s">
        <v>19</v>
      </c>
      <c r="C8197">
        <v>1</v>
      </c>
      <c r="D8197">
        <v>5</v>
      </c>
      <c r="E8197">
        <v>5</v>
      </c>
      <c r="H8197" s="1">
        <v>45149</v>
      </c>
    </row>
    <row r="8198" spans="1:8" x14ac:dyDescent="0.35">
      <c r="A8198" t="s">
        <v>8217</v>
      </c>
      <c r="B8198" t="s">
        <v>19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H8199" s="1">
        <v>45253</v>
      </c>
    </row>
    <row r="8200" spans="1:8" x14ac:dyDescent="0.35">
      <c r="A8200" t="s">
        <v>8219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H8201" s="1">
        <v>45103</v>
      </c>
    </row>
    <row r="8202" spans="1:8" x14ac:dyDescent="0.35">
      <c r="A8202" t="s">
        <v>8221</v>
      </c>
      <c r="B8202" t="s">
        <v>63</v>
      </c>
      <c r="C8202">
        <v>5</v>
      </c>
      <c r="D8202">
        <v>1.5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H8203" s="1">
        <v>45024</v>
      </c>
    </row>
    <row r="8204" spans="1:8" x14ac:dyDescent="0.35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8224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</row>
    <row r="8207" spans="1:8" x14ac:dyDescent="0.35">
      <c r="A8207" t="s">
        <v>8226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H8208" s="1">
        <v>45261</v>
      </c>
    </row>
    <row r="8209" spans="1:8" x14ac:dyDescent="0.35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8229</v>
      </c>
      <c r="B8210" t="s">
        <v>23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H8211" s="1">
        <v>45252</v>
      </c>
    </row>
    <row r="8212" spans="1:8" x14ac:dyDescent="0.35">
      <c r="A8212" t="s">
        <v>8231</v>
      </c>
      <c r="C8212">
        <v>1</v>
      </c>
      <c r="D8212">
        <v>2</v>
      </c>
      <c r="E8212">
        <v>2</v>
      </c>
      <c r="F8212" t="s">
        <v>10</v>
      </c>
      <c r="H8212" s="1">
        <v>45061</v>
      </c>
    </row>
    <row r="8213" spans="1:8" x14ac:dyDescent="0.35">
      <c r="A8213" t="s">
        <v>8232</v>
      </c>
      <c r="B8213" t="s">
        <v>37</v>
      </c>
      <c r="C8213">
        <v>5</v>
      </c>
      <c r="D8213">
        <v>3</v>
      </c>
      <c r="E8213">
        <v>15</v>
      </c>
      <c r="F8213" t="s">
        <v>14</v>
      </c>
      <c r="H8213" s="1">
        <v>45276</v>
      </c>
    </row>
    <row r="8214" spans="1:8" x14ac:dyDescent="0.35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H8214" s="1">
        <v>45268</v>
      </c>
    </row>
    <row r="8215" spans="1:8" x14ac:dyDescent="0.35">
      <c r="A8215" t="s">
        <v>8234</v>
      </c>
      <c r="B8215" t="s">
        <v>63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8235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8236</v>
      </c>
      <c r="C8217">
        <v>1</v>
      </c>
      <c r="D8217">
        <v>5</v>
      </c>
      <c r="E8217">
        <v>5</v>
      </c>
      <c r="F8217" t="s">
        <v>14</v>
      </c>
      <c r="H8217" s="1">
        <v>44993</v>
      </c>
    </row>
    <row r="8218" spans="1:8" x14ac:dyDescent="0.35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8239</v>
      </c>
      <c r="B8220" t="s">
        <v>23</v>
      </c>
      <c r="C8220">
        <v>1</v>
      </c>
      <c r="D8220">
        <v>4</v>
      </c>
      <c r="E8220">
        <v>4</v>
      </c>
    </row>
    <row r="8221" spans="1:8" x14ac:dyDescent="0.35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</row>
    <row r="8222" spans="1:8" x14ac:dyDescent="0.35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</row>
    <row r="8223" spans="1:8" x14ac:dyDescent="0.35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</row>
    <row r="8224" spans="1:8" x14ac:dyDescent="0.35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H8227" s="1">
        <v>45208</v>
      </c>
    </row>
    <row r="8228" spans="1:8" x14ac:dyDescent="0.35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8249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8250</v>
      </c>
      <c r="B8231" t="s">
        <v>17</v>
      </c>
      <c r="C8231">
        <v>4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8251</v>
      </c>
      <c r="B8232" t="s">
        <v>37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8255</v>
      </c>
      <c r="C8236">
        <v>3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8257</v>
      </c>
      <c r="B8238" t="s">
        <v>9</v>
      </c>
      <c r="C8238">
        <v>3</v>
      </c>
      <c r="D8238">
        <v>2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</row>
    <row r="8241" spans="1:8" x14ac:dyDescent="0.35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H8241" s="1">
        <v>45006</v>
      </c>
    </row>
    <row r="8242" spans="1:8" x14ac:dyDescent="0.35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H8242" s="1">
        <v>45110</v>
      </c>
    </row>
    <row r="8243" spans="1:8" x14ac:dyDescent="0.35">
      <c r="A8243" t="s">
        <v>8262</v>
      </c>
      <c r="B8243" t="s">
        <v>13</v>
      </c>
      <c r="C8243">
        <v>2</v>
      </c>
      <c r="D8243">
        <v>3</v>
      </c>
      <c r="E8243">
        <v>6</v>
      </c>
      <c r="F8243" t="s">
        <v>14</v>
      </c>
      <c r="H8243" s="1">
        <v>45004</v>
      </c>
    </row>
    <row r="8244" spans="1:8" x14ac:dyDescent="0.35">
      <c r="A8244" t="s">
        <v>8263</v>
      </c>
      <c r="B8244" t="s">
        <v>37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8264</v>
      </c>
      <c r="B8245" t="s">
        <v>23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8267</v>
      </c>
      <c r="B8248" t="s">
        <v>19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H8251" s="1">
        <v>45112</v>
      </c>
    </row>
    <row r="8252" spans="1:8" x14ac:dyDescent="0.35">
      <c r="A8252" t="s">
        <v>8271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</row>
    <row r="8254" spans="1:8" x14ac:dyDescent="0.35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</row>
    <row r="8256" spans="1:8" x14ac:dyDescent="0.35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8277</v>
      </c>
      <c r="B8258" t="s">
        <v>37</v>
      </c>
      <c r="C8258">
        <v>1</v>
      </c>
      <c r="D8258">
        <v>3</v>
      </c>
      <c r="E8258">
        <v>3</v>
      </c>
      <c r="G8258" t="s">
        <v>11</v>
      </c>
      <c r="H8258" s="1">
        <v>45244</v>
      </c>
    </row>
    <row r="8259" spans="1:8" x14ac:dyDescent="0.35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H8261" s="1">
        <v>45043</v>
      </c>
    </row>
    <row r="8262" spans="1:8" x14ac:dyDescent="0.35">
      <c r="A8262" t="s">
        <v>8281</v>
      </c>
      <c r="B8262" t="s">
        <v>26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8283</v>
      </c>
      <c r="B8264" t="s">
        <v>19</v>
      </c>
      <c r="C8264">
        <v>4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8286</v>
      </c>
      <c r="C8267">
        <v>1</v>
      </c>
      <c r="D8267">
        <v>1.5</v>
      </c>
      <c r="E8267">
        <v>1.5</v>
      </c>
      <c r="H8267" s="1">
        <v>44993</v>
      </c>
    </row>
    <row r="8268" spans="1:8" x14ac:dyDescent="0.35">
      <c r="A8268" t="s">
        <v>8287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8288</v>
      </c>
      <c r="B8269" t="s">
        <v>63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8290</v>
      </c>
      <c r="B8271" t="s">
        <v>26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</row>
    <row r="8275" spans="1:8" x14ac:dyDescent="0.35">
      <c r="A8275" t="s">
        <v>8294</v>
      </c>
      <c r="B8275" t="s">
        <v>37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8295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8297</v>
      </c>
      <c r="B8278" t="s">
        <v>37</v>
      </c>
      <c r="C8278">
        <v>1</v>
      </c>
      <c r="D8278">
        <v>3</v>
      </c>
      <c r="E8278">
        <v>3</v>
      </c>
      <c r="G8278" t="s">
        <v>15</v>
      </c>
      <c r="H8278" s="1">
        <v>45116</v>
      </c>
    </row>
    <row r="8279" spans="1:8" x14ac:dyDescent="0.35">
      <c r="A8279" t="s">
        <v>8298</v>
      </c>
      <c r="C8279">
        <v>5</v>
      </c>
      <c r="D8279">
        <v>4</v>
      </c>
      <c r="E8279">
        <v>20</v>
      </c>
      <c r="G8279" t="s">
        <v>11</v>
      </c>
      <c r="H8279" s="1">
        <v>44985</v>
      </c>
    </row>
    <row r="8280" spans="1:8" x14ac:dyDescent="0.35">
      <c r="A8280" t="s">
        <v>8299</v>
      </c>
      <c r="C8280">
        <v>5</v>
      </c>
      <c r="D8280">
        <v>3</v>
      </c>
      <c r="E8280">
        <v>15</v>
      </c>
      <c r="F8280" t="s">
        <v>21</v>
      </c>
      <c r="H8280" s="1">
        <v>45025</v>
      </c>
    </row>
    <row r="8281" spans="1:8" x14ac:dyDescent="0.35">
      <c r="A8281" t="s">
        <v>8300</v>
      </c>
      <c r="B8281" t="s">
        <v>23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H8282" s="1">
        <v>45211</v>
      </c>
    </row>
    <row r="8283" spans="1:8" x14ac:dyDescent="0.35">
      <c r="A8283" t="s">
        <v>8302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</row>
    <row r="8286" spans="1:8" x14ac:dyDescent="0.35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H8286" s="1">
        <v>44963</v>
      </c>
    </row>
    <row r="8287" spans="1:8" x14ac:dyDescent="0.35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</row>
    <row r="8288" spans="1:8" x14ac:dyDescent="0.35">
      <c r="A8288" t="s">
        <v>8307</v>
      </c>
      <c r="B8288" t="s">
        <v>19</v>
      </c>
      <c r="C8288">
        <v>1</v>
      </c>
      <c r="D8288">
        <v>5</v>
      </c>
      <c r="E8288">
        <v>5</v>
      </c>
      <c r="G8288" t="s">
        <v>11</v>
      </c>
      <c r="H8288" s="1">
        <v>45200</v>
      </c>
    </row>
    <row r="8289" spans="1:8" x14ac:dyDescent="0.35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8310</v>
      </c>
      <c r="B8291" t="s">
        <v>9</v>
      </c>
      <c r="C8291">
        <v>4</v>
      </c>
      <c r="D8291">
        <v>2</v>
      </c>
      <c r="E8291">
        <v>8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</row>
    <row r="8294" spans="1:8" x14ac:dyDescent="0.35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8314</v>
      </c>
      <c r="B8295" t="s">
        <v>19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8315</v>
      </c>
      <c r="B8296" t="s">
        <v>37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8316</v>
      </c>
      <c r="B8297" t="s">
        <v>17</v>
      </c>
      <c r="C8297">
        <v>5</v>
      </c>
      <c r="D8297">
        <v>1</v>
      </c>
      <c r="E8297">
        <v>5</v>
      </c>
      <c r="F8297" t="s">
        <v>21</v>
      </c>
      <c r="H8297" s="1">
        <v>45066</v>
      </c>
    </row>
    <row r="8298" spans="1:8" x14ac:dyDescent="0.35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</row>
    <row r="8299" spans="1:8" x14ac:dyDescent="0.35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H8299" s="1">
        <v>44947</v>
      </c>
    </row>
    <row r="8300" spans="1:8" x14ac:dyDescent="0.35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H8300" s="1">
        <v>45175</v>
      </c>
    </row>
    <row r="8301" spans="1:8" x14ac:dyDescent="0.35">
      <c r="A8301" t="s">
        <v>8320</v>
      </c>
      <c r="B8301" t="s">
        <v>26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8322</v>
      </c>
      <c r="B8303" t="s">
        <v>63</v>
      </c>
      <c r="C8303">
        <v>2</v>
      </c>
      <c r="D8303">
        <v>1.5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8323</v>
      </c>
      <c r="B8304" t="s">
        <v>23</v>
      </c>
      <c r="C8304">
        <v>2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8325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8326</v>
      </c>
      <c r="B8307" t="s">
        <v>23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8330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8331</v>
      </c>
      <c r="B8312" t="s">
        <v>19</v>
      </c>
      <c r="C8312">
        <v>1</v>
      </c>
      <c r="D8312">
        <v>5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8334</v>
      </c>
      <c r="B8315" t="s">
        <v>26</v>
      </c>
      <c r="C8315">
        <v>5</v>
      </c>
      <c r="D8315">
        <v>4</v>
      </c>
      <c r="E8315">
        <v>20</v>
      </c>
    </row>
    <row r="8316" spans="1:8" x14ac:dyDescent="0.35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8337</v>
      </c>
      <c r="B8318" t="s">
        <v>26</v>
      </c>
      <c r="C8318">
        <v>3</v>
      </c>
      <c r="D8318">
        <v>4</v>
      </c>
      <c r="E8318">
        <v>12</v>
      </c>
    </row>
    <row r="8319" spans="1:8" x14ac:dyDescent="0.35">
      <c r="A8319" t="s">
        <v>8338</v>
      </c>
      <c r="B8319" t="s">
        <v>23</v>
      </c>
      <c r="C8319">
        <v>2</v>
      </c>
      <c r="D8319">
        <v>4</v>
      </c>
      <c r="E8319">
        <v>8</v>
      </c>
      <c r="H8319" s="1">
        <v>45025</v>
      </c>
    </row>
    <row r="8320" spans="1:8" x14ac:dyDescent="0.35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</row>
    <row r="8321" spans="1:8" x14ac:dyDescent="0.35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</row>
    <row r="8322" spans="1:8" x14ac:dyDescent="0.35">
      <c r="A8322" t="s">
        <v>8341</v>
      </c>
      <c r="B8322" t="s">
        <v>26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8342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H8324" s="1">
        <v>44999</v>
      </c>
    </row>
    <row r="8325" spans="1:8" x14ac:dyDescent="0.35">
      <c r="A8325" t="s">
        <v>8344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H8327" s="1">
        <v>45017</v>
      </c>
    </row>
    <row r="8328" spans="1:8" x14ac:dyDescent="0.35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</row>
    <row r="8329" spans="1:8" x14ac:dyDescent="0.35">
      <c r="A8329" t="s">
        <v>8348</v>
      </c>
      <c r="B8329" t="s">
        <v>26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</row>
    <row r="8331" spans="1:8" x14ac:dyDescent="0.35">
      <c r="A8331" t="s">
        <v>8350</v>
      </c>
      <c r="B8331" t="s">
        <v>63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H8332" s="1">
        <v>44989</v>
      </c>
    </row>
    <row r="8333" spans="1:8" x14ac:dyDescent="0.35">
      <c r="A8333" t="s">
        <v>8352</v>
      </c>
      <c r="B8333" t="s">
        <v>17</v>
      </c>
      <c r="C8333">
        <v>3</v>
      </c>
      <c r="D8333">
        <v>1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</row>
    <row r="8335" spans="1:8" x14ac:dyDescent="0.35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8355</v>
      </c>
      <c r="B8336" t="s">
        <v>37</v>
      </c>
      <c r="C8336">
        <v>4</v>
      </c>
      <c r="D8336">
        <v>3</v>
      </c>
      <c r="E8336">
        <v>12</v>
      </c>
      <c r="F8336" t="s">
        <v>14</v>
      </c>
      <c r="H8336" s="1">
        <v>44963</v>
      </c>
    </row>
    <row r="8337" spans="1:8" x14ac:dyDescent="0.35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H8338" s="1">
        <v>45103</v>
      </c>
    </row>
    <row r="8339" spans="1:8" x14ac:dyDescent="0.35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</row>
    <row r="8340" spans="1:8" x14ac:dyDescent="0.35">
      <c r="A8340" t="s">
        <v>8359</v>
      </c>
      <c r="B8340" t="s">
        <v>26</v>
      </c>
      <c r="C8340">
        <v>3</v>
      </c>
      <c r="D8340">
        <v>4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8360</v>
      </c>
      <c r="B8341" t="s">
        <v>13</v>
      </c>
      <c r="C8341">
        <v>1</v>
      </c>
      <c r="D8341">
        <v>3</v>
      </c>
      <c r="E8341">
        <v>3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8364</v>
      </c>
      <c r="B8345" t="s">
        <v>9</v>
      </c>
      <c r="C8345">
        <v>2</v>
      </c>
      <c r="D8345">
        <v>2</v>
      </c>
      <c r="E8345">
        <v>4</v>
      </c>
      <c r="F8345" t="s">
        <v>21</v>
      </c>
      <c r="G8345" t="s">
        <v>11</v>
      </c>
      <c r="H8345" s="1">
        <v>44946</v>
      </c>
    </row>
    <row r="8346" spans="1:8" x14ac:dyDescent="0.35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H8347" s="1">
        <v>45248</v>
      </c>
    </row>
    <row r="8348" spans="1:8" x14ac:dyDescent="0.35">
      <c r="A8348" t="s">
        <v>8367</v>
      </c>
      <c r="B8348" t="s">
        <v>37</v>
      </c>
      <c r="C8348">
        <v>1</v>
      </c>
      <c r="D8348">
        <v>3</v>
      </c>
      <c r="E8348">
        <v>3</v>
      </c>
      <c r="F8348" t="s">
        <v>14</v>
      </c>
      <c r="H8348" s="1">
        <v>45176</v>
      </c>
    </row>
    <row r="8349" spans="1:8" x14ac:dyDescent="0.35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H8349" s="1">
        <v>45255</v>
      </c>
    </row>
    <row r="8350" spans="1:8" x14ac:dyDescent="0.35">
      <c r="A8350" t="s">
        <v>8369</v>
      </c>
      <c r="B8350" t="s">
        <v>17</v>
      </c>
      <c r="C8350">
        <v>5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</row>
    <row r="8352" spans="1:8" x14ac:dyDescent="0.35">
      <c r="A8352" t="s">
        <v>8371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</row>
    <row r="8353" spans="1:8" x14ac:dyDescent="0.35">
      <c r="A8353" t="s">
        <v>8372</v>
      </c>
      <c r="C8353">
        <v>3</v>
      </c>
      <c r="D8353">
        <v>3</v>
      </c>
      <c r="E8353">
        <v>9</v>
      </c>
      <c r="H8353" s="1">
        <v>44999</v>
      </c>
    </row>
    <row r="8354" spans="1:8" x14ac:dyDescent="0.35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8375</v>
      </c>
      <c r="B8356" t="s">
        <v>26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8376</v>
      </c>
      <c r="B8357" t="s">
        <v>19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H8359" s="1">
        <v>44963</v>
      </c>
    </row>
    <row r="8360" spans="1:8" x14ac:dyDescent="0.35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</row>
    <row r="8361" spans="1:8" x14ac:dyDescent="0.35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H8361" s="1">
        <v>44988</v>
      </c>
    </row>
    <row r="8362" spans="1:8" x14ac:dyDescent="0.35">
      <c r="A8362" t="s">
        <v>8381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</row>
    <row r="8364" spans="1:8" x14ac:dyDescent="0.35">
      <c r="A8364" t="s">
        <v>8383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8384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8385</v>
      </c>
      <c r="B8366" t="s">
        <v>26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8388</v>
      </c>
      <c r="B8369" t="s">
        <v>13</v>
      </c>
      <c r="C8369">
        <v>1</v>
      </c>
      <c r="D8369">
        <v>3</v>
      </c>
      <c r="E8369">
        <v>3</v>
      </c>
    </row>
    <row r="8370" spans="1:8" x14ac:dyDescent="0.35">
      <c r="A8370" t="s">
        <v>8389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8391</v>
      </c>
      <c r="B8372" t="s">
        <v>63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H8373" s="1">
        <v>45216</v>
      </c>
    </row>
    <row r="8374" spans="1:8" x14ac:dyDescent="0.35">
      <c r="A8374" t="s">
        <v>8393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H8376" s="1">
        <v>44989</v>
      </c>
    </row>
    <row r="8377" spans="1:8" x14ac:dyDescent="0.35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8397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</row>
    <row r="8381" spans="1:8" x14ac:dyDescent="0.35">
      <c r="A8381" t="s">
        <v>8400</v>
      </c>
      <c r="B8381" t="s">
        <v>19</v>
      </c>
      <c r="C8381">
        <v>4</v>
      </c>
      <c r="D8381">
        <v>5</v>
      </c>
      <c r="E8381">
        <v>20</v>
      </c>
      <c r="F8381" t="s">
        <v>21</v>
      </c>
      <c r="H8381" s="1">
        <v>45126</v>
      </c>
    </row>
    <row r="8382" spans="1:8" x14ac:dyDescent="0.35">
      <c r="A8382" t="s">
        <v>8401</v>
      </c>
      <c r="B8382" t="s">
        <v>19</v>
      </c>
      <c r="C8382">
        <v>5</v>
      </c>
      <c r="D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8403</v>
      </c>
      <c r="B8384" t="s">
        <v>19</v>
      </c>
      <c r="C8384">
        <v>2</v>
      </c>
      <c r="D8384">
        <v>5</v>
      </c>
      <c r="E8384">
        <v>10</v>
      </c>
      <c r="G8384" t="s">
        <v>11</v>
      </c>
      <c r="H8384" s="1">
        <v>45094</v>
      </c>
    </row>
    <row r="8385" spans="1:8" x14ac:dyDescent="0.35">
      <c r="A8385" t="s">
        <v>8404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8406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</row>
    <row r="8389" spans="1:8" x14ac:dyDescent="0.35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H8389" s="1">
        <v>45079</v>
      </c>
    </row>
    <row r="8390" spans="1:8" x14ac:dyDescent="0.35">
      <c r="A8390" t="s">
        <v>8409</v>
      </c>
      <c r="B8390" t="s">
        <v>37</v>
      </c>
      <c r="C8390">
        <v>4</v>
      </c>
      <c r="D8390">
        <v>3</v>
      </c>
      <c r="E8390">
        <v>12</v>
      </c>
      <c r="G8390" t="s">
        <v>15</v>
      </c>
      <c r="H8390" s="1">
        <v>44977</v>
      </c>
    </row>
    <row r="8391" spans="1:8" x14ac:dyDescent="0.35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8411</v>
      </c>
      <c r="B8392" t="s">
        <v>9</v>
      </c>
      <c r="C8392">
        <v>4</v>
      </c>
      <c r="D8392">
        <v>2</v>
      </c>
      <c r="E8392">
        <v>8</v>
      </c>
      <c r="H8392" s="1">
        <v>45170</v>
      </c>
    </row>
    <row r="8393" spans="1:8" x14ac:dyDescent="0.35">
      <c r="A8393" t="s">
        <v>8412</v>
      </c>
      <c r="C8393">
        <v>1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</row>
    <row r="8394" spans="1:8" x14ac:dyDescent="0.35">
      <c r="A8394" t="s">
        <v>8413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8414</v>
      </c>
      <c r="B8395" t="s">
        <v>37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8415</v>
      </c>
      <c r="B8396" t="s">
        <v>13</v>
      </c>
      <c r="C8396">
        <v>3</v>
      </c>
      <c r="D8396">
        <v>3</v>
      </c>
      <c r="E8396">
        <v>9</v>
      </c>
      <c r="F8396" t="s">
        <v>21</v>
      </c>
      <c r="H8396" s="1">
        <v>45227</v>
      </c>
    </row>
    <row r="8397" spans="1:8" x14ac:dyDescent="0.35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</row>
    <row r="8398" spans="1:8" x14ac:dyDescent="0.35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</row>
    <row r="8399" spans="1:8" x14ac:dyDescent="0.35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</row>
    <row r="8400" spans="1:8" x14ac:dyDescent="0.35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8420</v>
      </c>
      <c r="B8401" t="s">
        <v>19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</row>
    <row r="8403" spans="1:8" x14ac:dyDescent="0.35">
      <c r="A8403" t="s">
        <v>8422</v>
      </c>
      <c r="B8403" t="s">
        <v>23</v>
      </c>
      <c r="C8403">
        <v>4</v>
      </c>
      <c r="D8403">
        <v>4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8423</v>
      </c>
      <c r="B8404" t="s">
        <v>26</v>
      </c>
      <c r="C8404">
        <v>2</v>
      </c>
      <c r="D8404">
        <v>4</v>
      </c>
      <c r="E8404">
        <v>8</v>
      </c>
      <c r="G8404" t="s">
        <v>11</v>
      </c>
      <c r="H8404" s="1">
        <v>45160</v>
      </c>
    </row>
    <row r="8405" spans="1:8" x14ac:dyDescent="0.35">
      <c r="A8405" t="s">
        <v>8424</v>
      </c>
      <c r="B8405" t="s">
        <v>9</v>
      </c>
      <c r="C8405">
        <v>2</v>
      </c>
      <c r="D8405">
        <v>2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8425</v>
      </c>
      <c r="B8406" t="s">
        <v>63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8426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8428</v>
      </c>
      <c r="C8409">
        <v>5</v>
      </c>
      <c r="D8409">
        <v>4</v>
      </c>
      <c r="E8409">
        <v>20</v>
      </c>
      <c r="F8409" t="s">
        <v>21</v>
      </c>
      <c r="H8409" s="1">
        <v>44971</v>
      </c>
    </row>
    <row r="8410" spans="1:8" x14ac:dyDescent="0.35">
      <c r="A8410" t="s">
        <v>8429</v>
      </c>
      <c r="B8410" t="s">
        <v>23</v>
      </c>
      <c r="C8410">
        <v>4</v>
      </c>
      <c r="D8410">
        <v>4</v>
      </c>
      <c r="E8410">
        <v>16</v>
      </c>
      <c r="H8410" s="1">
        <v>45173</v>
      </c>
    </row>
    <row r="8411" spans="1:8" x14ac:dyDescent="0.35">
      <c r="A8411" t="s">
        <v>8430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8432</v>
      </c>
      <c r="B8413" t="s">
        <v>26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8434</v>
      </c>
      <c r="B8415" t="s">
        <v>26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8436</v>
      </c>
      <c r="B8417" t="s">
        <v>13</v>
      </c>
      <c r="C8417">
        <v>2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</row>
    <row r="8419" spans="1:8" x14ac:dyDescent="0.35">
      <c r="A8419" t="s">
        <v>8438</v>
      </c>
      <c r="B8419" t="s">
        <v>63</v>
      </c>
      <c r="C8419">
        <v>3</v>
      </c>
      <c r="D8419">
        <v>1.5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8439</v>
      </c>
      <c r="B8420" t="s">
        <v>26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</row>
    <row r="8424" spans="1:8" x14ac:dyDescent="0.35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8445</v>
      </c>
      <c r="B8426" t="s">
        <v>23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</row>
    <row r="8428" spans="1:8" x14ac:dyDescent="0.35">
      <c r="A8428" t="s">
        <v>8447</v>
      </c>
      <c r="B8428" t="s">
        <v>13</v>
      </c>
      <c r="C8428">
        <v>3</v>
      </c>
      <c r="D8428">
        <v>3</v>
      </c>
      <c r="E8428">
        <v>9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8449</v>
      </c>
      <c r="B8430" t="s">
        <v>37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8450</v>
      </c>
      <c r="B8431" t="s">
        <v>17</v>
      </c>
      <c r="C8431">
        <v>4</v>
      </c>
      <c r="D8431">
        <v>1</v>
      </c>
      <c r="E8431">
        <v>4</v>
      </c>
      <c r="H8431" s="1">
        <v>45096</v>
      </c>
    </row>
    <row r="8432" spans="1:8" x14ac:dyDescent="0.35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H8432" s="1">
        <v>45074</v>
      </c>
    </row>
    <row r="8433" spans="1:8" x14ac:dyDescent="0.35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8453</v>
      </c>
      <c r="B8434" t="s">
        <v>19</v>
      </c>
      <c r="C8434">
        <v>1</v>
      </c>
      <c r="D8434">
        <v>5</v>
      </c>
      <c r="E8434">
        <v>5</v>
      </c>
      <c r="G8434" t="s">
        <v>11</v>
      </c>
      <c r="H8434" s="1">
        <v>45095</v>
      </c>
    </row>
    <row r="8435" spans="1:8" x14ac:dyDescent="0.35">
      <c r="A8435" t="s">
        <v>8454</v>
      </c>
      <c r="B8435" t="s">
        <v>63</v>
      </c>
      <c r="C8435">
        <v>1</v>
      </c>
      <c r="D8435">
        <v>1.5</v>
      </c>
      <c r="E8435">
        <v>1.5</v>
      </c>
      <c r="G8435" t="s">
        <v>11</v>
      </c>
      <c r="H8435" s="1">
        <v>44972</v>
      </c>
    </row>
    <row r="8436" spans="1:8" x14ac:dyDescent="0.35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H8436" s="1">
        <v>45240</v>
      </c>
    </row>
    <row r="8437" spans="1:8" x14ac:dyDescent="0.35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8457</v>
      </c>
      <c r="B8438" t="s">
        <v>37</v>
      </c>
      <c r="C8438">
        <v>3</v>
      </c>
      <c r="D8438">
        <v>3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8459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</row>
    <row r="8441" spans="1:8" x14ac:dyDescent="0.35">
      <c r="A8441" t="s">
        <v>8460</v>
      </c>
      <c r="B8441" t="s">
        <v>26</v>
      </c>
      <c r="C8441">
        <v>1</v>
      </c>
      <c r="D8441">
        <v>4</v>
      </c>
      <c r="E8441">
        <v>4</v>
      </c>
      <c r="F8441" t="s">
        <v>21</v>
      </c>
      <c r="G8441" t="s">
        <v>11</v>
      </c>
      <c r="H8441" s="1">
        <v>45192</v>
      </c>
    </row>
    <row r="8442" spans="1:8" x14ac:dyDescent="0.35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</row>
    <row r="8443" spans="1:8" x14ac:dyDescent="0.35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8464</v>
      </c>
      <c r="B8445" t="s">
        <v>26</v>
      </c>
      <c r="D8445">
        <v>4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H8446" s="1">
        <v>45055</v>
      </c>
    </row>
    <row r="8447" spans="1:8" x14ac:dyDescent="0.35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</row>
    <row r="8448" spans="1:8" x14ac:dyDescent="0.35">
      <c r="A8448" t="s">
        <v>8467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8468</v>
      </c>
      <c r="B8449" t="s">
        <v>63</v>
      </c>
      <c r="C8449">
        <v>1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</row>
    <row r="8450" spans="1:8" x14ac:dyDescent="0.35">
      <c r="A8450" t="s">
        <v>8469</v>
      </c>
      <c r="B8450" t="s">
        <v>37</v>
      </c>
      <c r="C8450">
        <v>4</v>
      </c>
      <c r="D8450">
        <v>3</v>
      </c>
      <c r="E8450">
        <v>12</v>
      </c>
      <c r="G8450" t="s">
        <v>11</v>
      </c>
      <c r="H8450" s="1">
        <v>45080</v>
      </c>
    </row>
    <row r="8451" spans="1:8" x14ac:dyDescent="0.35">
      <c r="A8451" t="s">
        <v>8470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</row>
    <row r="8452" spans="1:8" x14ac:dyDescent="0.35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8475</v>
      </c>
      <c r="B8456" t="s">
        <v>9</v>
      </c>
      <c r="C8456">
        <v>3</v>
      </c>
      <c r="D8456">
        <v>2</v>
      </c>
      <c r="E8456">
        <v>6</v>
      </c>
      <c r="H8456" s="1">
        <v>45153</v>
      </c>
    </row>
    <row r="8457" spans="1:8" x14ac:dyDescent="0.35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H8458" s="1">
        <v>45178</v>
      </c>
    </row>
    <row r="8459" spans="1:8" x14ac:dyDescent="0.35">
      <c r="A8459" t="s">
        <v>8478</v>
      </c>
      <c r="B8459" t="s">
        <v>19</v>
      </c>
      <c r="C8459">
        <v>5</v>
      </c>
      <c r="D8459">
        <v>5</v>
      </c>
      <c r="E8459">
        <v>25</v>
      </c>
      <c r="G8459" t="s">
        <v>15</v>
      </c>
      <c r="H8459" s="1">
        <v>45002</v>
      </c>
    </row>
    <row r="8460" spans="1:8" x14ac:dyDescent="0.35">
      <c r="A8460" t="s">
        <v>8479</v>
      </c>
      <c r="C8460">
        <v>5</v>
      </c>
      <c r="D8460">
        <v>3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H8461" s="1">
        <v>45012</v>
      </c>
    </row>
    <row r="8462" spans="1:8" x14ac:dyDescent="0.35">
      <c r="A8462" t="s">
        <v>8481</v>
      </c>
      <c r="B8462" t="s">
        <v>63</v>
      </c>
      <c r="C8462">
        <v>1</v>
      </c>
      <c r="D8462">
        <v>1.5</v>
      </c>
      <c r="E8462">
        <v>1.5</v>
      </c>
      <c r="H8462" s="1">
        <v>45056</v>
      </c>
    </row>
    <row r="8463" spans="1:8" x14ac:dyDescent="0.35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H8464" s="1">
        <v>45200</v>
      </c>
    </row>
    <row r="8465" spans="1:8" x14ac:dyDescent="0.35">
      <c r="A8465" t="s">
        <v>8484</v>
      </c>
      <c r="C8465">
        <v>5</v>
      </c>
      <c r="D8465">
        <v>3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8485</v>
      </c>
      <c r="B8466" t="s">
        <v>37</v>
      </c>
      <c r="C8466">
        <v>4</v>
      </c>
      <c r="D8466">
        <v>3</v>
      </c>
      <c r="E8466">
        <v>12</v>
      </c>
      <c r="G8466" t="s">
        <v>11</v>
      </c>
    </row>
    <row r="8467" spans="1:8" x14ac:dyDescent="0.35">
      <c r="A8467" t="s">
        <v>8486</v>
      </c>
      <c r="B8467" t="s">
        <v>9</v>
      </c>
      <c r="D8467">
        <v>2</v>
      </c>
      <c r="H8467" s="1">
        <v>45080</v>
      </c>
    </row>
    <row r="8468" spans="1:8" x14ac:dyDescent="0.35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</row>
    <row r="8470" spans="1:8" x14ac:dyDescent="0.35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</row>
    <row r="8471" spans="1:8" x14ac:dyDescent="0.35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H8471" s="1">
        <v>45245</v>
      </c>
    </row>
    <row r="8472" spans="1:8" x14ac:dyDescent="0.35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</row>
    <row r="8475" spans="1:8" x14ac:dyDescent="0.35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H8475" s="1">
        <v>45172</v>
      </c>
    </row>
    <row r="8476" spans="1:8" x14ac:dyDescent="0.35">
      <c r="A8476" t="s">
        <v>8495</v>
      </c>
      <c r="B8476" t="s">
        <v>26</v>
      </c>
      <c r="C8476">
        <v>2</v>
      </c>
      <c r="D8476">
        <v>4</v>
      </c>
      <c r="E8476">
        <v>8</v>
      </c>
      <c r="F8476" t="s">
        <v>21</v>
      </c>
      <c r="H8476" s="1">
        <v>44936</v>
      </c>
    </row>
    <row r="8477" spans="1:8" x14ac:dyDescent="0.35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H8477" s="1">
        <v>45021</v>
      </c>
    </row>
    <row r="8478" spans="1:8" x14ac:dyDescent="0.35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8498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8499</v>
      </c>
      <c r="B8480" t="s">
        <v>37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8500</v>
      </c>
      <c r="B8481" t="s">
        <v>26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8501</v>
      </c>
      <c r="B8482" t="s">
        <v>63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8502</v>
      </c>
      <c r="B8483" t="s">
        <v>37</v>
      </c>
      <c r="C8483">
        <v>5</v>
      </c>
      <c r="D8483">
        <v>3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</row>
    <row r="8486" spans="1:8" x14ac:dyDescent="0.35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</row>
    <row r="8487" spans="1:8" x14ac:dyDescent="0.35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</row>
    <row r="8489" spans="1:8" x14ac:dyDescent="0.35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</row>
    <row r="8490" spans="1:8" x14ac:dyDescent="0.35">
      <c r="A8490" t="s">
        <v>8509</v>
      </c>
      <c r="B8490" t="s">
        <v>13</v>
      </c>
      <c r="C8490">
        <v>2</v>
      </c>
      <c r="D8490">
        <v>3</v>
      </c>
      <c r="E8490">
        <v>6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8512</v>
      </c>
      <c r="B8493" t="s">
        <v>9</v>
      </c>
      <c r="C8493">
        <v>1</v>
      </c>
      <c r="D8493">
        <v>2</v>
      </c>
      <c r="E8493">
        <v>2</v>
      </c>
      <c r="G8493" t="s">
        <v>15</v>
      </c>
      <c r="H8493" s="1">
        <v>45224</v>
      </c>
    </row>
    <row r="8494" spans="1:8" x14ac:dyDescent="0.35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H8495" s="1">
        <v>45082</v>
      </c>
    </row>
    <row r="8496" spans="1:8" x14ac:dyDescent="0.35">
      <c r="A8496" t="s">
        <v>8515</v>
      </c>
      <c r="B8496" t="s">
        <v>19</v>
      </c>
      <c r="C8496">
        <v>1</v>
      </c>
      <c r="D8496">
        <v>5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8516</v>
      </c>
      <c r="B8497" t="s">
        <v>26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8518</v>
      </c>
      <c r="B8499" t="s">
        <v>26</v>
      </c>
      <c r="C8499">
        <v>3</v>
      </c>
      <c r="D8499">
        <v>4</v>
      </c>
      <c r="E8499">
        <v>12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8519</v>
      </c>
      <c r="B8500" t="s">
        <v>63</v>
      </c>
      <c r="C8500">
        <v>5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</row>
    <row r="8502" spans="1:8" x14ac:dyDescent="0.35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</row>
    <row r="8503" spans="1:8" x14ac:dyDescent="0.35">
      <c r="A8503" t="s">
        <v>8522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8523</v>
      </c>
      <c r="B8504" t="s">
        <v>26</v>
      </c>
      <c r="C8504">
        <v>5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</row>
    <row r="8505" spans="1:8" x14ac:dyDescent="0.35">
      <c r="A8505" t="s">
        <v>8524</v>
      </c>
      <c r="B8505" t="s">
        <v>26</v>
      </c>
      <c r="C8505">
        <v>2</v>
      </c>
      <c r="D8505">
        <v>4</v>
      </c>
      <c r="E8505">
        <v>8</v>
      </c>
      <c r="G8505" t="s">
        <v>15</v>
      </c>
      <c r="H8505" s="1">
        <v>45059</v>
      </c>
    </row>
    <row r="8506" spans="1:8" x14ac:dyDescent="0.35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H8506" s="1">
        <v>45128</v>
      </c>
    </row>
    <row r="8507" spans="1:8" x14ac:dyDescent="0.35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8527</v>
      </c>
      <c r="B8508" t="s">
        <v>37</v>
      </c>
      <c r="C8508">
        <v>5</v>
      </c>
      <c r="D8508">
        <v>3</v>
      </c>
      <c r="E8508">
        <v>15</v>
      </c>
      <c r="H8508" s="1">
        <v>44940</v>
      </c>
    </row>
    <row r="8509" spans="1:8" x14ac:dyDescent="0.35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H8509" s="1">
        <v>45136</v>
      </c>
    </row>
    <row r="8510" spans="1:8" x14ac:dyDescent="0.35">
      <c r="A8510" t="s">
        <v>8529</v>
      </c>
      <c r="B8510" t="s">
        <v>37</v>
      </c>
      <c r="C8510">
        <v>1</v>
      </c>
      <c r="D8510">
        <v>3</v>
      </c>
      <c r="E8510">
        <v>3</v>
      </c>
      <c r="H8510" s="1">
        <v>45036</v>
      </c>
    </row>
    <row r="8511" spans="1:8" x14ac:dyDescent="0.35">
      <c r="A8511" t="s">
        <v>8530</v>
      </c>
      <c r="B8511" t="s">
        <v>17</v>
      </c>
      <c r="C8511">
        <v>2</v>
      </c>
      <c r="D8511">
        <v>1</v>
      </c>
      <c r="E8511">
        <v>2</v>
      </c>
      <c r="G8511" t="s">
        <v>11</v>
      </c>
      <c r="H8511" s="1">
        <v>45173</v>
      </c>
    </row>
    <row r="8512" spans="1:8" x14ac:dyDescent="0.35">
      <c r="A8512" t="s">
        <v>8531</v>
      </c>
      <c r="B8512" t="s">
        <v>13</v>
      </c>
      <c r="C8512">
        <v>1</v>
      </c>
      <c r="D8512">
        <v>3</v>
      </c>
      <c r="E8512">
        <v>3</v>
      </c>
      <c r="G8512" t="s">
        <v>11</v>
      </c>
      <c r="H8512" s="1">
        <v>44998</v>
      </c>
    </row>
    <row r="8513" spans="1:8" x14ac:dyDescent="0.35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8533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8534</v>
      </c>
      <c r="B8515" t="s">
        <v>19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8536</v>
      </c>
      <c r="B8517" t="s">
        <v>37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8537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8538</v>
      </c>
      <c r="C8519">
        <v>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8540</v>
      </c>
      <c r="B8521" t="s">
        <v>23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8543</v>
      </c>
      <c r="B8524" t="s">
        <v>23</v>
      </c>
      <c r="C8524">
        <v>5</v>
      </c>
      <c r="D8524">
        <v>4</v>
      </c>
      <c r="E8524">
        <v>20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H8525" s="1">
        <v>44998</v>
      </c>
    </row>
    <row r="8526" spans="1:8" x14ac:dyDescent="0.35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</row>
    <row r="8528" spans="1:8" x14ac:dyDescent="0.35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</row>
    <row r="8529" spans="1:8" x14ac:dyDescent="0.35">
      <c r="A8529" t="s">
        <v>8548</v>
      </c>
      <c r="B8529" t="s">
        <v>23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8549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</row>
    <row r="8531" spans="1:8" x14ac:dyDescent="0.35">
      <c r="A8531" t="s">
        <v>8550</v>
      </c>
      <c r="B8531" t="s">
        <v>9</v>
      </c>
      <c r="C8531">
        <v>5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</row>
    <row r="8533" spans="1:8" x14ac:dyDescent="0.35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</row>
    <row r="8534" spans="1:8" x14ac:dyDescent="0.35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H8535" s="1">
        <v>45128</v>
      </c>
    </row>
    <row r="8536" spans="1:8" x14ac:dyDescent="0.35">
      <c r="A8536" t="s">
        <v>8555</v>
      </c>
      <c r="B8536" t="s">
        <v>37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H8539" s="1">
        <v>45287</v>
      </c>
    </row>
    <row r="8540" spans="1:8" x14ac:dyDescent="0.35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8560</v>
      </c>
      <c r="B8541" t="s">
        <v>13</v>
      </c>
      <c r="C8541">
        <v>3</v>
      </c>
      <c r="D8541">
        <v>3</v>
      </c>
      <c r="E8541">
        <v>9</v>
      </c>
      <c r="H8541" s="1">
        <v>45276</v>
      </c>
    </row>
    <row r="8542" spans="1:8" x14ac:dyDescent="0.35">
      <c r="A8542" t="s">
        <v>8561</v>
      </c>
      <c r="B8542" t="s">
        <v>23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8562</v>
      </c>
      <c r="B8543" t="s">
        <v>19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8563</v>
      </c>
      <c r="C8544">
        <v>2</v>
      </c>
      <c r="D8544">
        <v>3</v>
      </c>
      <c r="E8544">
        <v>6</v>
      </c>
      <c r="F8544" t="s">
        <v>21</v>
      </c>
      <c r="H8544" s="1">
        <v>45163</v>
      </c>
    </row>
    <row r="8545" spans="1:8" x14ac:dyDescent="0.35">
      <c r="A8545" t="s">
        <v>8564</v>
      </c>
      <c r="B8545" t="s">
        <v>19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8565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8566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8568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</row>
    <row r="8550" spans="1:8" x14ac:dyDescent="0.35">
      <c r="A8550" t="s">
        <v>8569</v>
      </c>
      <c r="B8550" t="s">
        <v>19</v>
      </c>
      <c r="C8550">
        <v>3</v>
      </c>
      <c r="D8550">
        <v>5</v>
      </c>
      <c r="E8550">
        <v>15</v>
      </c>
      <c r="H8550" s="1">
        <v>44942</v>
      </c>
    </row>
    <row r="8551" spans="1:8" x14ac:dyDescent="0.35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H8552" s="1">
        <v>45201</v>
      </c>
    </row>
    <row r="8553" spans="1:8" x14ac:dyDescent="0.35">
      <c r="A8553" t="s">
        <v>8572</v>
      </c>
      <c r="B8553" t="s">
        <v>19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</row>
    <row r="8555" spans="1:8" x14ac:dyDescent="0.35">
      <c r="A8555" t="s">
        <v>8574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8575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</row>
    <row r="8559" spans="1:8" x14ac:dyDescent="0.35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</row>
    <row r="8562" spans="1:8" x14ac:dyDescent="0.35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H8563" s="1">
        <v>45054</v>
      </c>
    </row>
    <row r="8564" spans="1:8" x14ac:dyDescent="0.35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H8566" s="1">
        <v>44940</v>
      </c>
    </row>
    <row r="8567" spans="1:8" x14ac:dyDescent="0.35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</row>
    <row r="8568" spans="1:8" x14ac:dyDescent="0.35">
      <c r="A8568" t="s">
        <v>8587</v>
      </c>
      <c r="B8568" t="s">
        <v>13</v>
      </c>
      <c r="C8568">
        <v>1</v>
      </c>
      <c r="D8568">
        <v>3</v>
      </c>
      <c r="E8568">
        <v>3</v>
      </c>
      <c r="F8568" t="s">
        <v>21</v>
      </c>
      <c r="H8568" s="1">
        <v>45061</v>
      </c>
    </row>
    <row r="8569" spans="1:8" x14ac:dyDescent="0.35">
      <c r="A8569" t="s">
        <v>8588</v>
      </c>
      <c r="B8569" t="s">
        <v>63</v>
      </c>
      <c r="C8569">
        <v>4</v>
      </c>
      <c r="D8569">
        <v>1.5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8589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</row>
    <row r="8571" spans="1:8" x14ac:dyDescent="0.35">
      <c r="A8571" t="s">
        <v>8590</v>
      </c>
      <c r="B8571" t="s">
        <v>9</v>
      </c>
      <c r="C8571">
        <v>1</v>
      </c>
      <c r="D8571">
        <v>2</v>
      </c>
      <c r="E8571">
        <v>2</v>
      </c>
      <c r="F8571" t="s">
        <v>21</v>
      </c>
      <c r="G8571" t="s">
        <v>11</v>
      </c>
      <c r="H8571" s="1">
        <v>45011</v>
      </c>
    </row>
    <row r="8572" spans="1:8" x14ac:dyDescent="0.35">
      <c r="A8572" t="s">
        <v>8591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8593</v>
      </c>
      <c r="B8574" t="s">
        <v>23</v>
      </c>
      <c r="C8574">
        <v>3</v>
      </c>
      <c r="D8574">
        <v>4</v>
      </c>
      <c r="E8574">
        <v>12</v>
      </c>
      <c r="H8574" s="1">
        <v>45071</v>
      </c>
    </row>
    <row r="8575" spans="1:8" x14ac:dyDescent="0.35">
      <c r="A8575" t="s">
        <v>8594</v>
      </c>
      <c r="B8575" t="s">
        <v>26</v>
      </c>
      <c r="C8575">
        <v>5</v>
      </c>
      <c r="D8575">
        <v>4</v>
      </c>
      <c r="E8575">
        <v>20</v>
      </c>
      <c r="H8575" s="1">
        <v>45087</v>
      </c>
    </row>
    <row r="8576" spans="1:8" x14ac:dyDescent="0.35">
      <c r="A8576" t="s">
        <v>8595</v>
      </c>
      <c r="B8576" t="s">
        <v>37</v>
      </c>
      <c r="D8576">
        <v>3</v>
      </c>
      <c r="F8576" t="s">
        <v>21</v>
      </c>
      <c r="G8576" t="s">
        <v>11</v>
      </c>
      <c r="H8576" s="1">
        <v>45024</v>
      </c>
    </row>
    <row r="8577" spans="1:8" x14ac:dyDescent="0.35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</row>
    <row r="8578" spans="1:8" x14ac:dyDescent="0.35">
      <c r="A8578" t="s">
        <v>8597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</row>
    <row r="8582" spans="1:8" x14ac:dyDescent="0.35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H8582" s="1">
        <v>45202</v>
      </c>
    </row>
    <row r="8583" spans="1:8" x14ac:dyDescent="0.35">
      <c r="A8583" t="s">
        <v>8602</v>
      </c>
      <c r="B8583" t="s">
        <v>26</v>
      </c>
      <c r="C8583">
        <v>4</v>
      </c>
      <c r="D8583">
        <v>4</v>
      </c>
      <c r="E8583">
        <v>16</v>
      </c>
      <c r="H8583" s="1">
        <v>44945</v>
      </c>
    </row>
    <row r="8584" spans="1:8" x14ac:dyDescent="0.35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</row>
    <row r="8586" spans="1:8" x14ac:dyDescent="0.35">
      <c r="A8586" t="s">
        <v>8605</v>
      </c>
      <c r="B8586" t="s">
        <v>63</v>
      </c>
      <c r="C8586">
        <v>2</v>
      </c>
      <c r="D8586">
        <v>1.5</v>
      </c>
      <c r="E8586">
        <v>3</v>
      </c>
      <c r="H8586" s="1">
        <v>45080</v>
      </c>
    </row>
    <row r="8587" spans="1:8" x14ac:dyDescent="0.35">
      <c r="A8587" t="s">
        <v>8606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</row>
    <row r="8589" spans="1:8" x14ac:dyDescent="0.35">
      <c r="A8589" t="s">
        <v>8608</v>
      </c>
      <c r="B8589" t="s">
        <v>13</v>
      </c>
      <c r="C8589">
        <v>2</v>
      </c>
      <c r="D8589">
        <v>3</v>
      </c>
      <c r="E8589">
        <v>6</v>
      </c>
      <c r="H8589" s="1">
        <v>44986</v>
      </c>
    </row>
    <row r="8590" spans="1:8" x14ac:dyDescent="0.35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8612</v>
      </c>
      <c r="B8593" t="s">
        <v>37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8614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H8598" s="1">
        <v>44978</v>
      </c>
    </row>
    <row r="8599" spans="1:8" x14ac:dyDescent="0.35">
      <c r="A8599" t="s">
        <v>8618</v>
      </c>
      <c r="B8599" t="s">
        <v>17</v>
      </c>
      <c r="C8599">
        <v>5</v>
      </c>
      <c r="D8599">
        <v>1</v>
      </c>
      <c r="E8599">
        <v>5</v>
      </c>
      <c r="F8599" t="s">
        <v>21</v>
      </c>
      <c r="H8599" s="1">
        <v>45118</v>
      </c>
    </row>
    <row r="8600" spans="1:8" x14ac:dyDescent="0.35">
      <c r="A8600" t="s">
        <v>8619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H8602" s="1">
        <v>45003</v>
      </c>
    </row>
    <row r="8603" spans="1:8" x14ac:dyDescent="0.35">
      <c r="A8603" t="s">
        <v>8622</v>
      </c>
      <c r="B8603" t="s">
        <v>26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8624</v>
      </c>
      <c r="B8605" t="s">
        <v>23</v>
      </c>
      <c r="C8605">
        <v>4</v>
      </c>
      <c r="D8605">
        <v>4</v>
      </c>
      <c r="E8605">
        <v>16</v>
      </c>
      <c r="H8605" s="1">
        <v>45077</v>
      </c>
    </row>
    <row r="8606" spans="1:8" x14ac:dyDescent="0.35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8626</v>
      </c>
      <c r="B8607" t="s">
        <v>19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8632</v>
      </c>
      <c r="B8613" t="s">
        <v>37</v>
      </c>
      <c r="C8613">
        <v>1</v>
      </c>
      <c r="D8613">
        <v>3</v>
      </c>
      <c r="E8613">
        <v>3</v>
      </c>
      <c r="H8613" s="1">
        <v>45032</v>
      </c>
    </row>
    <row r="8614" spans="1:8" x14ac:dyDescent="0.35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</row>
    <row r="8618" spans="1:8" x14ac:dyDescent="0.35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8638</v>
      </c>
      <c r="B8619" t="s">
        <v>13</v>
      </c>
      <c r="C8619">
        <v>2</v>
      </c>
      <c r="D8619">
        <v>3</v>
      </c>
      <c r="E8619">
        <v>6</v>
      </c>
      <c r="G8619" t="s">
        <v>11</v>
      </c>
    </row>
    <row r="8620" spans="1:8" x14ac:dyDescent="0.35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8640</v>
      </c>
      <c r="B8621" t="s">
        <v>17</v>
      </c>
      <c r="C8621">
        <v>5</v>
      </c>
      <c r="D8621">
        <v>1</v>
      </c>
      <c r="E8621">
        <v>5</v>
      </c>
      <c r="G8621" t="s">
        <v>11</v>
      </c>
      <c r="H8621" s="1">
        <v>45245</v>
      </c>
    </row>
    <row r="8622" spans="1:8" x14ac:dyDescent="0.35">
      <c r="A8622" t="s">
        <v>8641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8642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8643</v>
      </c>
      <c r="B8624" t="s">
        <v>19</v>
      </c>
      <c r="C8624">
        <v>1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</row>
    <row r="8625" spans="1:8" x14ac:dyDescent="0.35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8646</v>
      </c>
      <c r="B8627" t="s">
        <v>63</v>
      </c>
      <c r="C8627">
        <v>1</v>
      </c>
      <c r="D8627">
        <v>1.5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8648</v>
      </c>
      <c r="B8629" t="s">
        <v>17</v>
      </c>
      <c r="C8629">
        <v>2</v>
      </c>
      <c r="D8629">
        <v>1</v>
      </c>
      <c r="E8629">
        <v>2</v>
      </c>
      <c r="H8629" s="1">
        <v>44965</v>
      </c>
    </row>
    <row r="8630" spans="1:8" x14ac:dyDescent="0.35">
      <c r="A8630" t="s">
        <v>8649</v>
      </c>
      <c r="B8630" t="s">
        <v>13</v>
      </c>
      <c r="C8630">
        <v>4</v>
      </c>
      <c r="D8630">
        <v>3</v>
      </c>
      <c r="E8630">
        <v>12</v>
      </c>
      <c r="H8630" s="1">
        <v>44977</v>
      </c>
    </row>
    <row r="8631" spans="1:8" x14ac:dyDescent="0.35">
      <c r="A8631" t="s">
        <v>8650</v>
      </c>
      <c r="B8631" t="s">
        <v>19</v>
      </c>
      <c r="C8631">
        <v>3</v>
      </c>
      <c r="D8631">
        <v>5</v>
      </c>
      <c r="E8631">
        <v>15</v>
      </c>
    </row>
    <row r="8632" spans="1:8" x14ac:dyDescent="0.35">
      <c r="A8632" t="s">
        <v>8651</v>
      </c>
      <c r="B8632" t="s">
        <v>19</v>
      </c>
      <c r="C8632">
        <v>1</v>
      </c>
      <c r="D8632">
        <v>5</v>
      </c>
      <c r="E8632">
        <v>5</v>
      </c>
      <c r="H8632" s="1">
        <v>45156</v>
      </c>
    </row>
    <row r="8633" spans="1:8" x14ac:dyDescent="0.35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</row>
    <row r="8634" spans="1:8" x14ac:dyDescent="0.35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</row>
    <row r="8635" spans="1:8" x14ac:dyDescent="0.35">
      <c r="A8635" t="s">
        <v>8654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8655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</row>
    <row r="8637" spans="1:8" x14ac:dyDescent="0.35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8657</v>
      </c>
      <c r="B8638" t="s">
        <v>26</v>
      </c>
      <c r="C8638">
        <v>5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</row>
    <row r="8642" spans="1:8" x14ac:dyDescent="0.35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</row>
    <row r="8643" spans="1:8" x14ac:dyDescent="0.35">
      <c r="A8643" t="s">
        <v>8662</v>
      </c>
      <c r="B8643" t="s">
        <v>26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H8644" s="1">
        <v>45246</v>
      </c>
    </row>
    <row r="8645" spans="1:8" x14ac:dyDescent="0.35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H8645" s="1">
        <v>45110</v>
      </c>
    </row>
    <row r="8646" spans="1:8" x14ac:dyDescent="0.35">
      <c r="A8646" t="s">
        <v>8665</v>
      </c>
      <c r="B8646" t="s">
        <v>19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</row>
    <row r="8648" spans="1:8" x14ac:dyDescent="0.35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8668</v>
      </c>
      <c r="B8649" t="s">
        <v>17</v>
      </c>
      <c r="C8649">
        <v>3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8670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8672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8673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H8655" s="1">
        <v>45084</v>
      </c>
    </row>
    <row r="8656" spans="1:8" x14ac:dyDescent="0.35">
      <c r="A8656" t="s">
        <v>8675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8676</v>
      </c>
      <c r="B8657" t="s">
        <v>17</v>
      </c>
      <c r="C8657">
        <v>3</v>
      </c>
      <c r="D8657">
        <v>1</v>
      </c>
      <c r="E8657">
        <v>3</v>
      </c>
      <c r="G8657" t="s">
        <v>11</v>
      </c>
      <c r="H8657" s="1">
        <v>45291</v>
      </c>
    </row>
    <row r="8658" spans="1:8" x14ac:dyDescent="0.35">
      <c r="A8658" t="s">
        <v>8677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</row>
    <row r="8661" spans="1:8" x14ac:dyDescent="0.35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H8662" s="1">
        <v>45047</v>
      </c>
    </row>
    <row r="8663" spans="1:8" x14ac:dyDescent="0.35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H8664" s="1">
        <v>44967</v>
      </c>
    </row>
    <row r="8665" spans="1:8" x14ac:dyDescent="0.35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8685</v>
      </c>
      <c r="C8666">
        <v>3</v>
      </c>
      <c r="D8666">
        <v>2</v>
      </c>
      <c r="E8666">
        <v>6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8686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8688</v>
      </c>
      <c r="B8669" t="s">
        <v>9</v>
      </c>
      <c r="C8669">
        <v>5</v>
      </c>
      <c r="D8669">
        <v>2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8690</v>
      </c>
      <c r="B8671" t="s">
        <v>13</v>
      </c>
      <c r="C8671">
        <v>1</v>
      </c>
      <c r="D8671">
        <v>3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8691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8692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H8674" s="1">
        <v>45072</v>
      </c>
    </row>
    <row r="8675" spans="1:8" x14ac:dyDescent="0.35">
      <c r="A8675" t="s">
        <v>8694</v>
      </c>
      <c r="B8675" t="s">
        <v>19</v>
      </c>
      <c r="C8675">
        <v>2</v>
      </c>
      <c r="D8675">
        <v>5</v>
      </c>
      <c r="E8675">
        <v>10</v>
      </c>
      <c r="H8675" s="1">
        <v>45030</v>
      </c>
    </row>
    <row r="8676" spans="1:8" x14ac:dyDescent="0.35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H8677" s="1">
        <v>45192</v>
      </c>
    </row>
    <row r="8678" spans="1:8" x14ac:dyDescent="0.35">
      <c r="A8678" t="s">
        <v>8697</v>
      </c>
      <c r="B8678" t="s">
        <v>37</v>
      </c>
      <c r="C8678">
        <v>5</v>
      </c>
      <c r="D8678">
        <v>3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8698</v>
      </c>
      <c r="B8679" t="s">
        <v>19</v>
      </c>
      <c r="C8679">
        <v>1</v>
      </c>
      <c r="D8679">
        <v>5</v>
      </c>
      <c r="E8679">
        <v>5</v>
      </c>
      <c r="G8679" t="s">
        <v>15</v>
      </c>
      <c r="H8679" s="1">
        <v>45176</v>
      </c>
    </row>
    <row r="8680" spans="1:8" x14ac:dyDescent="0.35">
      <c r="A8680" t="s">
        <v>8699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H8681" s="1">
        <v>45267</v>
      </c>
    </row>
    <row r="8682" spans="1:8" x14ac:dyDescent="0.35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8702</v>
      </c>
      <c r="B8683" t="s">
        <v>37</v>
      </c>
      <c r="C8683">
        <v>3</v>
      </c>
      <c r="D8683">
        <v>3</v>
      </c>
      <c r="E8683">
        <v>9</v>
      </c>
      <c r="G8683" t="s">
        <v>11</v>
      </c>
      <c r="H8683" s="1">
        <v>45032</v>
      </c>
    </row>
    <row r="8684" spans="1:8" x14ac:dyDescent="0.35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8706</v>
      </c>
      <c r="B8687" t="s">
        <v>23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8707</v>
      </c>
      <c r="B8688" t="s">
        <v>17</v>
      </c>
      <c r="C8688">
        <v>5</v>
      </c>
      <c r="D8688">
        <v>1</v>
      </c>
      <c r="E8688">
        <v>5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8710</v>
      </c>
      <c r="B8691" t="s">
        <v>37</v>
      </c>
      <c r="C8691">
        <v>1</v>
      </c>
      <c r="D8691">
        <v>3</v>
      </c>
      <c r="E8691">
        <v>3</v>
      </c>
      <c r="H8691" s="1">
        <v>45199</v>
      </c>
    </row>
    <row r="8692" spans="1:8" x14ac:dyDescent="0.35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8712</v>
      </c>
      <c r="B8693" t="s">
        <v>26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8714</v>
      </c>
      <c r="B8695" t="s">
        <v>23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8717</v>
      </c>
      <c r="C8698">
        <v>3</v>
      </c>
      <c r="D8698">
        <v>5</v>
      </c>
      <c r="E8698">
        <v>15</v>
      </c>
      <c r="F8698" t="s">
        <v>21</v>
      </c>
      <c r="H8698" s="1">
        <v>45174</v>
      </c>
    </row>
    <row r="8699" spans="1:8" x14ac:dyDescent="0.35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</row>
    <row r="8700" spans="1:8" x14ac:dyDescent="0.35">
      <c r="A8700" t="s">
        <v>8719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</row>
    <row r="8701" spans="1:8" x14ac:dyDescent="0.35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</row>
    <row r="8702" spans="1:8" x14ac:dyDescent="0.35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H8702" s="1">
        <v>45202</v>
      </c>
    </row>
    <row r="8703" spans="1:8" x14ac:dyDescent="0.35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</row>
    <row r="8704" spans="1:8" x14ac:dyDescent="0.35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8724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H8707" s="1">
        <v>45151</v>
      </c>
    </row>
    <row r="8708" spans="1:8" x14ac:dyDescent="0.35">
      <c r="A8708" t="s">
        <v>8727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</row>
    <row r="8711" spans="1:8" x14ac:dyDescent="0.35">
      <c r="A8711" t="s">
        <v>8730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</row>
    <row r="8713" spans="1:8" x14ac:dyDescent="0.35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8733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8734</v>
      </c>
      <c r="B8715" t="s">
        <v>23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8736</v>
      </c>
      <c r="B8717" t="s">
        <v>37</v>
      </c>
      <c r="C8717">
        <v>1</v>
      </c>
      <c r="D8717">
        <v>3</v>
      </c>
      <c r="E8717">
        <v>3</v>
      </c>
      <c r="H8717" s="1">
        <v>45219</v>
      </c>
    </row>
    <row r="8718" spans="1:8" x14ac:dyDescent="0.35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8738</v>
      </c>
      <c r="B8719" t="s">
        <v>26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H8721" s="1">
        <v>44994</v>
      </c>
    </row>
    <row r="8722" spans="1:8" x14ac:dyDescent="0.35">
      <c r="A8722" t="s">
        <v>8741</v>
      </c>
      <c r="B8722" t="s">
        <v>63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</row>
    <row r="8724" spans="1:8" x14ac:dyDescent="0.35">
      <c r="A8724" t="s">
        <v>8743</v>
      </c>
      <c r="B8724" t="s">
        <v>26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8747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</row>
    <row r="8730" spans="1:8" x14ac:dyDescent="0.35">
      <c r="A8730" t="s">
        <v>8749</v>
      </c>
      <c r="B8730" t="s">
        <v>26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8750</v>
      </c>
      <c r="B8731" t="s">
        <v>23</v>
      </c>
      <c r="C8731">
        <v>4</v>
      </c>
      <c r="D8731">
        <v>4</v>
      </c>
      <c r="E8731">
        <v>16</v>
      </c>
      <c r="H8731" s="1">
        <v>44997</v>
      </c>
    </row>
    <row r="8732" spans="1:8" x14ac:dyDescent="0.35">
      <c r="A8732" t="s">
        <v>8751</v>
      </c>
      <c r="B8732" t="s">
        <v>37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8752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8753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8754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</row>
    <row r="8738" spans="1:8" x14ac:dyDescent="0.35">
      <c r="A8738" t="s">
        <v>8757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8758</v>
      </c>
      <c r="B8739" t="s">
        <v>37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</row>
    <row r="8743" spans="1:8" x14ac:dyDescent="0.35">
      <c r="A8743" t="s">
        <v>8762</v>
      </c>
      <c r="B8743" t="s">
        <v>23</v>
      </c>
      <c r="C8743">
        <v>5</v>
      </c>
      <c r="D8743">
        <v>4</v>
      </c>
      <c r="E8743">
        <v>20</v>
      </c>
      <c r="F8743" t="s">
        <v>21</v>
      </c>
      <c r="G8743" t="s">
        <v>11</v>
      </c>
      <c r="H8743" s="1">
        <v>45209</v>
      </c>
    </row>
    <row r="8744" spans="1:8" x14ac:dyDescent="0.35">
      <c r="A8744" t="s">
        <v>8763</v>
      </c>
      <c r="B8744" t="s">
        <v>26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8766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</row>
    <row r="8748" spans="1:8" x14ac:dyDescent="0.35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8768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8770</v>
      </c>
      <c r="B8751" t="s">
        <v>19</v>
      </c>
      <c r="C8751">
        <v>3</v>
      </c>
      <c r="D8751">
        <v>5</v>
      </c>
      <c r="E8751">
        <v>15</v>
      </c>
      <c r="G8751" t="s">
        <v>11</v>
      </c>
      <c r="H8751" s="1">
        <v>45072</v>
      </c>
    </row>
    <row r="8752" spans="1:8" x14ac:dyDescent="0.35">
      <c r="A8752" t="s">
        <v>8771</v>
      </c>
      <c r="B8752" t="s">
        <v>19</v>
      </c>
      <c r="C8752">
        <v>2</v>
      </c>
      <c r="D8752">
        <v>5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</row>
    <row r="8754" spans="1:8" x14ac:dyDescent="0.35">
      <c r="A8754" t="s">
        <v>8773</v>
      </c>
      <c r="B8754" t="s">
        <v>19</v>
      </c>
      <c r="C8754">
        <v>4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H8756" s="1">
        <v>45131</v>
      </c>
    </row>
    <row r="8757" spans="1:8" x14ac:dyDescent="0.35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H8758" s="1">
        <v>45238</v>
      </c>
    </row>
    <row r="8759" spans="1:8" x14ac:dyDescent="0.35">
      <c r="A8759" t="s">
        <v>8778</v>
      </c>
      <c r="B8759" t="s">
        <v>13</v>
      </c>
      <c r="C8759">
        <v>3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H8762" s="1">
        <v>45062</v>
      </c>
    </row>
    <row r="8763" spans="1:8" x14ac:dyDescent="0.35">
      <c r="A8763" t="s">
        <v>8782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8783</v>
      </c>
      <c r="B8764" t="s">
        <v>26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H8766" s="1">
        <v>45082</v>
      </c>
    </row>
    <row r="8767" spans="1:8" x14ac:dyDescent="0.35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H8767" s="1">
        <v>45109</v>
      </c>
    </row>
    <row r="8768" spans="1:8" x14ac:dyDescent="0.35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8790</v>
      </c>
      <c r="B8771" t="s">
        <v>63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H8772" s="1">
        <v>45256</v>
      </c>
    </row>
    <row r="8773" spans="1:8" x14ac:dyDescent="0.35">
      <c r="A8773" t="s">
        <v>8792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8793</v>
      </c>
      <c r="B8774" t="s">
        <v>23</v>
      </c>
      <c r="C8774">
        <v>3</v>
      </c>
      <c r="D8774">
        <v>4</v>
      </c>
      <c r="E8774">
        <v>12</v>
      </c>
      <c r="F8774" t="s">
        <v>14</v>
      </c>
      <c r="H8774" s="1">
        <v>45060</v>
      </c>
    </row>
    <row r="8775" spans="1:8" x14ac:dyDescent="0.35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8795</v>
      </c>
      <c r="B8776" t="s">
        <v>37</v>
      </c>
      <c r="C8776">
        <v>4</v>
      </c>
      <c r="D8776">
        <v>3</v>
      </c>
      <c r="E8776">
        <v>12</v>
      </c>
      <c r="F8776" t="s">
        <v>21</v>
      </c>
      <c r="G8776" t="s">
        <v>15</v>
      </c>
      <c r="H8776" s="1">
        <v>45062</v>
      </c>
    </row>
    <row r="8777" spans="1:8" x14ac:dyDescent="0.35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</row>
    <row r="8778" spans="1:8" x14ac:dyDescent="0.35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</row>
    <row r="8779" spans="1:8" x14ac:dyDescent="0.35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8799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</row>
    <row r="8783" spans="1:8" x14ac:dyDescent="0.35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8803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</row>
    <row r="8786" spans="1:8" x14ac:dyDescent="0.35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8807</v>
      </c>
      <c r="B8788" t="s">
        <v>37</v>
      </c>
      <c r="C8788">
        <v>5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</row>
    <row r="8789" spans="1:8" x14ac:dyDescent="0.35">
      <c r="A8789" t="s">
        <v>8808</v>
      </c>
      <c r="C8789">
        <v>5</v>
      </c>
      <c r="D8789">
        <v>4</v>
      </c>
      <c r="E8789">
        <v>20</v>
      </c>
      <c r="F8789" t="s">
        <v>21</v>
      </c>
    </row>
    <row r="8790" spans="1:8" x14ac:dyDescent="0.35">
      <c r="A8790" t="s">
        <v>8809</v>
      </c>
      <c r="C8790">
        <v>1</v>
      </c>
      <c r="D8790">
        <v>4</v>
      </c>
      <c r="E8790">
        <v>4</v>
      </c>
    </row>
    <row r="8791" spans="1:8" x14ac:dyDescent="0.35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8811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8812</v>
      </c>
      <c r="B8793" t="s">
        <v>13</v>
      </c>
      <c r="C8793">
        <v>2</v>
      </c>
      <c r="D8793">
        <v>3</v>
      </c>
      <c r="E8793">
        <v>6</v>
      </c>
      <c r="G8793" t="s">
        <v>11</v>
      </c>
    </row>
    <row r="8794" spans="1:8" x14ac:dyDescent="0.35">
      <c r="A8794" t="s">
        <v>8813</v>
      </c>
      <c r="B8794" t="s">
        <v>19</v>
      </c>
      <c r="C8794">
        <v>1</v>
      </c>
      <c r="D8794">
        <v>5</v>
      </c>
      <c r="E8794">
        <v>5</v>
      </c>
      <c r="H8794" s="1">
        <v>44962</v>
      </c>
    </row>
    <row r="8795" spans="1:8" x14ac:dyDescent="0.35">
      <c r="A8795" t="s">
        <v>8814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</row>
    <row r="8796" spans="1:8" x14ac:dyDescent="0.35">
      <c r="A8796" t="s">
        <v>8815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8816</v>
      </c>
      <c r="B8797" t="s">
        <v>23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8818</v>
      </c>
      <c r="B8799" t="s">
        <v>23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8820</v>
      </c>
      <c r="B8801" t="s">
        <v>17</v>
      </c>
      <c r="C8801">
        <v>4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</row>
    <row r="8803" spans="1:8" x14ac:dyDescent="0.35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8823</v>
      </c>
      <c r="B8804" t="s">
        <v>13</v>
      </c>
      <c r="C8804">
        <v>4</v>
      </c>
      <c r="D8804">
        <v>3</v>
      </c>
      <c r="E8804">
        <v>12</v>
      </c>
      <c r="H8804" s="1">
        <v>45027</v>
      </c>
    </row>
    <row r="8805" spans="1:8" x14ac:dyDescent="0.35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H8806" s="1">
        <v>45041</v>
      </c>
    </row>
    <row r="8807" spans="1:8" x14ac:dyDescent="0.35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8827</v>
      </c>
      <c r="B8808" t="s">
        <v>26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8829</v>
      </c>
      <c r="B8810" t="s">
        <v>19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8831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8833</v>
      </c>
      <c r="B8814" t="s">
        <v>37</v>
      </c>
      <c r="C8814">
        <v>4</v>
      </c>
      <c r="D8814">
        <v>3</v>
      </c>
      <c r="E8814">
        <v>12</v>
      </c>
      <c r="H8814" s="1">
        <v>45002</v>
      </c>
    </row>
    <row r="8815" spans="1:8" x14ac:dyDescent="0.35">
      <c r="A8815" t="s">
        <v>8834</v>
      </c>
      <c r="B8815" t="s">
        <v>26</v>
      </c>
      <c r="C8815">
        <v>3</v>
      </c>
      <c r="D8815">
        <v>4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8835</v>
      </c>
      <c r="B8816" t="s">
        <v>19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8836</v>
      </c>
      <c r="B8817" t="s">
        <v>19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8837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8838</v>
      </c>
      <c r="C8819">
        <v>4</v>
      </c>
      <c r="D8819">
        <v>4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8839</v>
      </c>
      <c r="B8820" t="s">
        <v>26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8840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8842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</row>
    <row r="8825" spans="1:8" x14ac:dyDescent="0.35">
      <c r="A8825" t="s">
        <v>8844</v>
      </c>
      <c r="B8825" t="s">
        <v>63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8846</v>
      </c>
      <c r="B8827" t="s">
        <v>26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8848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8849</v>
      </c>
      <c r="C8830">
        <v>4</v>
      </c>
      <c r="D8830">
        <v>1</v>
      </c>
      <c r="E8830">
        <v>4</v>
      </c>
      <c r="F8830" t="s">
        <v>21</v>
      </c>
      <c r="H8830" s="1">
        <v>45188</v>
      </c>
    </row>
    <row r="8831" spans="1:8" x14ac:dyDescent="0.35">
      <c r="A8831" t="s">
        <v>8850</v>
      </c>
      <c r="B8831" t="s">
        <v>26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8852</v>
      </c>
      <c r="B8833" t="s">
        <v>19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8854</v>
      </c>
      <c r="B8835" t="s">
        <v>19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8855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8856</v>
      </c>
      <c r="B8837" t="s">
        <v>63</v>
      </c>
      <c r="C8837">
        <v>3</v>
      </c>
      <c r="D8837">
        <v>1.5</v>
      </c>
      <c r="E8837">
        <v>4.5</v>
      </c>
      <c r="F8837" t="s">
        <v>10</v>
      </c>
      <c r="H8837" s="1">
        <v>45133</v>
      </c>
    </row>
    <row r="8838" spans="1:8" x14ac:dyDescent="0.35">
      <c r="A8838" t="s">
        <v>8857</v>
      </c>
      <c r="B8838" t="s">
        <v>9</v>
      </c>
      <c r="C8838">
        <v>1</v>
      </c>
      <c r="D8838">
        <v>2</v>
      </c>
      <c r="E8838">
        <v>2</v>
      </c>
      <c r="F8838" t="s">
        <v>21</v>
      </c>
      <c r="H8838" s="1">
        <v>44986</v>
      </c>
    </row>
    <row r="8839" spans="1:8" x14ac:dyDescent="0.35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H8839" s="1">
        <v>45237</v>
      </c>
    </row>
    <row r="8840" spans="1:8" x14ac:dyDescent="0.35">
      <c r="A8840" t="s">
        <v>8859</v>
      </c>
      <c r="B8840" t="s">
        <v>63</v>
      </c>
      <c r="C8840">
        <v>5</v>
      </c>
      <c r="D8840">
        <v>1.5</v>
      </c>
      <c r="E8840">
        <v>7.5</v>
      </c>
      <c r="F8840" t="s">
        <v>21</v>
      </c>
      <c r="G8840" t="s">
        <v>15</v>
      </c>
      <c r="H8840" s="1">
        <v>45011</v>
      </c>
    </row>
    <row r="8841" spans="1:8" x14ac:dyDescent="0.35">
      <c r="A8841" t="s">
        <v>8860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</row>
    <row r="8843" spans="1:8" x14ac:dyDescent="0.35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</row>
    <row r="8844" spans="1:8" x14ac:dyDescent="0.35">
      <c r="A8844" t="s">
        <v>8863</v>
      </c>
      <c r="B8844" t="s">
        <v>63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8864</v>
      </c>
      <c r="B8845" t="s">
        <v>63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</row>
    <row r="8847" spans="1:8" x14ac:dyDescent="0.35">
      <c r="A8847" t="s">
        <v>8866</v>
      </c>
      <c r="B8847" t="s">
        <v>19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</row>
    <row r="8849" spans="1:8" x14ac:dyDescent="0.35">
      <c r="A8849" t="s">
        <v>8868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8869</v>
      </c>
      <c r="B8850" t="s">
        <v>23</v>
      </c>
      <c r="C8850">
        <v>4</v>
      </c>
      <c r="D8850">
        <v>4</v>
      </c>
      <c r="E8850">
        <v>16</v>
      </c>
      <c r="F8850" t="s">
        <v>10</v>
      </c>
      <c r="H8850" s="1">
        <v>45169</v>
      </c>
    </row>
    <row r="8851" spans="1:8" x14ac:dyDescent="0.35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</row>
    <row r="8852" spans="1:8" x14ac:dyDescent="0.35">
      <c r="A8852" t="s">
        <v>8871</v>
      </c>
      <c r="B8852" t="s">
        <v>63</v>
      </c>
      <c r="C8852">
        <v>5</v>
      </c>
      <c r="D8852">
        <v>1.5</v>
      </c>
      <c r="E8852">
        <v>7.5</v>
      </c>
      <c r="H8852" s="1">
        <v>44928</v>
      </c>
    </row>
    <row r="8853" spans="1:8" x14ac:dyDescent="0.35">
      <c r="A8853" t="s">
        <v>8872</v>
      </c>
      <c r="B8853" t="s">
        <v>26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</row>
    <row r="8855" spans="1:8" x14ac:dyDescent="0.35">
      <c r="A8855" t="s">
        <v>8874</v>
      </c>
      <c r="B8855" t="s">
        <v>37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H8856" s="1">
        <v>45175</v>
      </c>
    </row>
    <row r="8857" spans="1:8" x14ac:dyDescent="0.35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</row>
    <row r="8859" spans="1:8" x14ac:dyDescent="0.35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</row>
    <row r="8860" spans="1:8" x14ac:dyDescent="0.35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</row>
    <row r="8861" spans="1:8" x14ac:dyDescent="0.35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</row>
    <row r="8862" spans="1:8" x14ac:dyDescent="0.35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8882</v>
      </c>
      <c r="B8863" t="s">
        <v>26</v>
      </c>
      <c r="C8863">
        <v>3</v>
      </c>
      <c r="D8863">
        <v>4</v>
      </c>
      <c r="E8863">
        <v>12</v>
      </c>
      <c r="G8863" t="s">
        <v>15</v>
      </c>
    </row>
    <row r="8864" spans="1:8" x14ac:dyDescent="0.35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8884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8885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8886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8887</v>
      </c>
      <c r="B8868" t="s">
        <v>13</v>
      </c>
      <c r="C8868">
        <v>4</v>
      </c>
      <c r="D8868">
        <v>3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</row>
    <row r="8871" spans="1:8" x14ac:dyDescent="0.35">
      <c r="A8871" t="s">
        <v>8890</v>
      </c>
      <c r="B8871" t="s">
        <v>26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</row>
    <row r="8873" spans="1:8" x14ac:dyDescent="0.35">
      <c r="A8873" t="s">
        <v>8892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8895</v>
      </c>
      <c r="B8876" t="s">
        <v>23</v>
      </c>
      <c r="C8876">
        <v>1</v>
      </c>
      <c r="D8876">
        <v>4</v>
      </c>
      <c r="E8876">
        <v>4</v>
      </c>
      <c r="G8876" t="s">
        <v>15</v>
      </c>
      <c r="H8876" s="1">
        <v>45023</v>
      </c>
    </row>
    <row r="8877" spans="1:8" x14ac:dyDescent="0.35">
      <c r="A8877" t="s">
        <v>8896</v>
      </c>
      <c r="B8877" t="s">
        <v>9</v>
      </c>
      <c r="C8877">
        <v>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8897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H8879" s="1">
        <v>45001</v>
      </c>
    </row>
    <row r="8880" spans="1:8" x14ac:dyDescent="0.35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8900</v>
      </c>
      <c r="B8881" t="s">
        <v>63</v>
      </c>
      <c r="C8881">
        <v>5</v>
      </c>
      <c r="D8881">
        <v>1.5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H8883" s="1">
        <v>45225</v>
      </c>
    </row>
    <row r="8884" spans="1:8" x14ac:dyDescent="0.35">
      <c r="A8884" t="s">
        <v>8903</v>
      </c>
      <c r="B8884" t="s">
        <v>19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8904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8905</v>
      </c>
      <c r="B8886" t="s">
        <v>23</v>
      </c>
      <c r="C8886">
        <v>2</v>
      </c>
      <c r="D8886">
        <v>4</v>
      </c>
      <c r="E8886">
        <v>8</v>
      </c>
    </row>
    <row r="8887" spans="1:8" x14ac:dyDescent="0.35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8907</v>
      </c>
      <c r="B8888" t="s">
        <v>37</v>
      </c>
      <c r="C8888">
        <v>4</v>
      </c>
      <c r="D8888">
        <v>3</v>
      </c>
      <c r="E8888">
        <v>12</v>
      </c>
      <c r="G8888" t="s">
        <v>15</v>
      </c>
      <c r="H8888" s="1">
        <v>44943</v>
      </c>
    </row>
    <row r="8889" spans="1:8" x14ac:dyDescent="0.35">
      <c r="A8889" t="s">
        <v>8908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8909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8910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</row>
    <row r="8895" spans="1:8" x14ac:dyDescent="0.35">
      <c r="A8895" t="s">
        <v>8914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</row>
    <row r="8896" spans="1:8" x14ac:dyDescent="0.35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H8896" s="1">
        <v>45046</v>
      </c>
    </row>
    <row r="8897" spans="1:8" x14ac:dyDescent="0.35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8920</v>
      </c>
      <c r="B8901" t="s">
        <v>26</v>
      </c>
      <c r="C8901">
        <v>5</v>
      </c>
      <c r="D8901">
        <v>4</v>
      </c>
      <c r="E8901">
        <v>20</v>
      </c>
      <c r="H8901" s="1">
        <v>45200</v>
      </c>
    </row>
    <row r="8902" spans="1:8" x14ac:dyDescent="0.35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H8902" s="1">
        <v>45282</v>
      </c>
    </row>
    <row r="8903" spans="1:8" x14ac:dyDescent="0.35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8924</v>
      </c>
      <c r="B8905" t="s">
        <v>17</v>
      </c>
      <c r="C8905">
        <v>4</v>
      </c>
      <c r="D8905">
        <v>1</v>
      </c>
      <c r="E8905">
        <v>4</v>
      </c>
      <c r="H8905" s="1">
        <v>45162</v>
      </c>
    </row>
    <row r="8906" spans="1:8" x14ac:dyDescent="0.35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8926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8928</v>
      </c>
      <c r="B8909" t="s">
        <v>23</v>
      </c>
      <c r="C8909">
        <v>1</v>
      </c>
      <c r="D8909">
        <v>4</v>
      </c>
      <c r="E8909">
        <v>4</v>
      </c>
      <c r="H8909" s="1">
        <v>45010</v>
      </c>
    </row>
    <row r="8910" spans="1:8" x14ac:dyDescent="0.35">
      <c r="A8910" t="s">
        <v>8929</v>
      </c>
      <c r="C8910">
        <v>5</v>
      </c>
      <c r="D8910">
        <v>4</v>
      </c>
      <c r="E8910">
        <v>20</v>
      </c>
      <c r="H8910" s="1">
        <v>45264</v>
      </c>
    </row>
    <row r="8911" spans="1:8" x14ac:dyDescent="0.35">
      <c r="A8911" t="s">
        <v>8930</v>
      </c>
      <c r="B8911" t="s">
        <v>63</v>
      </c>
      <c r="C8911">
        <v>4</v>
      </c>
      <c r="D8911">
        <v>1.5</v>
      </c>
      <c r="E8911">
        <v>6</v>
      </c>
      <c r="G8911" t="s">
        <v>15</v>
      </c>
    </row>
    <row r="8912" spans="1:8" x14ac:dyDescent="0.35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8933</v>
      </c>
      <c r="B8914" t="s">
        <v>63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</row>
    <row r="8917" spans="1:8" x14ac:dyDescent="0.35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</row>
    <row r="8918" spans="1:8" x14ac:dyDescent="0.35">
      <c r="A8918" t="s">
        <v>8937</v>
      </c>
      <c r="B8918" t="s">
        <v>26</v>
      </c>
      <c r="C8918">
        <v>1</v>
      </c>
      <c r="D8918">
        <v>4</v>
      </c>
      <c r="E8918">
        <v>4</v>
      </c>
      <c r="G8918" t="s">
        <v>15</v>
      </c>
      <c r="H8918" s="1">
        <v>45118</v>
      </c>
    </row>
    <row r="8919" spans="1:8" x14ac:dyDescent="0.35">
      <c r="A8919" t="s">
        <v>8938</v>
      </c>
      <c r="B8919" t="s">
        <v>63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H8920" s="1">
        <v>45127</v>
      </c>
    </row>
    <row r="8921" spans="1:8" x14ac:dyDescent="0.35">
      <c r="A8921" t="s">
        <v>8940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8942</v>
      </c>
      <c r="B8923" t="s">
        <v>63</v>
      </c>
      <c r="C8923">
        <v>2</v>
      </c>
      <c r="D8923">
        <v>1.5</v>
      </c>
      <c r="E8923">
        <v>3</v>
      </c>
      <c r="H8923" s="1">
        <v>45206</v>
      </c>
    </row>
    <row r="8924" spans="1:8" x14ac:dyDescent="0.35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H8924" s="1">
        <v>45124</v>
      </c>
    </row>
    <row r="8925" spans="1:8" x14ac:dyDescent="0.35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H8925" s="1">
        <v>45013</v>
      </c>
    </row>
    <row r="8926" spans="1:8" x14ac:dyDescent="0.35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8946</v>
      </c>
      <c r="B8927" t="s">
        <v>19</v>
      </c>
      <c r="C8927">
        <v>1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8948</v>
      </c>
      <c r="B8929" t="s">
        <v>23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H8930" s="1">
        <v>44971</v>
      </c>
    </row>
    <row r="8931" spans="1:8" x14ac:dyDescent="0.35">
      <c r="A8931" t="s">
        <v>8950</v>
      </c>
      <c r="B8931" t="s">
        <v>13</v>
      </c>
      <c r="C8931">
        <v>1</v>
      </c>
      <c r="D8931">
        <v>3</v>
      </c>
      <c r="E8931">
        <v>3</v>
      </c>
      <c r="F8931" t="s">
        <v>10</v>
      </c>
    </row>
    <row r="8932" spans="1:8" x14ac:dyDescent="0.35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H8932" s="1">
        <v>45167</v>
      </c>
    </row>
    <row r="8933" spans="1:8" x14ac:dyDescent="0.35">
      <c r="A8933" t="s">
        <v>8952</v>
      </c>
      <c r="B8933" t="s">
        <v>13</v>
      </c>
      <c r="C8933">
        <v>5</v>
      </c>
      <c r="D8933">
        <v>3</v>
      </c>
      <c r="E8933">
        <v>15</v>
      </c>
      <c r="F8933" t="s">
        <v>21</v>
      </c>
      <c r="G8933" t="s">
        <v>15</v>
      </c>
    </row>
    <row r="8934" spans="1:8" x14ac:dyDescent="0.35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</row>
    <row r="8935" spans="1:8" x14ac:dyDescent="0.35">
      <c r="A8935" t="s">
        <v>8954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8955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8956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H8939" s="1">
        <v>45145</v>
      </c>
    </row>
    <row r="8940" spans="1:8" x14ac:dyDescent="0.35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8962</v>
      </c>
      <c r="B8943" t="s">
        <v>26</v>
      </c>
      <c r="C8943">
        <v>2</v>
      </c>
      <c r="D8943">
        <v>4</v>
      </c>
      <c r="E8943">
        <v>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8963</v>
      </c>
      <c r="B8944" t="s">
        <v>63</v>
      </c>
      <c r="C8944">
        <v>2</v>
      </c>
      <c r="D8944">
        <v>1.5</v>
      </c>
      <c r="E8944">
        <v>3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8964</v>
      </c>
      <c r="B8945" t="s">
        <v>9</v>
      </c>
      <c r="C8945">
        <v>5</v>
      </c>
      <c r="D8945">
        <v>2</v>
      </c>
      <c r="E8945">
        <v>10</v>
      </c>
      <c r="H8945" s="1">
        <v>45040</v>
      </c>
    </row>
    <row r="8946" spans="1:8" x14ac:dyDescent="0.35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8968</v>
      </c>
      <c r="C8949">
        <v>2</v>
      </c>
      <c r="D8949">
        <v>2</v>
      </c>
      <c r="E8949">
        <v>4</v>
      </c>
      <c r="F8949" t="s">
        <v>10</v>
      </c>
      <c r="H8949" s="1">
        <v>45247</v>
      </c>
    </row>
    <row r="8950" spans="1:8" x14ac:dyDescent="0.35">
      <c r="A8950" t="s">
        <v>8969</v>
      </c>
      <c r="B8950" t="s">
        <v>13</v>
      </c>
      <c r="C8950">
        <v>2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H8952" s="1">
        <v>45015</v>
      </c>
    </row>
    <row r="8953" spans="1:8" x14ac:dyDescent="0.35">
      <c r="A8953" t="s">
        <v>8972</v>
      </c>
      <c r="B8953" t="s">
        <v>23</v>
      </c>
      <c r="C8953">
        <v>1</v>
      </c>
      <c r="D8953">
        <v>4</v>
      </c>
      <c r="E8953">
        <v>4</v>
      </c>
      <c r="H8953" s="1">
        <v>45170</v>
      </c>
    </row>
    <row r="8954" spans="1:8" x14ac:dyDescent="0.35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8976</v>
      </c>
      <c r="B8957" t="s">
        <v>26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8977</v>
      </c>
      <c r="B8958" t="s">
        <v>19</v>
      </c>
      <c r="C8958">
        <v>1</v>
      </c>
      <c r="D8958">
        <v>5</v>
      </c>
      <c r="E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8978</v>
      </c>
      <c r="B8959" t="s">
        <v>37</v>
      </c>
      <c r="C8959">
        <v>4</v>
      </c>
      <c r="D8959">
        <v>3</v>
      </c>
      <c r="E8959">
        <v>12</v>
      </c>
      <c r="H8959" s="1">
        <v>45155</v>
      </c>
    </row>
    <row r="8960" spans="1:8" x14ac:dyDescent="0.35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8980</v>
      </c>
      <c r="C8961">
        <v>4</v>
      </c>
      <c r="D8961">
        <v>3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</row>
    <row r="8963" spans="1:8" x14ac:dyDescent="0.35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</row>
    <row r="8965" spans="1:8" x14ac:dyDescent="0.35">
      <c r="A8965" t="s">
        <v>8984</v>
      </c>
      <c r="B8965" t="s">
        <v>17</v>
      </c>
      <c r="C8965">
        <v>5</v>
      </c>
      <c r="D8965">
        <v>1</v>
      </c>
      <c r="E8965">
        <v>5</v>
      </c>
      <c r="H8965" s="1">
        <v>45140</v>
      </c>
    </row>
    <row r="8966" spans="1:8" x14ac:dyDescent="0.35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</row>
    <row r="8967" spans="1:8" x14ac:dyDescent="0.35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8987</v>
      </c>
      <c r="B8968" t="s">
        <v>37</v>
      </c>
      <c r="C8968">
        <v>5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8988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8989</v>
      </c>
      <c r="B8970" t="s">
        <v>63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8990</v>
      </c>
      <c r="B8971" t="s">
        <v>19</v>
      </c>
      <c r="C8971">
        <v>1</v>
      </c>
      <c r="D8971">
        <v>5</v>
      </c>
      <c r="E8971">
        <v>5</v>
      </c>
      <c r="F8971" t="s">
        <v>21</v>
      </c>
      <c r="G8971" t="s">
        <v>11</v>
      </c>
      <c r="H8971" s="1">
        <v>45066</v>
      </c>
    </row>
    <row r="8972" spans="1:8" x14ac:dyDescent="0.35">
      <c r="A8972" t="s">
        <v>8991</v>
      </c>
      <c r="B8972" t="s">
        <v>63</v>
      </c>
      <c r="C8972">
        <v>3</v>
      </c>
      <c r="D8972">
        <v>1.5</v>
      </c>
      <c r="E8972">
        <v>4.5</v>
      </c>
      <c r="H8972" s="1">
        <v>44949</v>
      </c>
    </row>
    <row r="8973" spans="1:8" x14ac:dyDescent="0.35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8994</v>
      </c>
      <c r="B8975" t="s">
        <v>13</v>
      </c>
      <c r="C8975">
        <v>3</v>
      </c>
      <c r="D8975">
        <v>3</v>
      </c>
      <c r="E8975">
        <v>9</v>
      </c>
      <c r="F8975" t="s">
        <v>21</v>
      </c>
      <c r="H8975" s="1">
        <v>45105</v>
      </c>
    </row>
    <row r="8976" spans="1:8" x14ac:dyDescent="0.35">
      <c r="A8976" t="s">
        <v>8995</v>
      </c>
      <c r="B8976" t="s">
        <v>63</v>
      </c>
      <c r="C8976">
        <v>2</v>
      </c>
      <c r="D8976">
        <v>1.5</v>
      </c>
      <c r="E8976">
        <v>3</v>
      </c>
      <c r="H8976" s="1">
        <v>45131</v>
      </c>
    </row>
    <row r="8977" spans="1:8" x14ac:dyDescent="0.35">
      <c r="A8977" t="s">
        <v>8996</v>
      </c>
      <c r="B8977" t="s">
        <v>63</v>
      </c>
      <c r="C8977">
        <v>5</v>
      </c>
      <c r="D8977">
        <v>1.5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</row>
    <row r="8979" spans="1:8" x14ac:dyDescent="0.35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</row>
    <row r="8981" spans="1:8" x14ac:dyDescent="0.35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</row>
    <row r="8984" spans="1:8" x14ac:dyDescent="0.35">
      <c r="A8984" t="s">
        <v>9003</v>
      </c>
      <c r="B8984" t="s">
        <v>19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9006</v>
      </c>
      <c r="B8987" t="s">
        <v>9</v>
      </c>
      <c r="C8987">
        <v>5</v>
      </c>
      <c r="D8987">
        <v>2</v>
      </c>
      <c r="E8987">
        <v>10</v>
      </c>
      <c r="F8987" t="s">
        <v>10</v>
      </c>
      <c r="G8987" t="s">
        <v>15</v>
      </c>
    </row>
    <row r="8988" spans="1:8" x14ac:dyDescent="0.35">
      <c r="A8988" t="s">
        <v>9007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9010</v>
      </c>
      <c r="B8991" t="s">
        <v>26</v>
      </c>
      <c r="C8991">
        <v>2</v>
      </c>
      <c r="D8991">
        <v>4</v>
      </c>
      <c r="E8991">
        <v>8</v>
      </c>
      <c r="G8991" t="s">
        <v>15</v>
      </c>
    </row>
    <row r="8992" spans="1:8" x14ac:dyDescent="0.35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</row>
    <row r="8993" spans="1:8" x14ac:dyDescent="0.35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</row>
    <row r="8994" spans="1:8" x14ac:dyDescent="0.35">
      <c r="A8994" t="s">
        <v>9013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9014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</row>
    <row r="9001" spans="1:8" x14ac:dyDescent="0.35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H9001" s="1">
        <v>44957</v>
      </c>
    </row>
    <row r="9002" spans="1:8" x14ac:dyDescent="0.35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H9002" s="1">
        <v>45132</v>
      </c>
    </row>
    <row r="9003" spans="1:8" x14ac:dyDescent="0.35">
      <c r="A9003" t="s">
        <v>9022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9023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9024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9025</v>
      </c>
      <c r="B9006" t="s">
        <v>17</v>
      </c>
      <c r="C9006">
        <v>4</v>
      </c>
      <c r="D9006">
        <v>1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9026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</row>
    <row r="9008" spans="1:8" x14ac:dyDescent="0.35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9028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9030</v>
      </c>
      <c r="B9011" t="s">
        <v>19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9031</v>
      </c>
      <c r="B9012" t="s">
        <v>23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9032</v>
      </c>
      <c r="C9013">
        <v>3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9033</v>
      </c>
      <c r="B9014" t="s">
        <v>17</v>
      </c>
      <c r="C9014">
        <v>1</v>
      </c>
      <c r="D9014">
        <v>1</v>
      </c>
      <c r="E9014">
        <v>1</v>
      </c>
      <c r="F9014" t="s">
        <v>21</v>
      </c>
      <c r="G9014" t="s">
        <v>11</v>
      </c>
      <c r="H9014" s="1">
        <v>45133</v>
      </c>
    </row>
    <row r="9015" spans="1:8" x14ac:dyDescent="0.35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</row>
    <row r="9016" spans="1:8" x14ac:dyDescent="0.35">
      <c r="A9016" t="s">
        <v>9035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9039</v>
      </c>
      <c r="B9020" t="s">
        <v>23</v>
      </c>
      <c r="C9020">
        <v>5</v>
      </c>
      <c r="D9020">
        <v>4</v>
      </c>
      <c r="E9020">
        <v>20</v>
      </c>
      <c r="H9020" s="1">
        <v>45248</v>
      </c>
    </row>
    <row r="9021" spans="1:8" x14ac:dyDescent="0.35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H9022" s="1">
        <v>45265</v>
      </c>
    </row>
    <row r="9023" spans="1:8" x14ac:dyDescent="0.35">
      <c r="A9023" t="s">
        <v>9042</v>
      </c>
      <c r="B9023" t="s">
        <v>19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</row>
    <row r="9025" spans="1:8" x14ac:dyDescent="0.35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H9025" s="1">
        <v>45021</v>
      </c>
    </row>
    <row r="9026" spans="1:8" x14ac:dyDescent="0.35">
      <c r="A9026" t="s">
        <v>9045</v>
      </c>
      <c r="C9026">
        <v>3</v>
      </c>
      <c r="D9026">
        <v>1.5</v>
      </c>
      <c r="E9026">
        <v>4.5</v>
      </c>
      <c r="G9026" t="s">
        <v>11</v>
      </c>
      <c r="H9026" s="1">
        <v>45224</v>
      </c>
    </row>
    <row r="9027" spans="1:8" x14ac:dyDescent="0.35">
      <c r="A9027" t="s">
        <v>9046</v>
      </c>
      <c r="B9027" t="s">
        <v>9</v>
      </c>
      <c r="C9027">
        <v>4</v>
      </c>
      <c r="D9027">
        <v>2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H9028" s="1">
        <v>45147</v>
      </c>
    </row>
    <row r="9029" spans="1:8" x14ac:dyDescent="0.35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9050</v>
      </c>
      <c r="B9031" t="s">
        <v>26</v>
      </c>
      <c r="C9031">
        <v>1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9051</v>
      </c>
      <c r="B9032" t="s">
        <v>23</v>
      </c>
      <c r="C9032">
        <v>2</v>
      </c>
      <c r="D9032">
        <v>4</v>
      </c>
      <c r="E9032">
        <v>8</v>
      </c>
      <c r="F9032" t="s">
        <v>21</v>
      </c>
      <c r="G9032" t="s">
        <v>15</v>
      </c>
      <c r="H9032" s="1">
        <v>45206</v>
      </c>
    </row>
    <row r="9033" spans="1:8" x14ac:dyDescent="0.35">
      <c r="A9033" t="s">
        <v>9052</v>
      </c>
      <c r="B9033" t="s">
        <v>23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9053</v>
      </c>
      <c r="B9034" t="s">
        <v>37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9058</v>
      </c>
      <c r="B9039" t="s">
        <v>13</v>
      </c>
      <c r="C9039">
        <v>5</v>
      </c>
      <c r="D9039">
        <v>3</v>
      </c>
      <c r="E9039">
        <v>15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</row>
    <row r="9042" spans="1:8" x14ac:dyDescent="0.35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9062</v>
      </c>
      <c r="B9043" t="s">
        <v>23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9063</v>
      </c>
      <c r="B9044" t="s">
        <v>23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9065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9067</v>
      </c>
      <c r="B9048" t="s">
        <v>19</v>
      </c>
      <c r="C9048">
        <v>2</v>
      </c>
      <c r="D9048">
        <v>5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H9049" s="1">
        <v>45060</v>
      </c>
    </row>
    <row r="9050" spans="1:8" x14ac:dyDescent="0.35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9070</v>
      </c>
      <c r="B9051" t="s">
        <v>63</v>
      </c>
      <c r="C9051">
        <v>4</v>
      </c>
      <c r="D9051">
        <v>1.5</v>
      </c>
      <c r="E9051">
        <v>6</v>
      </c>
      <c r="G9051" t="s">
        <v>15</v>
      </c>
      <c r="H9051" s="1">
        <v>45146</v>
      </c>
    </row>
    <row r="9052" spans="1:8" x14ac:dyDescent="0.35">
      <c r="A9052" t="s">
        <v>9071</v>
      </c>
      <c r="B9052" t="s">
        <v>19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9072</v>
      </c>
      <c r="B9053" t="s">
        <v>23</v>
      </c>
      <c r="C9053">
        <v>1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</row>
    <row r="9054" spans="1:8" x14ac:dyDescent="0.35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9075</v>
      </c>
      <c r="B9056" t="s">
        <v>13</v>
      </c>
      <c r="C9056">
        <v>2</v>
      </c>
      <c r="D9056">
        <v>3</v>
      </c>
      <c r="E9056">
        <v>6</v>
      </c>
      <c r="H9056" s="1">
        <v>45061</v>
      </c>
    </row>
    <row r="9057" spans="1:8" x14ac:dyDescent="0.35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9077</v>
      </c>
      <c r="B9058" t="s">
        <v>9</v>
      </c>
      <c r="C9058">
        <v>5</v>
      </c>
      <c r="D9058">
        <v>2</v>
      </c>
      <c r="E9058">
        <v>10</v>
      </c>
      <c r="F9058" t="s">
        <v>10</v>
      </c>
      <c r="H9058" s="1">
        <v>44957</v>
      </c>
    </row>
    <row r="9059" spans="1:8" x14ac:dyDescent="0.35">
      <c r="A9059" t="s">
        <v>9078</v>
      </c>
      <c r="B9059" t="s">
        <v>26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9079</v>
      </c>
      <c r="B9060" t="s">
        <v>37</v>
      </c>
      <c r="C9060">
        <v>2</v>
      </c>
      <c r="D9060">
        <v>3</v>
      </c>
      <c r="E9060">
        <v>6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9080</v>
      </c>
      <c r="B9061" t="s">
        <v>23</v>
      </c>
      <c r="C9061">
        <v>3</v>
      </c>
      <c r="D9061">
        <v>4</v>
      </c>
      <c r="E9061">
        <v>12</v>
      </c>
      <c r="H9061" s="1">
        <v>45176</v>
      </c>
    </row>
    <row r="9062" spans="1:8" x14ac:dyDescent="0.35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</row>
    <row r="9063" spans="1:8" x14ac:dyDescent="0.35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</row>
    <row r="9064" spans="1:8" x14ac:dyDescent="0.35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</row>
    <row r="9066" spans="1:8" x14ac:dyDescent="0.35">
      <c r="A9066" t="s">
        <v>9085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9086</v>
      </c>
      <c r="B9067" t="s">
        <v>63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9087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</row>
    <row r="9069" spans="1:8" x14ac:dyDescent="0.35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9090</v>
      </c>
      <c r="C9071">
        <v>2</v>
      </c>
      <c r="D9071">
        <v>1</v>
      </c>
      <c r="E9071">
        <v>2</v>
      </c>
      <c r="F9071" t="s">
        <v>21</v>
      </c>
      <c r="H9071" s="1">
        <v>45026</v>
      </c>
    </row>
    <row r="9072" spans="1:8" x14ac:dyDescent="0.35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</row>
    <row r="9073" spans="1:8" x14ac:dyDescent="0.35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9093</v>
      </c>
      <c r="B9074" t="s">
        <v>23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9094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</row>
    <row r="9077" spans="1:8" x14ac:dyDescent="0.35">
      <c r="A9077" t="s">
        <v>9096</v>
      </c>
      <c r="B9077" t="s">
        <v>19</v>
      </c>
      <c r="C9077">
        <v>2</v>
      </c>
      <c r="D9077">
        <v>5</v>
      </c>
      <c r="E9077">
        <v>10</v>
      </c>
      <c r="G9077" t="s">
        <v>15</v>
      </c>
      <c r="H9077" s="1">
        <v>44931</v>
      </c>
    </row>
    <row r="9078" spans="1:8" x14ac:dyDescent="0.35">
      <c r="A9078" t="s">
        <v>9097</v>
      </c>
      <c r="B9078" t="s">
        <v>37</v>
      </c>
      <c r="C9078">
        <v>3</v>
      </c>
      <c r="D9078">
        <v>3</v>
      </c>
      <c r="E9078">
        <v>9</v>
      </c>
      <c r="G9078" t="s">
        <v>11</v>
      </c>
    </row>
    <row r="9079" spans="1:8" x14ac:dyDescent="0.35">
      <c r="A9079" t="s">
        <v>9098</v>
      </c>
      <c r="B9079" t="s">
        <v>26</v>
      </c>
      <c r="C9079">
        <v>4</v>
      </c>
      <c r="D9079">
        <v>4</v>
      </c>
      <c r="E9079">
        <v>16</v>
      </c>
      <c r="F9079" t="s">
        <v>14</v>
      </c>
      <c r="H9079" s="1">
        <v>45001</v>
      </c>
    </row>
    <row r="9080" spans="1:8" x14ac:dyDescent="0.35">
      <c r="A9080" t="s">
        <v>9099</v>
      </c>
      <c r="B9080" t="s">
        <v>19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9100</v>
      </c>
      <c r="B9081" t="s">
        <v>63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9101</v>
      </c>
      <c r="B9082" t="s">
        <v>13</v>
      </c>
      <c r="C9082">
        <v>2</v>
      </c>
      <c r="D9082">
        <v>3</v>
      </c>
      <c r="E9082">
        <v>6</v>
      </c>
      <c r="F9082" t="s">
        <v>14</v>
      </c>
      <c r="H9082" s="1">
        <v>45128</v>
      </c>
    </row>
    <row r="9083" spans="1:8" x14ac:dyDescent="0.35">
      <c r="A9083" t="s">
        <v>9102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</row>
    <row r="9085" spans="1:8" x14ac:dyDescent="0.35">
      <c r="A9085" t="s">
        <v>9104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H9086" s="1">
        <v>45230</v>
      </c>
    </row>
    <row r="9087" spans="1:8" x14ac:dyDescent="0.35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9108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9110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</row>
    <row r="9093" spans="1:8" x14ac:dyDescent="0.35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H9094" s="1">
        <v>45241</v>
      </c>
    </row>
    <row r="9095" spans="1:8" x14ac:dyDescent="0.35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</row>
    <row r="9097" spans="1:8" x14ac:dyDescent="0.35">
      <c r="A9097" t="s">
        <v>9116</v>
      </c>
      <c r="B9097" t="s">
        <v>23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9118</v>
      </c>
      <c r="B9099" t="s">
        <v>26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9119</v>
      </c>
      <c r="B9100" t="s">
        <v>63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9120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</row>
    <row r="9103" spans="1:8" x14ac:dyDescent="0.35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H9105" s="1">
        <v>45259</v>
      </c>
    </row>
    <row r="9106" spans="1:8" x14ac:dyDescent="0.35">
      <c r="A9106" t="s">
        <v>9125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</row>
    <row r="9108" spans="1:8" x14ac:dyDescent="0.35">
      <c r="A9108" t="s">
        <v>9127</v>
      </c>
      <c r="B9108" t="s">
        <v>19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9128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9131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</row>
    <row r="9116" spans="1:8" x14ac:dyDescent="0.35">
      <c r="A9116" t="s">
        <v>9135</v>
      </c>
      <c r="B9116" t="s">
        <v>13</v>
      </c>
      <c r="C9116">
        <v>4</v>
      </c>
      <c r="D9116">
        <v>3</v>
      </c>
      <c r="E9116">
        <v>12</v>
      </c>
      <c r="H9116" s="1">
        <v>44978</v>
      </c>
    </row>
    <row r="9117" spans="1:8" x14ac:dyDescent="0.35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H9117" s="1">
        <v>45244</v>
      </c>
    </row>
    <row r="9118" spans="1:8" x14ac:dyDescent="0.35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9138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</row>
    <row r="9121" spans="1:8" x14ac:dyDescent="0.35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9141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9142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9146</v>
      </c>
      <c r="B9127" t="s">
        <v>23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H9128" s="1">
        <v>45132</v>
      </c>
    </row>
    <row r="9129" spans="1:8" x14ac:dyDescent="0.35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9152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9155</v>
      </c>
      <c r="B9136" t="s">
        <v>19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H9137" s="1">
        <v>45208</v>
      </c>
    </row>
    <row r="9138" spans="1:8" x14ac:dyDescent="0.35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9160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H9144" s="1">
        <v>45097</v>
      </c>
    </row>
    <row r="9145" spans="1:8" x14ac:dyDescent="0.35">
      <c r="A9145" t="s">
        <v>9164</v>
      </c>
      <c r="B9145" t="s">
        <v>26</v>
      </c>
      <c r="C9145">
        <v>1</v>
      </c>
      <c r="D9145">
        <v>4</v>
      </c>
      <c r="E9145">
        <v>4</v>
      </c>
      <c r="G9145" t="s">
        <v>11</v>
      </c>
      <c r="H9145" s="1">
        <v>45221</v>
      </c>
    </row>
    <row r="9146" spans="1:8" x14ac:dyDescent="0.35">
      <c r="A9146" t="s">
        <v>9165</v>
      </c>
      <c r="B9146" t="s">
        <v>37</v>
      </c>
      <c r="C9146">
        <v>5</v>
      </c>
      <c r="D9146">
        <v>3</v>
      </c>
      <c r="E9146">
        <v>15</v>
      </c>
      <c r="H9146" s="1">
        <v>45010</v>
      </c>
    </row>
    <row r="9147" spans="1:8" x14ac:dyDescent="0.35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H9147" s="1">
        <v>45152</v>
      </c>
    </row>
    <row r="9148" spans="1:8" x14ac:dyDescent="0.35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9168</v>
      </c>
      <c r="B9149" t="s">
        <v>26</v>
      </c>
      <c r="C9149">
        <v>1</v>
      </c>
      <c r="D9149">
        <v>4</v>
      </c>
      <c r="E9149">
        <v>4</v>
      </c>
      <c r="G9149" t="s">
        <v>15</v>
      </c>
      <c r="H9149" s="1">
        <v>45252</v>
      </c>
    </row>
    <row r="9150" spans="1:8" x14ac:dyDescent="0.35">
      <c r="A9150" t="s">
        <v>9169</v>
      </c>
      <c r="B9150" t="s">
        <v>19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9170</v>
      </c>
      <c r="B9151" t="s">
        <v>37</v>
      </c>
      <c r="C9151">
        <v>4</v>
      </c>
      <c r="D9151">
        <v>3</v>
      </c>
      <c r="E9151">
        <v>12</v>
      </c>
      <c r="F9151" t="s">
        <v>14</v>
      </c>
      <c r="H9151" s="1">
        <v>45024</v>
      </c>
    </row>
    <row r="9152" spans="1:8" x14ac:dyDescent="0.35">
      <c r="A9152" t="s">
        <v>9171</v>
      </c>
      <c r="C9152">
        <v>4</v>
      </c>
      <c r="D9152">
        <v>5</v>
      </c>
      <c r="E9152">
        <v>20</v>
      </c>
      <c r="F9152" t="s">
        <v>21</v>
      </c>
      <c r="H9152" s="1">
        <v>44964</v>
      </c>
    </row>
    <row r="9153" spans="1:8" x14ac:dyDescent="0.35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H9154" s="1">
        <v>44939</v>
      </c>
    </row>
    <row r="9155" spans="1:8" x14ac:dyDescent="0.35">
      <c r="A9155" t="s">
        <v>9174</v>
      </c>
      <c r="C9155">
        <v>5</v>
      </c>
      <c r="D9155">
        <v>1</v>
      </c>
      <c r="E9155">
        <v>5</v>
      </c>
      <c r="H9155" s="1">
        <v>45153</v>
      </c>
    </row>
    <row r="9156" spans="1:8" x14ac:dyDescent="0.35">
      <c r="A9156" t="s">
        <v>9175</v>
      </c>
      <c r="B9156" t="s">
        <v>37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9176</v>
      </c>
      <c r="B9157" t="s">
        <v>17</v>
      </c>
      <c r="C9157">
        <v>2</v>
      </c>
      <c r="D9157">
        <v>1</v>
      </c>
      <c r="E9157">
        <v>2</v>
      </c>
      <c r="F9157" t="s">
        <v>14</v>
      </c>
    </row>
    <row r="9158" spans="1:8" x14ac:dyDescent="0.35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H9158" s="1">
        <v>45215</v>
      </c>
    </row>
    <row r="9159" spans="1:8" x14ac:dyDescent="0.35">
      <c r="A9159" t="s">
        <v>9178</v>
      </c>
      <c r="B9159" t="s">
        <v>13</v>
      </c>
      <c r="C9159">
        <v>1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H9160" s="1">
        <v>45258</v>
      </c>
    </row>
    <row r="9161" spans="1:8" x14ac:dyDescent="0.35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9182</v>
      </c>
      <c r="B9163" t="s">
        <v>9</v>
      </c>
      <c r="C9163">
        <v>1</v>
      </c>
      <c r="D9163">
        <v>2</v>
      </c>
      <c r="E9163">
        <v>2</v>
      </c>
      <c r="H9163" s="1">
        <v>45064</v>
      </c>
    </row>
    <row r="9164" spans="1:8" x14ac:dyDescent="0.35">
      <c r="A9164" t="s">
        <v>9183</v>
      </c>
      <c r="B9164" t="s">
        <v>19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9184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9188</v>
      </c>
      <c r="B9169" t="s">
        <v>17</v>
      </c>
      <c r="C9169">
        <v>2</v>
      </c>
      <c r="D9169">
        <v>1</v>
      </c>
      <c r="E9169">
        <v>2</v>
      </c>
      <c r="G9169" t="s">
        <v>11</v>
      </c>
    </row>
    <row r="9170" spans="1:8" x14ac:dyDescent="0.35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</row>
    <row r="9171" spans="1:8" x14ac:dyDescent="0.35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</row>
    <row r="9172" spans="1:8" x14ac:dyDescent="0.35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9193</v>
      </c>
      <c r="B9174" t="s">
        <v>19</v>
      </c>
      <c r="C9174">
        <v>5</v>
      </c>
      <c r="D9174">
        <v>5</v>
      </c>
      <c r="E9174">
        <v>25</v>
      </c>
      <c r="H9174" s="1">
        <v>45114</v>
      </c>
    </row>
    <row r="9175" spans="1:8" x14ac:dyDescent="0.35">
      <c r="A9175" t="s">
        <v>9194</v>
      </c>
      <c r="B9175" t="s">
        <v>13</v>
      </c>
      <c r="C9175">
        <v>2</v>
      </c>
      <c r="D9175">
        <v>3</v>
      </c>
      <c r="E9175">
        <v>6</v>
      </c>
      <c r="G9175" t="s">
        <v>15</v>
      </c>
      <c r="H9175" s="1">
        <v>45192</v>
      </c>
    </row>
    <row r="9176" spans="1:8" x14ac:dyDescent="0.35">
      <c r="A9176" t="s">
        <v>9195</v>
      </c>
      <c r="C9176">
        <v>2</v>
      </c>
      <c r="D9176">
        <v>4</v>
      </c>
      <c r="E9176">
        <v>8</v>
      </c>
      <c r="F9176" t="s">
        <v>10</v>
      </c>
      <c r="H9176" s="1">
        <v>45047</v>
      </c>
    </row>
    <row r="9177" spans="1:8" x14ac:dyDescent="0.35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</row>
    <row r="9180" spans="1:8" x14ac:dyDescent="0.35">
      <c r="A9180" t="s">
        <v>9199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9200</v>
      </c>
      <c r="B9181" t="s">
        <v>13</v>
      </c>
      <c r="C9181">
        <v>3</v>
      </c>
      <c r="D9181">
        <v>3</v>
      </c>
      <c r="E9181">
        <v>9</v>
      </c>
      <c r="F9181" t="s">
        <v>21</v>
      </c>
      <c r="G9181" t="s">
        <v>11</v>
      </c>
      <c r="H9181" s="1">
        <v>45216</v>
      </c>
    </row>
    <row r="9182" spans="1:8" x14ac:dyDescent="0.35">
      <c r="A9182" t="s">
        <v>9201</v>
      </c>
      <c r="B9182" t="s">
        <v>37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H9183" s="1">
        <v>44953</v>
      </c>
    </row>
    <row r="9184" spans="1:8" x14ac:dyDescent="0.35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H9184" s="1">
        <v>44930</v>
      </c>
    </row>
    <row r="9185" spans="1:8" x14ac:dyDescent="0.35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9205</v>
      </c>
      <c r="B9186" t="s">
        <v>37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9207</v>
      </c>
      <c r="B9188" t="s">
        <v>13</v>
      </c>
      <c r="C9188">
        <v>4</v>
      </c>
      <c r="D9188">
        <v>3</v>
      </c>
      <c r="E9188">
        <v>12</v>
      </c>
      <c r="H9188" s="1">
        <v>44968</v>
      </c>
    </row>
    <row r="9189" spans="1:8" x14ac:dyDescent="0.35">
      <c r="A9189" t="s">
        <v>9208</v>
      </c>
      <c r="B9189" t="s">
        <v>63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9210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9211</v>
      </c>
      <c r="C9192">
        <v>2</v>
      </c>
      <c r="D9192">
        <v>2</v>
      </c>
      <c r="E9192">
        <v>4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9212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9213</v>
      </c>
      <c r="B9194" t="s">
        <v>23</v>
      </c>
      <c r="C9194">
        <v>3</v>
      </c>
      <c r="D9194">
        <v>4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H9195" s="1">
        <v>44957</v>
      </c>
    </row>
    <row r="9196" spans="1:8" x14ac:dyDescent="0.35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9217</v>
      </c>
      <c r="B9198" t="s">
        <v>23</v>
      </c>
      <c r="C9198">
        <v>1</v>
      </c>
      <c r="D9198">
        <v>4</v>
      </c>
      <c r="E9198">
        <v>4</v>
      </c>
      <c r="H9198" s="1">
        <v>45232</v>
      </c>
    </row>
    <row r="9199" spans="1:8" x14ac:dyDescent="0.35">
      <c r="A9199" t="s">
        <v>9218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</row>
    <row r="9201" spans="1:8" x14ac:dyDescent="0.35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9222</v>
      </c>
      <c r="B9203" t="s">
        <v>63</v>
      </c>
      <c r="C9203">
        <v>2</v>
      </c>
      <c r="D9203">
        <v>1.5</v>
      </c>
      <c r="E9203">
        <v>3</v>
      </c>
      <c r="H9203" s="1">
        <v>44997</v>
      </c>
    </row>
    <row r="9204" spans="1:8" x14ac:dyDescent="0.35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9225</v>
      </c>
      <c r="B9206" t="s">
        <v>23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9228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9229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9230</v>
      </c>
      <c r="B9211" t="s">
        <v>17</v>
      </c>
      <c r="C9211">
        <v>3</v>
      </c>
      <c r="D9211">
        <v>1</v>
      </c>
      <c r="E9211">
        <v>3</v>
      </c>
      <c r="F9211" t="s">
        <v>21</v>
      </c>
      <c r="G9211" t="s">
        <v>15</v>
      </c>
      <c r="H9211" s="1">
        <v>44945</v>
      </c>
    </row>
    <row r="9212" spans="1:8" x14ac:dyDescent="0.35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H9212" s="1">
        <v>45115</v>
      </c>
    </row>
    <row r="9213" spans="1:8" x14ac:dyDescent="0.35">
      <c r="A9213" t="s">
        <v>9232</v>
      </c>
      <c r="B9213" t="s">
        <v>23</v>
      </c>
      <c r="C9213">
        <v>5</v>
      </c>
      <c r="D9213">
        <v>4</v>
      </c>
      <c r="E9213">
        <v>20</v>
      </c>
      <c r="H9213" s="1">
        <v>45248</v>
      </c>
    </row>
    <row r="9214" spans="1:8" x14ac:dyDescent="0.35">
      <c r="A9214" t="s">
        <v>9233</v>
      </c>
      <c r="B9214" t="s">
        <v>63</v>
      </c>
      <c r="C9214">
        <v>1</v>
      </c>
      <c r="D9214">
        <v>1.5</v>
      </c>
      <c r="E9214">
        <v>1.5</v>
      </c>
      <c r="H9214" s="1">
        <v>45001</v>
      </c>
    </row>
    <row r="9215" spans="1:8" x14ac:dyDescent="0.35">
      <c r="A9215" t="s">
        <v>9234</v>
      </c>
      <c r="B9215" t="s">
        <v>19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9235</v>
      </c>
      <c r="B9216" t="s">
        <v>37</v>
      </c>
      <c r="C9216">
        <v>3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</row>
    <row r="9217" spans="1:8" x14ac:dyDescent="0.35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</row>
    <row r="9218" spans="1:8" x14ac:dyDescent="0.35">
      <c r="A9218" t="s">
        <v>9237</v>
      </c>
      <c r="B9218" t="s">
        <v>63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9238</v>
      </c>
      <c r="C9219">
        <v>3</v>
      </c>
      <c r="D9219">
        <v>4</v>
      </c>
      <c r="E9219">
        <v>12</v>
      </c>
      <c r="F9219" t="s">
        <v>21</v>
      </c>
      <c r="G9219" t="s">
        <v>15</v>
      </c>
    </row>
    <row r="9220" spans="1:8" x14ac:dyDescent="0.35">
      <c r="A9220" t="s">
        <v>9239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</row>
    <row r="9221" spans="1:8" x14ac:dyDescent="0.35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</row>
    <row r="9222" spans="1:8" x14ac:dyDescent="0.35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H9222" s="1">
        <v>45171</v>
      </c>
    </row>
    <row r="9223" spans="1:8" x14ac:dyDescent="0.35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9244</v>
      </c>
      <c r="B9225" t="s">
        <v>23</v>
      </c>
      <c r="C9225">
        <v>5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9245</v>
      </c>
      <c r="B9226" t="s">
        <v>17</v>
      </c>
      <c r="C9226">
        <v>5</v>
      </c>
      <c r="D9226">
        <v>1</v>
      </c>
      <c r="E9226">
        <v>5</v>
      </c>
      <c r="F9226" t="s">
        <v>14</v>
      </c>
    </row>
    <row r="9227" spans="1:8" x14ac:dyDescent="0.35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9247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9248</v>
      </c>
      <c r="B9229" t="s">
        <v>23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</row>
    <row r="9232" spans="1:8" x14ac:dyDescent="0.35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</row>
    <row r="9233" spans="1:8" x14ac:dyDescent="0.35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9254</v>
      </c>
      <c r="B9235" t="s">
        <v>37</v>
      </c>
      <c r="C9235">
        <v>3</v>
      </c>
      <c r="D9235">
        <v>3</v>
      </c>
      <c r="E9235">
        <v>9</v>
      </c>
      <c r="G9235" t="s">
        <v>11</v>
      </c>
      <c r="H9235" s="1">
        <v>45109</v>
      </c>
    </row>
    <row r="9236" spans="1:8" x14ac:dyDescent="0.35">
      <c r="A9236" t="s">
        <v>9255</v>
      </c>
      <c r="C9236">
        <v>3</v>
      </c>
      <c r="D9236">
        <v>4</v>
      </c>
      <c r="E9236">
        <v>12</v>
      </c>
      <c r="F9236" t="s">
        <v>21</v>
      </c>
      <c r="H9236" s="1">
        <v>45176</v>
      </c>
    </row>
    <row r="9237" spans="1:8" x14ac:dyDescent="0.35">
      <c r="A9237" t="s">
        <v>9256</v>
      </c>
      <c r="B9237" t="s">
        <v>26</v>
      </c>
      <c r="C9237">
        <v>1</v>
      </c>
      <c r="D9237">
        <v>4</v>
      </c>
      <c r="E9237">
        <v>4</v>
      </c>
      <c r="G9237" t="s">
        <v>15</v>
      </c>
    </row>
    <row r="9238" spans="1:8" x14ac:dyDescent="0.35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9258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9259</v>
      </c>
      <c r="C9240">
        <v>2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H9242" s="1">
        <v>45227</v>
      </c>
    </row>
    <row r="9243" spans="1:8" x14ac:dyDescent="0.35">
      <c r="A9243" t="s">
        <v>9262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H9244" s="1">
        <v>45144</v>
      </c>
    </row>
    <row r="9245" spans="1:8" x14ac:dyDescent="0.35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9266</v>
      </c>
      <c r="B9247" t="s">
        <v>23</v>
      </c>
      <c r="C9247">
        <v>5</v>
      </c>
      <c r="D9247">
        <v>4</v>
      </c>
      <c r="E9247">
        <v>20</v>
      </c>
      <c r="G9247" t="s">
        <v>15</v>
      </c>
    </row>
    <row r="9248" spans="1:8" x14ac:dyDescent="0.35">
      <c r="A9248" t="s">
        <v>9267</v>
      </c>
      <c r="B9248" t="s">
        <v>17</v>
      </c>
      <c r="C9248">
        <v>4</v>
      </c>
      <c r="D9248">
        <v>1</v>
      </c>
      <c r="E9248">
        <v>4</v>
      </c>
      <c r="F9248" t="s">
        <v>21</v>
      </c>
      <c r="G9248" t="s">
        <v>11</v>
      </c>
      <c r="H9248" s="1">
        <v>45241</v>
      </c>
    </row>
    <row r="9249" spans="1:8" x14ac:dyDescent="0.35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9269</v>
      </c>
      <c r="B9250" t="s">
        <v>9</v>
      </c>
      <c r="C9250">
        <v>2</v>
      </c>
      <c r="D9250">
        <v>2</v>
      </c>
      <c r="E9250">
        <v>4</v>
      </c>
      <c r="H9250" s="1">
        <v>45181</v>
      </c>
    </row>
    <row r="9251" spans="1:8" x14ac:dyDescent="0.35">
      <c r="A9251" t="s">
        <v>9270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9272</v>
      </c>
      <c r="B9253" t="s">
        <v>26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9273</v>
      </c>
      <c r="B9254" t="s">
        <v>17</v>
      </c>
      <c r="C9254">
        <v>1</v>
      </c>
      <c r="D9254">
        <v>1</v>
      </c>
      <c r="E9254">
        <v>1</v>
      </c>
      <c r="F9254" t="s">
        <v>10</v>
      </c>
      <c r="H9254" s="1">
        <v>44975</v>
      </c>
    </row>
    <row r="9255" spans="1:8" x14ac:dyDescent="0.35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9276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H9258" s="1">
        <v>44963</v>
      </c>
    </row>
    <row r="9259" spans="1:8" x14ac:dyDescent="0.35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9279</v>
      </c>
      <c r="B9260" t="s">
        <v>23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9280</v>
      </c>
      <c r="B9261" t="s">
        <v>19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</row>
    <row r="9265" spans="1:8" x14ac:dyDescent="0.35">
      <c r="A9265" t="s">
        <v>9284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9285</v>
      </c>
      <c r="B9266" t="s">
        <v>26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9286</v>
      </c>
      <c r="B9267" t="s">
        <v>19</v>
      </c>
      <c r="C9267">
        <v>1</v>
      </c>
      <c r="D9267">
        <v>5</v>
      </c>
      <c r="E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H9270" s="1">
        <v>45218</v>
      </c>
    </row>
    <row r="9271" spans="1:8" x14ac:dyDescent="0.35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</row>
    <row r="9272" spans="1:8" x14ac:dyDescent="0.35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H9272" s="1">
        <v>45145</v>
      </c>
    </row>
    <row r="9273" spans="1:8" x14ac:dyDescent="0.35">
      <c r="A9273" t="s">
        <v>9292</v>
      </c>
      <c r="B9273" t="s">
        <v>26</v>
      </c>
      <c r="C9273">
        <v>3</v>
      </c>
      <c r="D9273">
        <v>4</v>
      </c>
      <c r="E9273">
        <v>12</v>
      </c>
      <c r="G9273" t="s">
        <v>11</v>
      </c>
      <c r="H9273" s="1">
        <v>45101</v>
      </c>
    </row>
    <row r="9274" spans="1:8" x14ac:dyDescent="0.35">
      <c r="A9274" t="s">
        <v>9293</v>
      </c>
      <c r="B9274" t="s">
        <v>37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9295</v>
      </c>
      <c r="B9276" t="s">
        <v>19</v>
      </c>
      <c r="C9276">
        <v>4</v>
      </c>
      <c r="D9276">
        <v>5</v>
      </c>
      <c r="E9276">
        <v>20</v>
      </c>
      <c r="G9276" t="s">
        <v>15</v>
      </c>
      <c r="H9276" s="1">
        <v>44996</v>
      </c>
    </row>
    <row r="9277" spans="1:8" x14ac:dyDescent="0.35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H9277" s="1">
        <v>45203</v>
      </c>
    </row>
    <row r="9278" spans="1:8" x14ac:dyDescent="0.35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9298</v>
      </c>
      <c r="B9279" t="s">
        <v>26</v>
      </c>
      <c r="C9279">
        <v>3</v>
      </c>
      <c r="D9279">
        <v>4</v>
      </c>
      <c r="E9279">
        <v>12</v>
      </c>
      <c r="H9279" s="1">
        <v>45072</v>
      </c>
    </row>
    <row r="9280" spans="1:8" x14ac:dyDescent="0.35">
      <c r="A9280" t="s">
        <v>9299</v>
      </c>
      <c r="C9280">
        <v>5</v>
      </c>
      <c r="D9280">
        <v>3</v>
      </c>
      <c r="E9280">
        <v>15</v>
      </c>
      <c r="F9280" t="s">
        <v>14</v>
      </c>
    </row>
    <row r="9281" spans="1:8" x14ac:dyDescent="0.35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</row>
    <row r="9283" spans="1:8" x14ac:dyDescent="0.35">
      <c r="A9283" t="s">
        <v>9302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</row>
    <row r="9284" spans="1:8" x14ac:dyDescent="0.35">
      <c r="A9284" t="s">
        <v>9303</v>
      </c>
      <c r="B9284" t="s">
        <v>19</v>
      </c>
      <c r="C9284">
        <v>5</v>
      </c>
      <c r="D9284">
        <v>5</v>
      </c>
      <c r="E9284">
        <v>25</v>
      </c>
      <c r="G9284" t="s">
        <v>15</v>
      </c>
      <c r="H9284" s="1">
        <v>45108</v>
      </c>
    </row>
    <row r="9285" spans="1:8" x14ac:dyDescent="0.35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9305</v>
      </c>
      <c r="C9286">
        <v>1</v>
      </c>
      <c r="D9286">
        <v>4</v>
      </c>
      <c r="E9286">
        <v>4</v>
      </c>
      <c r="G9286" t="s">
        <v>15</v>
      </c>
      <c r="H9286" s="1">
        <v>44993</v>
      </c>
    </row>
    <row r="9287" spans="1:8" x14ac:dyDescent="0.35">
      <c r="A9287" t="s">
        <v>9306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</row>
    <row r="9290" spans="1:8" x14ac:dyDescent="0.35">
      <c r="A9290" t="s">
        <v>9309</v>
      </c>
      <c r="B9290" t="s">
        <v>13</v>
      </c>
      <c r="C9290">
        <v>5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</row>
    <row r="9292" spans="1:8" x14ac:dyDescent="0.35">
      <c r="A9292" t="s">
        <v>9311</v>
      </c>
      <c r="B9292" t="s">
        <v>63</v>
      </c>
      <c r="C9292">
        <v>4</v>
      </c>
      <c r="D9292">
        <v>1.5</v>
      </c>
      <c r="E9292">
        <v>6</v>
      </c>
      <c r="H9292" s="1">
        <v>45112</v>
      </c>
    </row>
    <row r="9293" spans="1:8" x14ac:dyDescent="0.35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9313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H9295" s="1">
        <v>45154</v>
      </c>
    </row>
    <row r="9296" spans="1:8" x14ac:dyDescent="0.35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9316</v>
      </c>
      <c r="B9297" t="s">
        <v>63</v>
      </c>
      <c r="C9297">
        <v>3</v>
      </c>
      <c r="D9297">
        <v>1.5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H9298" s="1">
        <v>45173</v>
      </c>
    </row>
    <row r="9299" spans="1:8" x14ac:dyDescent="0.35">
      <c r="A9299" t="s">
        <v>9318</v>
      </c>
      <c r="B9299" t="s">
        <v>37</v>
      </c>
      <c r="C9299">
        <v>1</v>
      </c>
      <c r="D9299">
        <v>3</v>
      </c>
      <c r="E9299">
        <v>3</v>
      </c>
      <c r="G9299" t="s">
        <v>11</v>
      </c>
      <c r="H9299" s="1">
        <v>45028</v>
      </c>
    </row>
    <row r="9300" spans="1:8" x14ac:dyDescent="0.35">
      <c r="A9300" t="s">
        <v>9319</v>
      </c>
      <c r="B9300" t="s">
        <v>19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9320</v>
      </c>
      <c r="B9301" t="s">
        <v>13</v>
      </c>
      <c r="C9301">
        <v>4</v>
      </c>
      <c r="D9301">
        <v>3</v>
      </c>
      <c r="E9301">
        <v>12</v>
      </c>
      <c r="F9301" t="s">
        <v>21</v>
      </c>
      <c r="H9301" s="1">
        <v>45216</v>
      </c>
    </row>
    <row r="9302" spans="1:8" x14ac:dyDescent="0.35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</row>
    <row r="9309" spans="1:8" x14ac:dyDescent="0.35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9329</v>
      </c>
      <c r="B9310" t="s">
        <v>9</v>
      </c>
      <c r="C9310">
        <v>3</v>
      </c>
      <c r="D9310">
        <v>2</v>
      </c>
      <c r="E9310">
        <v>6</v>
      </c>
      <c r="F9310" t="s">
        <v>21</v>
      </c>
      <c r="H9310" s="1">
        <v>45104</v>
      </c>
    </row>
    <row r="9311" spans="1:8" x14ac:dyDescent="0.35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</row>
    <row r="9312" spans="1:8" x14ac:dyDescent="0.35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9333</v>
      </c>
      <c r="B9314" t="s">
        <v>17</v>
      </c>
      <c r="C9314">
        <v>4</v>
      </c>
      <c r="D9314">
        <v>1</v>
      </c>
      <c r="E9314">
        <v>4</v>
      </c>
      <c r="H9314" s="1">
        <v>45125</v>
      </c>
    </row>
    <row r="9315" spans="1:8" x14ac:dyDescent="0.35">
      <c r="A9315" t="s">
        <v>9334</v>
      </c>
      <c r="C9315">
        <v>3</v>
      </c>
      <c r="D9315">
        <v>3</v>
      </c>
      <c r="E9315">
        <v>9</v>
      </c>
      <c r="F9315" t="s">
        <v>21</v>
      </c>
      <c r="H9315" s="1">
        <v>45187</v>
      </c>
    </row>
    <row r="9316" spans="1:8" x14ac:dyDescent="0.35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9336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9337</v>
      </c>
      <c r="B9318" t="s">
        <v>17</v>
      </c>
      <c r="C9318">
        <v>5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9338</v>
      </c>
      <c r="B9319" t="s">
        <v>9</v>
      </c>
      <c r="C9319">
        <v>5</v>
      </c>
      <c r="D9319">
        <v>2</v>
      </c>
      <c r="E9319">
        <v>10</v>
      </c>
      <c r="G9319" t="s">
        <v>15</v>
      </c>
    </row>
    <row r="9320" spans="1:8" x14ac:dyDescent="0.35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</row>
    <row r="9321" spans="1:8" x14ac:dyDescent="0.35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</row>
    <row r="9323" spans="1:8" x14ac:dyDescent="0.35">
      <c r="A9323" t="s">
        <v>9342</v>
      </c>
      <c r="B9323" t="s">
        <v>26</v>
      </c>
      <c r="C9323">
        <v>2</v>
      </c>
      <c r="D9323">
        <v>4</v>
      </c>
      <c r="E9323">
        <v>8</v>
      </c>
      <c r="F9323" t="s">
        <v>10</v>
      </c>
    </row>
    <row r="9324" spans="1:8" x14ac:dyDescent="0.35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</row>
    <row r="9325" spans="1:8" x14ac:dyDescent="0.35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9345</v>
      </c>
      <c r="B9326" t="s">
        <v>9</v>
      </c>
      <c r="C9326">
        <v>4</v>
      </c>
      <c r="D9326">
        <v>2</v>
      </c>
      <c r="E9326">
        <v>8</v>
      </c>
      <c r="G9326" t="s">
        <v>15</v>
      </c>
      <c r="H9326" s="1">
        <v>45216</v>
      </c>
    </row>
    <row r="9327" spans="1:8" x14ac:dyDescent="0.35">
      <c r="A9327" t="s">
        <v>9346</v>
      </c>
      <c r="B9327" t="s">
        <v>37</v>
      </c>
      <c r="C9327">
        <v>5</v>
      </c>
      <c r="D9327">
        <v>3</v>
      </c>
      <c r="E9327">
        <v>15</v>
      </c>
      <c r="G9327" t="s">
        <v>11</v>
      </c>
    </row>
    <row r="9328" spans="1:8" x14ac:dyDescent="0.35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9349</v>
      </c>
      <c r="C9330">
        <v>5</v>
      </c>
      <c r="D9330">
        <v>2</v>
      </c>
      <c r="E9330">
        <v>10</v>
      </c>
      <c r="F9330" t="s">
        <v>21</v>
      </c>
      <c r="H9330" s="1">
        <v>45014</v>
      </c>
    </row>
    <row r="9331" spans="1:8" x14ac:dyDescent="0.35">
      <c r="A9331" t="s">
        <v>9350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</row>
    <row r="9334" spans="1:8" x14ac:dyDescent="0.35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H9334" s="1">
        <v>44939</v>
      </c>
    </row>
    <row r="9335" spans="1:8" x14ac:dyDescent="0.35">
      <c r="A9335" t="s">
        <v>9354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9355</v>
      </c>
      <c r="C9336">
        <v>3</v>
      </c>
      <c r="D9336">
        <v>1.5</v>
      </c>
      <c r="E9336">
        <v>4.5</v>
      </c>
      <c r="H9336" s="1">
        <v>45001</v>
      </c>
    </row>
    <row r="9337" spans="1:8" x14ac:dyDescent="0.35">
      <c r="A9337" t="s">
        <v>9356</v>
      </c>
      <c r="B9337" t="s">
        <v>26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H9339" s="1">
        <v>45018</v>
      </c>
    </row>
    <row r="9340" spans="1:8" x14ac:dyDescent="0.35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9360</v>
      </c>
      <c r="B9341" t="s">
        <v>26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9361</v>
      </c>
      <c r="B9342" t="s">
        <v>19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9362</v>
      </c>
      <c r="B9343" t="s">
        <v>19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9363</v>
      </c>
      <c r="B9344" t="s">
        <v>9</v>
      </c>
      <c r="C9344">
        <v>1</v>
      </c>
      <c r="D9344">
        <v>2</v>
      </c>
      <c r="E9344">
        <v>2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9364</v>
      </c>
      <c r="B9345" t="s">
        <v>13</v>
      </c>
      <c r="C9345">
        <v>5</v>
      </c>
      <c r="D9345">
        <v>3</v>
      </c>
      <c r="E9345">
        <v>15</v>
      </c>
      <c r="G9345" t="s">
        <v>11</v>
      </c>
      <c r="H9345" s="1">
        <v>45285</v>
      </c>
    </row>
    <row r="9346" spans="1:8" x14ac:dyDescent="0.35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</row>
    <row r="9347" spans="1:8" x14ac:dyDescent="0.35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9367</v>
      </c>
      <c r="B9348" t="s">
        <v>23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9368</v>
      </c>
      <c r="B9349" t="s">
        <v>9</v>
      </c>
      <c r="C9349">
        <v>1</v>
      </c>
      <c r="D9349">
        <v>2</v>
      </c>
      <c r="E9349">
        <v>2</v>
      </c>
      <c r="H9349" s="1">
        <v>45131</v>
      </c>
    </row>
    <row r="9350" spans="1:8" x14ac:dyDescent="0.35">
      <c r="A9350" t="s">
        <v>9369</v>
      </c>
      <c r="B9350" t="s">
        <v>37</v>
      </c>
      <c r="C9350">
        <v>5</v>
      </c>
      <c r="D9350">
        <v>3</v>
      </c>
      <c r="E9350">
        <v>15</v>
      </c>
      <c r="H9350" s="1">
        <v>45008</v>
      </c>
    </row>
    <row r="9351" spans="1:8" x14ac:dyDescent="0.35">
      <c r="A9351" t="s">
        <v>9370</v>
      </c>
      <c r="B9351" t="s">
        <v>23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9372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9373</v>
      </c>
      <c r="B9354" t="s">
        <v>19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H9356" s="1">
        <v>45075</v>
      </c>
    </row>
    <row r="9357" spans="1:8" x14ac:dyDescent="0.35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</row>
    <row r="9359" spans="1:8" x14ac:dyDescent="0.35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</row>
    <row r="9360" spans="1:8" x14ac:dyDescent="0.35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9381</v>
      </c>
      <c r="C9362">
        <v>1</v>
      </c>
      <c r="D9362">
        <v>3</v>
      </c>
      <c r="E9362">
        <v>3</v>
      </c>
      <c r="F9362" t="s">
        <v>21</v>
      </c>
      <c r="H9362" s="1">
        <v>45206</v>
      </c>
    </row>
    <row r="9363" spans="1:8" x14ac:dyDescent="0.35">
      <c r="A9363" t="s">
        <v>9382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</row>
    <row r="9364" spans="1:8" x14ac:dyDescent="0.35">
      <c r="A9364" t="s">
        <v>9383</v>
      </c>
      <c r="B9364" t="s">
        <v>9</v>
      </c>
      <c r="C9364">
        <v>2</v>
      </c>
      <c r="D9364">
        <v>2</v>
      </c>
      <c r="E9364">
        <v>4</v>
      </c>
      <c r="H9364" s="1">
        <v>45232</v>
      </c>
    </row>
    <row r="9365" spans="1:8" x14ac:dyDescent="0.35">
      <c r="A9365" t="s">
        <v>9384</v>
      </c>
      <c r="B9365" t="s">
        <v>26</v>
      </c>
      <c r="C9365">
        <v>5</v>
      </c>
      <c r="D9365">
        <v>4</v>
      </c>
      <c r="E9365">
        <v>20</v>
      </c>
      <c r="F9365" t="s">
        <v>21</v>
      </c>
      <c r="G9365" t="s">
        <v>11</v>
      </c>
      <c r="H9365" s="1">
        <v>45250</v>
      </c>
    </row>
    <row r="9366" spans="1:8" x14ac:dyDescent="0.35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9387</v>
      </c>
      <c r="C9368">
        <v>5</v>
      </c>
      <c r="D9368">
        <v>4</v>
      </c>
      <c r="E9368">
        <v>20</v>
      </c>
      <c r="F9368" t="s">
        <v>10</v>
      </c>
      <c r="H9368" s="1">
        <v>45042</v>
      </c>
    </row>
    <row r="9369" spans="1:8" x14ac:dyDescent="0.35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9389</v>
      </c>
      <c r="B9370" t="s">
        <v>17</v>
      </c>
      <c r="C9370">
        <v>3</v>
      </c>
      <c r="D9370">
        <v>1</v>
      </c>
      <c r="E9370">
        <v>3</v>
      </c>
      <c r="F9370" t="s">
        <v>21</v>
      </c>
      <c r="H9370" s="1">
        <v>45075</v>
      </c>
    </row>
    <row r="9371" spans="1:8" x14ac:dyDescent="0.35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</row>
    <row r="9375" spans="1:8" x14ac:dyDescent="0.35">
      <c r="A9375" t="s">
        <v>9394</v>
      </c>
      <c r="B9375" t="s">
        <v>37</v>
      </c>
      <c r="C9375">
        <v>5</v>
      </c>
      <c r="D9375">
        <v>3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9396</v>
      </c>
      <c r="B9377" t="s">
        <v>26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H9378" s="1">
        <v>45192</v>
      </c>
    </row>
    <row r="9379" spans="1:8" x14ac:dyDescent="0.35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</row>
    <row r="9380" spans="1:8" x14ac:dyDescent="0.35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9400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</row>
    <row r="9383" spans="1:8" x14ac:dyDescent="0.35">
      <c r="A9383" t="s">
        <v>9402</v>
      </c>
      <c r="B9383" t="s">
        <v>17</v>
      </c>
      <c r="C9383">
        <v>4</v>
      </c>
      <c r="D9383">
        <v>1</v>
      </c>
      <c r="E9383">
        <v>4</v>
      </c>
      <c r="F9383" t="s">
        <v>21</v>
      </c>
      <c r="G9383" t="s">
        <v>11</v>
      </c>
      <c r="H9383" s="1">
        <v>45079</v>
      </c>
    </row>
    <row r="9384" spans="1:8" x14ac:dyDescent="0.35">
      <c r="A9384" t="s">
        <v>9403</v>
      </c>
      <c r="C9384">
        <v>1</v>
      </c>
      <c r="D9384">
        <v>3</v>
      </c>
      <c r="E9384">
        <v>3</v>
      </c>
      <c r="F9384" t="s">
        <v>14</v>
      </c>
    </row>
    <row r="9385" spans="1:8" x14ac:dyDescent="0.35">
      <c r="A9385" t="s">
        <v>9404</v>
      </c>
      <c r="B9385" t="s">
        <v>26</v>
      </c>
      <c r="C9385">
        <v>4</v>
      </c>
      <c r="D9385">
        <v>4</v>
      </c>
      <c r="E9385">
        <v>16</v>
      </c>
      <c r="G9385" t="s">
        <v>15</v>
      </c>
      <c r="H9385" s="1">
        <v>45136</v>
      </c>
    </row>
    <row r="9386" spans="1:8" x14ac:dyDescent="0.35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H9387" s="1">
        <v>44952</v>
      </c>
    </row>
    <row r="9388" spans="1:8" x14ac:dyDescent="0.35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9410</v>
      </c>
      <c r="B9391" t="s">
        <v>37</v>
      </c>
      <c r="C9391">
        <v>1</v>
      </c>
      <c r="D9391">
        <v>3</v>
      </c>
      <c r="E9391">
        <v>3</v>
      </c>
      <c r="H9391" s="1">
        <v>44960</v>
      </c>
    </row>
    <row r="9392" spans="1:8" x14ac:dyDescent="0.35">
      <c r="A9392" t="s">
        <v>9411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9412</v>
      </c>
      <c r="B9393" t="s">
        <v>37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9413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9415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H9398" s="1">
        <v>45250</v>
      </c>
    </row>
    <row r="9399" spans="1:8" x14ac:dyDescent="0.35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</row>
    <row r="9401" spans="1:8" x14ac:dyDescent="0.35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9421</v>
      </c>
      <c r="B9402" t="s">
        <v>23</v>
      </c>
      <c r="C9402">
        <v>3</v>
      </c>
      <c r="D9402">
        <v>4</v>
      </c>
      <c r="E9402">
        <v>12</v>
      </c>
      <c r="H9402" s="1">
        <v>45204</v>
      </c>
    </row>
    <row r="9403" spans="1:8" x14ac:dyDescent="0.35">
      <c r="A9403" t="s">
        <v>9422</v>
      </c>
      <c r="B9403" t="s">
        <v>63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H9404" s="1">
        <v>45244</v>
      </c>
    </row>
    <row r="9405" spans="1:8" x14ac:dyDescent="0.35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</row>
    <row r="9407" spans="1:8" x14ac:dyDescent="0.35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</row>
    <row r="9408" spans="1:8" x14ac:dyDescent="0.35">
      <c r="A9408" t="s">
        <v>9427</v>
      </c>
      <c r="B9408" t="s">
        <v>13</v>
      </c>
      <c r="C9408">
        <v>3</v>
      </c>
      <c r="D9408">
        <v>3</v>
      </c>
      <c r="E9408">
        <v>9</v>
      </c>
      <c r="G9408" t="s">
        <v>11</v>
      </c>
      <c r="H9408" s="1">
        <v>45274</v>
      </c>
    </row>
    <row r="9409" spans="1:8" x14ac:dyDescent="0.35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</row>
    <row r="9412" spans="1:8" x14ac:dyDescent="0.35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</row>
    <row r="9414" spans="1:8" x14ac:dyDescent="0.35">
      <c r="A9414" t="s">
        <v>9433</v>
      </c>
      <c r="B9414" t="s">
        <v>26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9435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9436</v>
      </c>
      <c r="B9417" t="s">
        <v>26</v>
      </c>
      <c r="C9417">
        <v>3</v>
      </c>
      <c r="D9417">
        <v>4</v>
      </c>
      <c r="E9417">
        <v>12</v>
      </c>
      <c r="H9417" s="1">
        <v>45253</v>
      </c>
    </row>
    <row r="9418" spans="1:8" x14ac:dyDescent="0.35">
      <c r="A9418" t="s">
        <v>9437</v>
      </c>
      <c r="B9418" t="s">
        <v>17</v>
      </c>
      <c r="C9418">
        <v>2</v>
      </c>
      <c r="D9418">
        <v>1</v>
      </c>
      <c r="E9418">
        <v>2</v>
      </c>
      <c r="H9418" s="1">
        <v>45264</v>
      </c>
    </row>
    <row r="9419" spans="1:8" x14ac:dyDescent="0.35">
      <c r="A9419" t="s">
        <v>9438</v>
      </c>
      <c r="B9419" t="s">
        <v>26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9439</v>
      </c>
      <c r="B9420" t="s">
        <v>9</v>
      </c>
      <c r="C9420">
        <v>4</v>
      </c>
      <c r="D9420">
        <v>2</v>
      </c>
      <c r="E9420">
        <v>8</v>
      </c>
      <c r="H9420" s="1">
        <v>45103</v>
      </c>
    </row>
    <row r="9421" spans="1:8" x14ac:dyDescent="0.35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</row>
    <row r="9422" spans="1:8" x14ac:dyDescent="0.35">
      <c r="A9422" t="s">
        <v>9441</v>
      </c>
      <c r="B9422" t="s">
        <v>37</v>
      </c>
      <c r="C9422">
        <v>1</v>
      </c>
      <c r="D9422">
        <v>3</v>
      </c>
      <c r="E9422">
        <v>3</v>
      </c>
      <c r="H9422" s="1">
        <v>45232</v>
      </c>
    </row>
    <row r="9423" spans="1:8" x14ac:dyDescent="0.35">
      <c r="A9423" t="s">
        <v>9442</v>
      </c>
      <c r="B9423" t="s">
        <v>17</v>
      </c>
      <c r="C9423">
        <v>1</v>
      </c>
      <c r="D9423">
        <v>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9445</v>
      </c>
      <c r="B9426" t="s">
        <v>17</v>
      </c>
      <c r="C9426">
        <v>5</v>
      </c>
      <c r="D9426">
        <v>1</v>
      </c>
      <c r="E9426">
        <v>5</v>
      </c>
      <c r="G9426" t="s">
        <v>11</v>
      </c>
      <c r="H9426" s="1">
        <v>45201</v>
      </c>
    </row>
    <row r="9427" spans="1:8" x14ac:dyDescent="0.35">
      <c r="A9427" t="s">
        <v>9446</v>
      </c>
      <c r="C9427">
        <v>3</v>
      </c>
      <c r="D9427">
        <v>2</v>
      </c>
      <c r="E9427">
        <v>6</v>
      </c>
      <c r="H9427" s="1">
        <v>45190</v>
      </c>
    </row>
    <row r="9428" spans="1:8" x14ac:dyDescent="0.35">
      <c r="A9428" t="s">
        <v>9447</v>
      </c>
      <c r="B9428" t="s">
        <v>9</v>
      </c>
      <c r="C9428">
        <v>2</v>
      </c>
      <c r="D9428">
        <v>2</v>
      </c>
      <c r="E9428">
        <v>4</v>
      </c>
      <c r="G9428" t="s">
        <v>15</v>
      </c>
      <c r="H9428" s="1">
        <v>45168</v>
      </c>
    </row>
    <row r="9429" spans="1:8" x14ac:dyDescent="0.35">
      <c r="A9429" t="s">
        <v>9448</v>
      </c>
      <c r="C9429">
        <v>4</v>
      </c>
      <c r="D9429">
        <v>3</v>
      </c>
      <c r="E9429">
        <v>12</v>
      </c>
      <c r="F9429" t="s">
        <v>21</v>
      </c>
      <c r="H9429" s="1">
        <v>44953</v>
      </c>
    </row>
    <row r="9430" spans="1:8" x14ac:dyDescent="0.35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</row>
    <row r="9431" spans="1:8" x14ac:dyDescent="0.35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H9431" s="1">
        <v>45188</v>
      </c>
    </row>
    <row r="9432" spans="1:8" x14ac:dyDescent="0.35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H9433" s="1">
        <v>45010</v>
      </c>
    </row>
    <row r="9434" spans="1:8" x14ac:dyDescent="0.35">
      <c r="A9434" t="s">
        <v>9453</v>
      </c>
      <c r="B9434" t="s">
        <v>9</v>
      </c>
      <c r="C9434">
        <v>4</v>
      </c>
      <c r="D9434">
        <v>2</v>
      </c>
      <c r="E9434">
        <v>8</v>
      </c>
      <c r="H9434" s="1">
        <v>44939</v>
      </c>
    </row>
    <row r="9435" spans="1:8" x14ac:dyDescent="0.35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</row>
    <row r="9437" spans="1:8" x14ac:dyDescent="0.35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</row>
    <row r="9439" spans="1:8" x14ac:dyDescent="0.35">
      <c r="A9439" t="s">
        <v>9458</v>
      </c>
      <c r="B9439" t="s">
        <v>37</v>
      </c>
      <c r="C9439">
        <v>2</v>
      </c>
      <c r="D9439">
        <v>3</v>
      </c>
      <c r="E9439">
        <v>6</v>
      </c>
      <c r="H9439" s="1">
        <v>45246</v>
      </c>
    </row>
    <row r="9440" spans="1:8" x14ac:dyDescent="0.35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</row>
    <row r="9441" spans="1:8" x14ac:dyDescent="0.35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</row>
    <row r="9442" spans="1:8" x14ac:dyDescent="0.35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9462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9463</v>
      </c>
      <c r="B9444" t="s">
        <v>63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9464</v>
      </c>
      <c r="B9445" t="s">
        <v>19</v>
      </c>
      <c r="C9445">
        <v>1</v>
      </c>
      <c r="D9445">
        <v>5</v>
      </c>
      <c r="E9445">
        <v>5</v>
      </c>
      <c r="H9445" s="1">
        <v>45029</v>
      </c>
    </row>
    <row r="9446" spans="1:8" x14ac:dyDescent="0.35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9466</v>
      </c>
      <c r="B9447" t="s">
        <v>23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9467</v>
      </c>
      <c r="B9448" t="s">
        <v>17</v>
      </c>
      <c r="C9448">
        <v>1</v>
      </c>
      <c r="D9448">
        <v>1</v>
      </c>
      <c r="E9448">
        <v>1</v>
      </c>
      <c r="F9448" t="s">
        <v>14</v>
      </c>
      <c r="H9448" s="1">
        <v>45036</v>
      </c>
    </row>
    <row r="9449" spans="1:8" x14ac:dyDescent="0.35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9469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9471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9472</v>
      </c>
      <c r="B9453" t="s">
        <v>26</v>
      </c>
      <c r="C9453">
        <v>1</v>
      </c>
      <c r="D9453">
        <v>4</v>
      </c>
      <c r="E9453">
        <v>4</v>
      </c>
      <c r="G9453" t="s">
        <v>11</v>
      </c>
    </row>
    <row r="9454" spans="1:8" x14ac:dyDescent="0.35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9475</v>
      </c>
      <c r="C9456">
        <v>4</v>
      </c>
      <c r="D9456">
        <v>1.5</v>
      </c>
      <c r="E9456">
        <v>6</v>
      </c>
      <c r="F9456" t="s">
        <v>14</v>
      </c>
    </row>
    <row r="9457" spans="1:8" x14ac:dyDescent="0.35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9478</v>
      </c>
      <c r="B9459" t="s">
        <v>37</v>
      </c>
      <c r="C9459">
        <v>4</v>
      </c>
      <c r="D9459">
        <v>3</v>
      </c>
      <c r="E9459">
        <v>12</v>
      </c>
    </row>
    <row r="9460" spans="1:8" x14ac:dyDescent="0.35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H9460" s="1">
        <v>45193</v>
      </c>
    </row>
    <row r="9461" spans="1:8" x14ac:dyDescent="0.35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</row>
    <row r="9462" spans="1:8" x14ac:dyDescent="0.35">
      <c r="A9462" t="s">
        <v>9481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9482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9483</v>
      </c>
      <c r="B9464" t="s">
        <v>63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9485</v>
      </c>
      <c r="B9466" t="s">
        <v>13</v>
      </c>
      <c r="C9466">
        <v>1</v>
      </c>
      <c r="D9466">
        <v>3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9487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</row>
    <row r="9470" spans="1:8" x14ac:dyDescent="0.35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9490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9492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9493</v>
      </c>
      <c r="B9474" t="s">
        <v>37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H9475" s="1">
        <v>45191</v>
      </c>
    </row>
    <row r="9476" spans="1:8" x14ac:dyDescent="0.35">
      <c r="A9476" t="s">
        <v>9495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</row>
    <row r="9478" spans="1:8" x14ac:dyDescent="0.35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9498</v>
      </c>
      <c r="B9479" t="s">
        <v>37</v>
      </c>
      <c r="C9479">
        <v>3</v>
      </c>
      <c r="D9479">
        <v>3</v>
      </c>
      <c r="E9479">
        <v>9</v>
      </c>
      <c r="H9479" s="1">
        <v>45019</v>
      </c>
    </row>
    <row r="9480" spans="1:8" x14ac:dyDescent="0.35">
      <c r="A9480" t="s">
        <v>9499</v>
      </c>
      <c r="B9480" t="s">
        <v>23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H9482" s="1">
        <v>45268</v>
      </c>
    </row>
    <row r="9483" spans="1:8" x14ac:dyDescent="0.35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9503</v>
      </c>
      <c r="B9484" t="s">
        <v>19</v>
      </c>
      <c r="C9484">
        <v>4</v>
      </c>
      <c r="D9484">
        <v>5</v>
      </c>
      <c r="E9484">
        <v>20</v>
      </c>
      <c r="F9484" t="s">
        <v>14</v>
      </c>
      <c r="H9484" s="1">
        <v>44975</v>
      </c>
    </row>
    <row r="9485" spans="1:8" x14ac:dyDescent="0.35">
      <c r="A9485" t="s">
        <v>9504</v>
      </c>
      <c r="B9485" t="s">
        <v>37</v>
      </c>
      <c r="C9485">
        <v>3</v>
      </c>
      <c r="D9485">
        <v>3</v>
      </c>
      <c r="E9485">
        <v>9</v>
      </c>
      <c r="G9485" t="s">
        <v>15</v>
      </c>
      <c r="H9485" s="1">
        <v>45039</v>
      </c>
    </row>
    <row r="9486" spans="1:8" x14ac:dyDescent="0.35">
      <c r="A9486" t="s">
        <v>9505</v>
      </c>
      <c r="B9486" t="s">
        <v>13</v>
      </c>
      <c r="C9486">
        <v>3</v>
      </c>
      <c r="D9486">
        <v>3</v>
      </c>
      <c r="E9486">
        <v>9</v>
      </c>
      <c r="F9486" t="s">
        <v>10</v>
      </c>
      <c r="H9486" s="1">
        <v>45252</v>
      </c>
    </row>
    <row r="9487" spans="1:8" x14ac:dyDescent="0.35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9507</v>
      </c>
      <c r="B9488" t="s">
        <v>17</v>
      </c>
      <c r="C9488">
        <v>3</v>
      </c>
      <c r="D9488">
        <v>1</v>
      </c>
      <c r="E9488">
        <v>3</v>
      </c>
      <c r="G9488" t="s">
        <v>11</v>
      </c>
      <c r="H9488" s="1">
        <v>44982</v>
      </c>
    </row>
    <row r="9489" spans="1:8" x14ac:dyDescent="0.35">
      <c r="A9489" t="s">
        <v>9508</v>
      </c>
      <c r="B9489" t="s">
        <v>23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H9490" s="1">
        <v>45133</v>
      </c>
    </row>
    <row r="9491" spans="1:8" x14ac:dyDescent="0.35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9511</v>
      </c>
      <c r="C9492">
        <v>2</v>
      </c>
      <c r="D9492">
        <v>3</v>
      </c>
      <c r="E9492">
        <v>6</v>
      </c>
      <c r="G9492" t="s">
        <v>15</v>
      </c>
      <c r="H9492" s="1">
        <v>45198</v>
      </c>
    </row>
    <row r="9493" spans="1:8" x14ac:dyDescent="0.35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H9493" s="1">
        <v>44982</v>
      </c>
    </row>
    <row r="9494" spans="1:8" x14ac:dyDescent="0.35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H9494" s="1">
        <v>45093</v>
      </c>
    </row>
    <row r="9495" spans="1:8" x14ac:dyDescent="0.35">
      <c r="A9495" t="s">
        <v>9514</v>
      </c>
      <c r="B9495" t="s">
        <v>13</v>
      </c>
      <c r="C9495">
        <v>5</v>
      </c>
      <c r="D9495">
        <v>3</v>
      </c>
      <c r="E9495">
        <v>15</v>
      </c>
      <c r="G9495" t="s">
        <v>15</v>
      </c>
      <c r="H9495" s="1">
        <v>45018</v>
      </c>
    </row>
    <row r="9496" spans="1:8" x14ac:dyDescent="0.35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</row>
    <row r="9497" spans="1:8" x14ac:dyDescent="0.35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</row>
    <row r="9498" spans="1:8" x14ac:dyDescent="0.35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</row>
    <row r="9499" spans="1:8" x14ac:dyDescent="0.35">
      <c r="A9499" t="s">
        <v>9518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9519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9520</v>
      </c>
      <c r="B9501" t="s">
        <v>19</v>
      </c>
      <c r="C9501">
        <v>1</v>
      </c>
      <c r="D9501">
        <v>5</v>
      </c>
      <c r="E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9521</v>
      </c>
      <c r="B9502" t="s">
        <v>37</v>
      </c>
      <c r="C9502">
        <v>5</v>
      </c>
      <c r="D9502">
        <v>3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9522</v>
      </c>
      <c r="C9503">
        <v>4</v>
      </c>
      <c r="D9503">
        <v>2</v>
      </c>
      <c r="E9503">
        <v>8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9523</v>
      </c>
      <c r="B9504" t="s">
        <v>19</v>
      </c>
      <c r="C9504">
        <v>5</v>
      </c>
      <c r="D9504">
        <v>5</v>
      </c>
      <c r="E9504">
        <v>25</v>
      </c>
      <c r="H9504" s="1">
        <v>45064</v>
      </c>
    </row>
    <row r="9505" spans="1:8" x14ac:dyDescent="0.35">
      <c r="A9505" t="s">
        <v>9524</v>
      </c>
      <c r="B9505" t="s">
        <v>19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9529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</row>
    <row r="9511" spans="1:8" x14ac:dyDescent="0.35">
      <c r="A9511" t="s">
        <v>9530</v>
      </c>
      <c r="B9511" t="s">
        <v>26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9532</v>
      </c>
      <c r="B9513" t="s">
        <v>19</v>
      </c>
      <c r="C9513">
        <v>1</v>
      </c>
      <c r="D9513">
        <v>5</v>
      </c>
      <c r="E9513">
        <v>5</v>
      </c>
      <c r="F9513" t="s">
        <v>21</v>
      </c>
      <c r="G9513" t="s">
        <v>15</v>
      </c>
      <c r="H9513" s="1">
        <v>45133</v>
      </c>
    </row>
    <row r="9514" spans="1:8" x14ac:dyDescent="0.35">
      <c r="A9514" t="s">
        <v>9533</v>
      </c>
      <c r="B9514" t="s">
        <v>13</v>
      </c>
      <c r="C9514">
        <v>4</v>
      </c>
      <c r="D9514">
        <v>3</v>
      </c>
      <c r="E9514">
        <v>12</v>
      </c>
      <c r="H9514" s="1">
        <v>45059</v>
      </c>
    </row>
    <row r="9515" spans="1:8" x14ac:dyDescent="0.35">
      <c r="A9515" t="s">
        <v>9534</v>
      </c>
      <c r="C9515">
        <v>4</v>
      </c>
      <c r="D9515">
        <v>4</v>
      </c>
      <c r="E9515">
        <v>16</v>
      </c>
      <c r="F9515" t="s">
        <v>21</v>
      </c>
      <c r="H9515" s="1">
        <v>45182</v>
      </c>
    </row>
    <row r="9516" spans="1:8" x14ac:dyDescent="0.35">
      <c r="A9516" t="s">
        <v>9535</v>
      </c>
      <c r="B9516" t="s">
        <v>17</v>
      </c>
      <c r="C9516">
        <v>1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H9517" s="1">
        <v>45212</v>
      </c>
    </row>
    <row r="9518" spans="1:8" x14ac:dyDescent="0.35">
      <c r="A9518" t="s">
        <v>9537</v>
      </c>
      <c r="B9518" t="s">
        <v>13</v>
      </c>
      <c r="C9518">
        <v>4</v>
      </c>
      <c r="D9518">
        <v>3</v>
      </c>
      <c r="E9518">
        <v>12</v>
      </c>
      <c r="H9518" s="1">
        <v>44934</v>
      </c>
    </row>
    <row r="9519" spans="1:8" x14ac:dyDescent="0.35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</row>
    <row r="9520" spans="1:8" x14ac:dyDescent="0.35">
      <c r="A9520" t="s">
        <v>9539</v>
      </c>
      <c r="B9520" t="s">
        <v>23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H9522" s="1">
        <v>45221</v>
      </c>
    </row>
    <row r="9523" spans="1:8" x14ac:dyDescent="0.35">
      <c r="A9523" t="s">
        <v>9542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9543</v>
      </c>
      <c r="B9524" t="s">
        <v>13</v>
      </c>
      <c r="C9524">
        <v>2</v>
      </c>
      <c r="D9524">
        <v>3</v>
      </c>
      <c r="E9524">
        <v>6</v>
      </c>
      <c r="G9524" t="s">
        <v>15</v>
      </c>
      <c r="H9524" s="1">
        <v>44929</v>
      </c>
    </row>
    <row r="9525" spans="1:8" x14ac:dyDescent="0.35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9545</v>
      </c>
      <c r="B9526" t="s">
        <v>23</v>
      </c>
      <c r="C9526">
        <v>3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9546</v>
      </c>
      <c r="B9527" t="s">
        <v>26</v>
      </c>
      <c r="C9527">
        <v>4</v>
      </c>
      <c r="D9527">
        <v>4</v>
      </c>
      <c r="E9527">
        <v>16</v>
      </c>
      <c r="G9527" t="s">
        <v>15</v>
      </c>
      <c r="H9527" s="1">
        <v>45178</v>
      </c>
    </row>
    <row r="9528" spans="1:8" x14ac:dyDescent="0.35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</row>
    <row r="9530" spans="1:8" x14ac:dyDescent="0.35">
      <c r="A9530" t="s">
        <v>9549</v>
      </c>
      <c r="B9530" t="s">
        <v>19</v>
      </c>
      <c r="C9530">
        <v>2</v>
      </c>
      <c r="D9530">
        <v>5</v>
      </c>
      <c r="E9530">
        <v>10</v>
      </c>
      <c r="F9530" t="s">
        <v>21</v>
      </c>
      <c r="G9530" t="s">
        <v>15</v>
      </c>
      <c r="H9530" s="1">
        <v>45241</v>
      </c>
    </row>
    <row r="9531" spans="1:8" x14ac:dyDescent="0.35">
      <c r="A9531" t="s">
        <v>9550</v>
      </c>
      <c r="B9531" t="s">
        <v>26</v>
      </c>
      <c r="C9531">
        <v>3</v>
      </c>
      <c r="D9531">
        <v>4</v>
      </c>
      <c r="E9531">
        <v>12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9551</v>
      </c>
      <c r="C9532">
        <v>2</v>
      </c>
      <c r="D9532">
        <v>4</v>
      </c>
      <c r="E9532">
        <v>8</v>
      </c>
      <c r="F9532" t="s">
        <v>10</v>
      </c>
      <c r="H9532" s="1">
        <v>45220</v>
      </c>
    </row>
    <row r="9533" spans="1:8" x14ac:dyDescent="0.35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</row>
    <row r="9534" spans="1:8" x14ac:dyDescent="0.35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H9534" s="1">
        <v>45116</v>
      </c>
    </row>
    <row r="9535" spans="1:8" x14ac:dyDescent="0.35">
      <c r="A9535" t="s">
        <v>9554</v>
      </c>
      <c r="B9535" t="s">
        <v>23</v>
      </c>
      <c r="C9535">
        <v>5</v>
      </c>
      <c r="D9535">
        <v>4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H9536" s="1">
        <v>45199</v>
      </c>
    </row>
    <row r="9537" spans="1:8" x14ac:dyDescent="0.35">
      <c r="A9537" t="s">
        <v>9556</v>
      </c>
      <c r="B9537" t="s">
        <v>23</v>
      </c>
      <c r="C9537">
        <v>5</v>
      </c>
      <c r="D9537">
        <v>4</v>
      </c>
      <c r="E9537">
        <v>20</v>
      </c>
      <c r="G9537" t="s">
        <v>15</v>
      </c>
      <c r="H9537" s="1">
        <v>44980</v>
      </c>
    </row>
    <row r="9538" spans="1:8" x14ac:dyDescent="0.35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9558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H9540" s="1">
        <v>45240</v>
      </c>
    </row>
    <row r="9541" spans="1:8" x14ac:dyDescent="0.35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H9541" s="1">
        <v>44975</v>
      </c>
    </row>
    <row r="9542" spans="1:8" x14ac:dyDescent="0.35">
      <c r="A9542" t="s">
        <v>9561</v>
      </c>
      <c r="B9542" t="s">
        <v>37</v>
      </c>
      <c r="C9542">
        <v>4</v>
      </c>
      <c r="D9542">
        <v>3</v>
      </c>
      <c r="E9542">
        <v>12</v>
      </c>
      <c r="H9542" s="1">
        <v>45114</v>
      </c>
    </row>
    <row r="9543" spans="1:8" x14ac:dyDescent="0.35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</row>
    <row r="9546" spans="1:8" x14ac:dyDescent="0.35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9566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9568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</row>
    <row r="9551" spans="1:8" x14ac:dyDescent="0.35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9571</v>
      </c>
      <c r="B9552" t="s">
        <v>26</v>
      </c>
      <c r="C9552">
        <v>3</v>
      </c>
      <c r="D9552">
        <v>4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9572</v>
      </c>
      <c r="B9553" t="s">
        <v>23</v>
      </c>
      <c r="C9553">
        <v>4</v>
      </c>
      <c r="D9553">
        <v>4</v>
      </c>
      <c r="E9553">
        <v>16</v>
      </c>
      <c r="G9553" t="s">
        <v>11</v>
      </c>
      <c r="H9553" s="1">
        <v>45239</v>
      </c>
    </row>
    <row r="9554" spans="1:8" x14ac:dyDescent="0.35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9574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9575</v>
      </c>
      <c r="B9556" t="s">
        <v>26</v>
      </c>
      <c r="C9556">
        <v>5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9578</v>
      </c>
      <c r="B9559" t="s">
        <v>37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9581</v>
      </c>
      <c r="B9562" t="s">
        <v>17</v>
      </c>
      <c r="C9562">
        <v>2</v>
      </c>
      <c r="D9562">
        <v>1</v>
      </c>
      <c r="E9562">
        <v>2</v>
      </c>
      <c r="F9562" t="s">
        <v>21</v>
      </c>
      <c r="H9562" s="1">
        <v>45273</v>
      </c>
    </row>
    <row r="9563" spans="1:8" x14ac:dyDescent="0.35">
      <c r="A9563" t="s">
        <v>9582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</row>
    <row r="9566" spans="1:8" x14ac:dyDescent="0.35">
      <c r="A9566" t="s">
        <v>9585</v>
      </c>
      <c r="B9566" t="s">
        <v>63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H9567" s="1">
        <v>45245</v>
      </c>
    </row>
    <row r="9568" spans="1:8" x14ac:dyDescent="0.35">
      <c r="A9568" t="s">
        <v>9587</v>
      </c>
      <c r="B9568" t="s">
        <v>26</v>
      </c>
      <c r="C9568">
        <v>2</v>
      </c>
      <c r="D9568">
        <v>4</v>
      </c>
      <c r="E9568">
        <v>8</v>
      </c>
      <c r="H9568" s="1">
        <v>45279</v>
      </c>
    </row>
    <row r="9569" spans="1:8" x14ac:dyDescent="0.35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9589</v>
      </c>
      <c r="B9570" t="s">
        <v>23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9590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9592</v>
      </c>
      <c r="B9573" t="s">
        <v>26</v>
      </c>
      <c r="C9573">
        <v>5</v>
      </c>
      <c r="D9573">
        <v>4</v>
      </c>
      <c r="E9573">
        <v>20</v>
      </c>
      <c r="F9573" t="s">
        <v>21</v>
      </c>
      <c r="G9573" t="s">
        <v>11</v>
      </c>
      <c r="H9573" s="1">
        <v>44949</v>
      </c>
    </row>
    <row r="9574" spans="1:8" x14ac:dyDescent="0.35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</row>
    <row r="9575" spans="1:8" x14ac:dyDescent="0.35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9595</v>
      </c>
      <c r="B9576" t="s">
        <v>17</v>
      </c>
      <c r="C9576">
        <v>4</v>
      </c>
      <c r="D9576">
        <v>1</v>
      </c>
      <c r="E9576">
        <v>4</v>
      </c>
      <c r="H9576" s="1">
        <v>45138</v>
      </c>
    </row>
    <row r="9577" spans="1:8" x14ac:dyDescent="0.35">
      <c r="A9577" t="s">
        <v>9596</v>
      </c>
      <c r="B9577" t="s">
        <v>9</v>
      </c>
      <c r="C9577">
        <v>2</v>
      </c>
      <c r="D9577">
        <v>2</v>
      </c>
      <c r="E9577">
        <v>4</v>
      </c>
      <c r="G9577" t="s">
        <v>15</v>
      </c>
      <c r="H9577" s="1">
        <v>45287</v>
      </c>
    </row>
    <row r="9578" spans="1:8" x14ac:dyDescent="0.35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9598</v>
      </c>
      <c r="B9579" t="s">
        <v>63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9599</v>
      </c>
      <c r="B9580" t="s">
        <v>13</v>
      </c>
      <c r="C9580">
        <v>2</v>
      </c>
      <c r="D9580">
        <v>3</v>
      </c>
      <c r="E9580">
        <v>6</v>
      </c>
    </row>
    <row r="9581" spans="1:8" x14ac:dyDescent="0.35">
      <c r="A9581" t="s">
        <v>9600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9601</v>
      </c>
      <c r="B9582" t="s">
        <v>19</v>
      </c>
      <c r="C9582">
        <v>1</v>
      </c>
      <c r="D9582">
        <v>5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9602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9603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9604</v>
      </c>
      <c r="B9585" t="s">
        <v>23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H9588" s="1">
        <v>45035</v>
      </c>
    </row>
    <row r="9589" spans="1:8" x14ac:dyDescent="0.35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9609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9610</v>
      </c>
      <c r="B9591" t="s">
        <v>37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9611</v>
      </c>
      <c r="B9592" t="s">
        <v>26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H9593" s="1">
        <v>45128</v>
      </c>
    </row>
    <row r="9594" spans="1:8" x14ac:dyDescent="0.35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H9594" s="1">
        <v>45048</v>
      </c>
    </row>
    <row r="9595" spans="1:8" x14ac:dyDescent="0.35">
      <c r="A9595" t="s">
        <v>9614</v>
      </c>
      <c r="B9595" t="s">
        <v>37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H9597" s="1">
        <v>45083</v>
      </c>
    </row>
    <row r="9598" spans="1:8" x14ac:dyDescent="0.35">
      <c r="A9598" t="s">
        <v>9617</v>
      </c>
      <c r="B9598" t="s">
        <v>37</v>
      </c>
      <c r="C9598">
        <v>5</v>
      </c>
      <c r="D9598">
        <v>3</v>
      </c>
      <c r="E9598">
        <v>15</v>
      </c>
      <c r="F9598" t="s">
        <v>21</v>
      </c>
      <c r="H9598" s="1">
        <v>45162</v>
      </c>
    </row>
    <row r="9599" spans="1:8" x14ac:dyDescent="0.35">
      <c r="A9599" t="s">
        <v>9618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9620</v>
      </c>
      <c r="B9601" t="s">
        <v>17</v>
      </c>
      <c r="C9601">
        <v>1</v>
      </c>
      <c r="D9601">
        <v>1</v>
      </c>
      <c r="E9601">
        <v>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9623</v>
      </c>
      <c r="B9604" t="s">
        <v>37</v>
      </c>
      <c r="C9604">
        <v>3</v>
      </c>
      <c r="D9604">
        <v>3</v>
      </c>
      <c r="E9604">
        <v>9</v>
      </c>
      <c r="H9604" s="1">
        <v>44949</v>
      </c>
    </row>
    <row r="9605" spans="1:8" x14ac:dyDescent="0.35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</row>
    <row r="9606" spans="1:8" x14ac:dyDescent="0.35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9626</v>
      </c>
      <c r="B9607" t="s">
        <v>13</v>
      </c>
      <c r="C9607">
        <v>2</v>
      </c>
      <c r="D9607">
        <v>3</v>
      </c>
      <c r="E9607">
        <v>6</v>
      </c>
      <c r="H9607" s="1">
        <v>45069</v>
      </c>
    </row>
    <row r="9608" spans="1:8" x14ac:dyDescent="0.35">
      <c r="A9608" t="s">
        <v>9627</v>
      </c>
      <c r="B9608" t="s">
        <v>19</v>
      </c>
      <c r="C9608">
        <v>5</v>
      </c>
      <c r="D9608">
        <v>5</v>
      </c>
      <c r="E9608">
        <v>25</v>
      </c>
      <c r="G9608" t="s">
        <v>11</v>
      </c>
      <c r="H9608" s="1">
        <v>45117</v>
      </c>
    </row>
    <row r="9609" spans="1:8" x14ac:dyDescent="0.35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9630</v>
      </c>
      <c r="B9611" t="s">
        <v>13</v>
      </c>
      <c r="C9611">
        <v>2</v>
      </c>
      <c r="D9611">
        <v>3</v>
      </c>
      <c r="E9611">
        <v>6</v>
      </c>
      <c r="H9611" s="1">
        <v>45237</v>
      </c>
    </row>
    <row r="9612" spans="1:8" x14ac:dyDescent="0.35">
      <c r="A9612" t="s">
        <v>9631</v>
      </c>
      <c r="C9612">
        <v>1</v>
      </c>
      <c r="D9612">
        <v>3</v>
      </c>
      <c r="E9612">
        <v>3</v>
      </c>
    </row>
    <row r="9613" spans="1:8" x14ac:dyDescent="0.35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9633</v>
      </c>
      <c r="B9614" t="s">
        <v>63</v>
      </c>
      <c r="C9614">
        <v>4</v>
      </c>
      <c r="D9614">
        <v>1.5</v>
      </c>
      <c r="E9614">
        <v>6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H9615" s="1">
        <v>45017</v>
      </c>
    </row>
    <row r="9616" spans="1:8" x14ac:dyDescent="0.35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9636</v>
      </c>
      <c r="B9617" t="s">
        <v>17</v>
      </c>
      <c r="C9617">
        <v>4</v>
      </c>
      <c r="D9617">
        <v>1</v>
      </c>
      <c r="E9617">
        <v>4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9637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</row>
    <row r="9620" spans="1:8" x14ac:dyDescent="0.35">
      <c r="A9620" t="s">
        <v>9639</v>
      </c>
      <c r="B9620" t="s">
        <v>19</v>
      </c>
      <c r="C9620">
        <v>1</v>
      </c>
      <c r="D9620">
        <v>5</v>
      </c>
      <c r="E9620">
        <v>5</v>
      </c>
      <c r="H9620" s="1">
        <v>45208</v>
      </c>
    </row>
    <row r="9621" spans="1:8" x14ac:dyDescent="0.35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9642</v>
      </c>
      <c r="B9623" t="s">
        <v>37</v>
      </c>
      <c r="C9623">
        <v>2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9644</v>
      </c>
      <c r="B9625" t="s">
        <v>63</v>
      </c>
      <c r="C9625">
        <v>5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9645</v>
      </c>
      <c r="B9626" t="s">
        <v>26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</row>
    <row r="9629" spans="1:8" x14ac:dyDescent="0.35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</row>
    <row r="9631" spans="1:8" x14ac:dyDescent="0.35">
      <c r="A9631" t="s">
        <v>9650</v>
      </c>
      <c r="B9631" t="s">
        <v>26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9651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9655</v>
      </c>
      <c r="B9636" t="s">
        <v>13</v>
      </c>
      <c r="C9636">
        <v>5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H9637" s="1">
        <v>44984</v>
      </c>
    </row>
    <row r="9638" spans="1:8" x14ac:dyDescent="0.35">
      <c r="A9638" t="s">
        <v>9657</v>
      </c>
      <c r="B9638" t="s">
        <v>9</v>
      </c>
      <c r="C9638">
        <v>2</v>
      </c>
      <c r="D9638">
        <v>2</v>
      </c>
      <c r="E9638">
        <v>4</v>
      </c>
      <c r="G9638" t="s">
        <v>11</v>
      </c>
      <c r="H9638" s="1">
        <v>45051</v>
      </c>
    </row>
    <row r="9639" spans="1:8" x14ac:dyDescent="0.35">
      <c r="A9639" t="s">
        <v>9658</v>
      </c>
      <c r="B9639" t="s">
        <v>17</v>
      </c>
      <c r="C9639">
        <v>5</v>
      </c>
      <c r="D9639">
        <v>1</v>
      </c>
      <c r="E9639">
        <v>5</v>
      </c>
      <c r="G9639" t="s">
        <v>15</v>
      </c>
      <c r="H9639" s="1">
        <v>45208</v>
      </c>
    </row>
    <row r="9640" spans="1:8" x14ac:dyDescent="0.35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9661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9662</v>
      </c>
      <c r="C9643">
        <v>5</v>
      </c>
      <c r="D9643">
        <v>4</v>
      </c>
      <c r="E9643">
        <v>20</v>
      </c>
      <c r="F9643" t="s">
        <v>21</v>
      </c>
      <c r="H9643" s="1">
        <v>45120</v>
      </c>
    </row>
    <row r="9644" spans="1:8" x14ac:dyDescent="0.35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H9644" s="1">
        <v>45282</v>
      </c>
    </row>
    <row r="9645" spans="1:8" x14ac:dyDescent="0.35">
      <c r="A9645" t="s">
        <v>9664</v>
      </c>
      <c r="B9645" t="s">
        <v>9</v>
      </c>
      <c r="C9645">
        <v>2</v>
      </c>
      <c r="D9645">
        <v>2</v>
      </c>
      <c r="E9645">
        <v>4</v>
      </c>
      <c r="F9645" t="s">
        <v>21</v>
      </c>
      <c r="G9645" t="s">
        <v>11</v>
      </c>
      <c r="H9645" s="1">
        <v>45207</v>
      </c>
    </row>
    <row r="9646" spans="1:8" x14ac:dyDescent="0.35">
      <c r="A9646" t="s">
        <v>9665</v>
      </c>
      <c r="B9646" t="s">
        <v>19</v>
      </c>
      <c r="C9646">
        <v>3</v>
      </c>
      <c r="D9646">
        <v>5</v>
      </c>
      <c r="E9646">
        <v>15</v>
      </c>
      <c r="F9646" t="s">
        <v>10</v>
      </c>
      <c r="H9646" s="1">
        <v>45155</v>
      </c>
    </row>
    <row r="9647" spans="1:8" x14ac:dyDescent="0.35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9668</v>
      </c>
      <c r="B9649" t="s">
        <v>26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9670</v>
      </c>
      <c r="B9651" t="s">
        <v>9</v>
      </c>
      <c r="C9651">
        <v>1</v>
      </c>
      <c r="D9651">
        <v>2</v>
      </c>
      <c r="E9651">
        <v>2</v>
      </c>
      <c r="H9651" s="1">
        <v>44979</v>
      </c>
    </row>
    <row r="9652" spans="1:8" x14ac:dyDescent="0.35">
      <c r="A9652" t="s">
        <v>9671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</row>
    <row r="9653" spans="1:8" x14ac:dyDescent="0.35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</row>
    <row r="9654" spans="1:8" x14ac:dyDescent="0.35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H9655" s="1">
        <v>45264</v>
      </c>
    </row>
    <row r="9656" spans="1:8" x14ac:dyDescent="0.35">
      <c r="A9656" t="s">
        <v>9675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9677</v>
      </c>
      <c r="B9658" t="s">
        <v>13</v>
      </c>
      <c r="C9658">
        <v>2</v>
      </c>
      <c r="D9658">
        <v>3</v>
      </c>
      <c r="E9658">
        <v>6</v>
      </c>
      <c r="F9658" t="s">
        <v>10</v>
      </c>
      <c r="H9658" s="1">
        <v>45012</v>
      </c>
    </row>
    <row r="9659" spans="1:8" x14ac:dyDescent="0.35">
      <c r="A9659" t="s">
        <v>9678</v>
      </c>
      <c r="B9659" t="s">
        <v>63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</row>
    <row r="9662" spans="1:8" x14ac:dyDescent="0.35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9682</v>
      </c>
      <c r="B9663" t="s">
        <v>26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9683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9684</v>
      </c>
      <c r="B9665" t="s">
        <v>9</v>
      </c>
      <c r="C9665">
        <v>1</v>
      </c>
      <c r="D9665">
        <v>2</v>
      </c>
      <c r="E9665">
        <v>2</v>
      </c>
      <c r="H9665" s="1">
        <v>45127</v>
      </c>
    </row>
    <row r="9666" spans="1:8" x14ac:dyDescent="0.35">
      <c r="A9666" t="s">
        <v>9685</v>
      </c>
      <c r="B9666" t="s">
        <v>37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9686</v>
      </c>
      <c r="B9667" t="s">
        <v>23</v>
      </c>
      <c r="C9667">
        <v>3</v>
      </c>
      <c r="D9667">
        <v>4</v>
      </c>
      <c r="E9667">
        <v>12</v>
      </c>
      <c r="G9667" t="s">
        <v>15</v>
      </c>
      <c r="H9667" s="1">
        <v>45078</v>
      </c>
    </row>
    <row r="9668" spans="1:8" x14ac:dyDescent="0.35">
      <c r="A9668" t="s">
        <v>9687</v>
      </c>
      <c r="B9668" t="s">
        <v>63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</row>
    <row r="9670" spans="1:8" x14ac:dyDescent="0.35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9690</v>
      </c>
      <c r="B9671" t="s">
        <v>37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</row>
    <row r="9674" spans="1:8" x14ac:dyDescent="0.35">
      <c r="A9674" t="s">
        <v>9693</v>
      </c>
      <c r="C9674">
        <v>3</v>
      </c>
      <c r="D9674">
        <v>1</v>
      </c>
      <c r="E9674">
        <v>3</v>
      </c>
      <c r="F9674" t="s">
        <v>14</v>
      </c>
      <c r="H9674" s="1">
        <v>45157</v>
      </c>
    </row>
    <row r="9675" spans="1:8" x14ac:dyDescent="0.35">
      <c r="A9675" t="s">
        <v>9694</v>
      </c>
      <c r="C9675">
        <v>1</v>
      </c>
      <c r="D9675">
        <v>4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9696</v>
      </c>
      <c r="B9677" t="s">
        <v>63</v>
      </c>
      <c r="C9677">
        <v>5</v>
      </c>
      <c r="D9677">
        <v>1.5</v>
      </c>
      <c r="E9677">
        <v>7.5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9697</v>
      </c>
      <c r="B9678" t="s">
        <v>63</v>
      </c>
      <c r="C9678">
        <v>3</v>
      </c>
      <c r="D9678">
        <v>1.5</v>
      </c>
      <c r="E9678">
        <v>4.5</v>
      </c>
      <c r="F9678" t="s">
        <v>10</v>
      </c>
      <c r="G9678" t="s">
        <v>11</v>
      </c>
    </row>
    <row r="9679" spans="1:8" x14ac:dyDescent="0.35">
      <c r="A9679" t="s">
        <v>9698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</row>
    <row r="9683" spans="1:8" x14ac:dyDescent="0.35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9703</v>
      </c>
      <c r="B9684" t="s">
        <v>63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9705</v>
      </c>
      <c r="B9686" t="s">
        <v>26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9706</v>
      </c>
      <c r="B9687" t="s">
        <v>26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9707</v>
      </c>
      <c r="B9688" t="s">
        <v>37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H9690" s="1">
        <v>45026</v>
      </c>
    </row>
    <row r="9691" spans="1:8" x14ac:dyDescent="0.35">
      <c r="A9691" t="s">
        <v>9710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9711</v>
      </c>
      <c r="B9692" t="s">
        <v>23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9712</v>
      </c>
      <c r="B9693" t="s">
        <v>9</v>
      </c>
      <c r="C9693">
        <v>1</v>
      </c>
      <c r="D9693">
        <v>2</v>
      </c>
      <c r="E9693">
        <v>2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H9694" s="1">
        <v>45284</v>
      </c>
    </row>
    <row r="9695" spans="1:8" x14ac:dyDescent="0.35">
      <c r="A9695" t="s">
        <v>9714</v>
      </c>
      <c r="B9695" t="s">
        <v>19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9715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H9697" s="1">
        <v>45117</v>
      </c>
    </row>
    <row r="9698" spans="1:8" x14ac:dyDescent="0.35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9718</v>
      </c>
      <c r="B9699" t="s">
        <v>37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9719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9720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9721</v>
      </c>
      <c r="B9702" t="s">
        <v>37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9722</v>
      </c>
      <c r="B9703" t="s">
        <v>23</v>
      </c>
      <c r="C9703">
        <v>5</v>
      </c>
      <c r="D9703">
        <v>4</v>
      </c>
      <c r="E9703">
        <v>20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9724</v>
      </c>
      <c r="B9705" t="s">
        <v>26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H9707" s="1">
        <v>45272</v>
      </c>
    </row>
    <row r="9708" spans="1:8" x14ac:dyDescent="0.35">
      <c r="A9708" t="s">
        <v>9727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H9710" s="1">
        <v>45026</v>
      </c>
    </row>
    <row r="9711" spans="1:8" x14ac:dyDescent="0.35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</row>
    <row r="9712" spans="1:8" x14ac:dyDescent="0.35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</row>
    <row r="9713" spans="1:8" x14ac:dyDescent="0.35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9733</v>
      </c>
      <c r="C9714">
        <v>2</v>
      </c>
      <c r="D9714">
        <v>1</v>
      </c>
      <c r="E9714">
        <v>2</v>
      </c>
      <c r="F9714" t="s">
        <v>21</v>
      </c>
      <c r="H9714" s="1">
        <v>45163</v>
      </c>
    </row>
    <row r="9715" spans="1:8" x14ac:dyDescent="0.35">
      <c r="A9715" t="s">
        <v>9734</v>
      </c>
      <c r="B9715" t="s">
        <v>63</v>
      </c>
      <c r="C9715">
        <v>2</v>
      </c>
      <c r="D9715">
        <v>1.5</v>
      </c>
      <c r="E9715">
        <v>3</v>
      </c>
    </row>
    <row r="9716" spans="1:8" x14ac:dyDescent="0.35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9737</v>
      </c>
      <c r="B9718" t="s">
        <v>19</v>
      </c>
      <c r="C9718">
        <v>3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9738</v>
      </c>
      <c r="C9719">
        <v>1</v>
      </c>
      <c r="D9719">
        <v>2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9740</v>
      </c>
      <c r="B9721" t="s">
        <v>26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9741</v>
      </c>
      <c r="B9722" t="s">
        <v>19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9742</v>
      </c>
      <c r="B9723" t="s">
        <v>63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9744</v>
      </c>
      <c r="B9725" t="s">
        <v>37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H9726" s="1">
        <v>45012</v>
      </c>
    </row>
    <row r="9727" spans="1:8" x14ac:dyDescent="0.35">
      <c r="A9727" t="s">
        <v>9746</v>
      </c>
      <c r="B9727" t="s">
        <v>63</v>
      </c>
      <c r="C9727">
        <v>1</v>
      </c>
      <c r="D9727">
        <v>1.5</v>
      </c>
      <c r="E9727">
        <v>1.5</v>
      </c>
      <c r="F9727" t="s">
        <v>21</v>
      </c>
      <c r="H9727" s="1">
        <v>45084</v>
      </c>
    </row>
    <row r="9728" spans="1:8" x14ac:dyDescent="0.35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9748</v>
      </c>
      <c r="C9729">
        <v>2</v>
      </c>
      <c r="D9729">
        <v>4</v>
      </c>
      <c r="E9729">
        <v>8</v>
      </c>
      <c r="F9729" t="s">
        <v>21</v>
      </c>
      <c r="H9729" s="1">
        <v>45151</v>
      </c>
    </row>
    <row r="9730" spans="1:8" x14ac:dyDescent="0.35">
      <c r="A9730" t="s">
        <v>9749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</row>
    <row r="9732" spans="1:8" x14ac:dyDescent="0.35">
      <c r="A9732" t="s">
        <v>9751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9752</v>
      </c>
      <c r="B9733" t="s">
        <v>23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9755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9757</v>
      </c>
      <c r="B9738" t="s">
        <v>9</v>
      </c>
      <c r="C9738">
        <v>4</v>
      </c>
      <c r="D9738">
        <v>2</v>
      </c>
      <c r="E9738">
        <v>8</v>
      </c>
      <c r="F9738" t="s">
        <v>10</v>
      </c>
      <c r="H9738" s="1">
        <v>45067</v>
      </c>
    </row>
    <row r="9739" spans="1:8" x14ac:dyDescent="0.35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9759</v>
      </c>
      <c r="B9740" t="s">
        <v>17</v>
      </c>
      <c r="C9740">
        <v>4</v>
      </c>
      <c r="D9740">
        <v>1</v>
      </c>
      <c r="E9740">
        <v>4</v>
      </c>
      <c r="F9740" t="s">
        <v>21</v>
      </c>
      <c r="G9740" t="s">
        <v>15</v>
      </c>
      <c r="H9740" s="1">
        <v>45106</v>
      </c>
    </row>
    <row r="9741" spans="1:8" x14ac:dyDescent="0.35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H9742" s="1">
        <v>45054</v>
      </c>
    </row>
    <row r="9743" spans="1:8" x14ac:dyDescent="0.35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9763</v>
      </c>
      <c r="B9744" t="s">
        <v>19</v>
      </c>
      <c r="C9744">
        <v>5</v>
      </c>
      <c r="D9744">
        <v>5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9765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9768</v>
      </c>
      <c r="B9749" t="s">
        <v>19</v>
      </c>
      <c r="C9749">
        <v>2</v>
      </c>
      <c r="D9749">
        <v>5</v>
      </c>
      <c r="E9749">
        <v>10</v>
      </c>
      <c r="G9749" t="s">
        <v>11</v>
      </c>
      <c r="H9749" s="1">
        <v>45105</v>
      </c>
    </row>
    <row r="9750" spans="1:8" x14ac:dyDescent="0.35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H9750" s="1">
        <v>45272</v>
      </c>
    </row>
    <row r="9751" spans="1:8" x14ac:dyDescent="0.35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H9751" s="1">
        <v>45260</v>
      </c>
    </row>
    <row r="9752" spans="1:8" x14ac:dyDescent="0.35">
      <c r="A9752" t="s">
        <v>9771</v>
      </c>
      <c r="B9752" t="s">
        <v>26</v>
      </c>
      <c r="C9752">
        <v>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H9753" s="1">
        <v>44977</v>
      </c>
    </row>
    <row r="9754" spans="1:8" x14ac:dyDescent="0.35">
      <c r="A9754" t="s">
        <v>9773</v>
      </c>
      <c r="C9754">
        <v>1</v>
      </c>
      <c r="D9754">
        <v>2</v>
      </c>
      <c r="E9754">
        <v>2</v>
      </c>
      <c r="G9754" t="s">
        <v>15</v>
      </c>
      <c r="H9754" s="1">
        <v>45008</v>
      </c>
    </row>
    <row r="9755" spans="1:8" x14ac:dyDescent="0.35">
      <c r="A9755" t="s">
        <v>9774</v>
      </c>
      <c r="B9755" t="s">
        <v>37</v>
      </c>
      <c r="C9755">
        <v>1</v>
      </c>
      <c r="D9755">
        <v>3</v>
      </c>
      <c r="E9755">
        <v>3</v>
      </c>
      <c r="F9755" t="s">
        <v>21</v>
      </c>
      <c r="G9755" t="s">
        <v>15</v>
      </c>
      <c r="H9755" s="1">
        <v>44942</v>
      </c>
    </row>
    <row r="9756" spans="1:8" x14ac:dyDescent="0.35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H9756" s="1">
        <v>45080</v>
      </c>
    </row>
    <row r="9757" spans="1:8" x14ac:dyDescent="0.35">
      <c r="A9757" t="s">
        <v>9776</v>
      </c>
      <c r="B9757" t="s">
        <v>26</v>
      </c>
      <c r="C9757">
        <v>3</v>
      </c>
      <c r="D9757">
        <v>4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9777</v>
      </c>
      <c r="B9758" t="s">
        <v>19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</row>
    <row r="9761" spans="1:8" x14ac:dyDescent="0.35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9781</v>
      </c>
      <c r="B9762" t="s">
        <v>37</v>
      </c>
      <c r="C9762">
        <v>4</v>
      </c>
      <c r="D9762">
        <v>3</v>
      </c>
      <c r="E9762">
        <v>12</v>
      </c>
      <c r="H9762" s="1">
        <v>44970</v>
      </c>
    </row>
    <row r="9763" spans="1:8" x14ac:dyDescent="0.35">
      <c r="A9763" t="s">
        <v>9782</v>
      </c>
      <c r="C9763">
        <v>5</v>
      </c>
      <c r="D9763">
        <v>3</v>
      </c>
      <c r="E9763">
        <v>15</v>
      </c>
      <c r="F9763" t="s">
        <v>21</v>
      </c>
      <c r="H9763" s="1">
        <v>45242</v>
      </c>
    </row>
    <row r="9764" spans="1:8" x14ac:dyDescent="0.35">
      <c r="A9764" t="s">
        <v>9783</v>
      </c>
      <c r="B9764" t="s">
        <v>63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9784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9785</v>
      </c>
      <c r="C9766">
        <v>3</v>
      </c>
      <c r="D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9787</v>
      </c>
      <c r="B9768" t="s">
        <v>63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H9769" s="1">
        <v>45134</v>
      </c>
    </row>
    <row r="9770" spans="1:8" x14ac:dyDescent="0.35">
      <c r="A9770" t="s">
        <v>9789</v>
      </c>
      <c r="C9770">
        <v>3</v>
      </c>
      <c r="D9770">
        <v>1.5</v>
      </c>
      <c r="E9770">
        <v>4.5</v>
      </c>
      <c r="F9770" t="s">
        <v>10</v>
      </c>
      <c r="H9770" s="1">
        <v>45203</v>
      </c>
    </row>
    <row r="9771" spans="1:8" x14ac:dyDescent="0.35">
      <c r="A9771" t="s">
        <v>9790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</row>
    <row r="9773" spans="1:8" x14ac:dyDescent="0.35">
      <c r="A9773" t="s">
        <v>9792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</row>
    <row r="9776" spans="1:8" x14ac:dyDescent="0.35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</row>
    <row r="9777" spans="1:8" x14ac:dyDescent="0.35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</row>
    <row r="9778" spans="1:8" x14ac:dyDescent="0.35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9798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</row>
    <row r="9781" spans="1:8" x14ac:dyDescent="0.35">
      <c r="A9781" t="s">
        <v>9800</v>
      </c>
      <c r="B9781" t="s">
        <v>9</v>
      </c>
      <c r="C9781">
        <v>5</v>
      </c>
      <c r="D9781">
        <v>2</v>
      </c>
      <c r="E9781">
        <v>10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9801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9802</v>
      </c>
      <c r="B9783" t="s">
        <v>23</v>
      </c>
      <c r="C9783">
        <v>4</v>
      </c>
      <c r="D9783">
        <v>4</v>
      </c>
      <c r="E9783">
        <v>16</v>
      </c>
      <c r="G9783" t="s">
        <v>11</v>
      </c>
      <c r="H9783" s="1">
        <v>45100</v>
      </c>
    </row>
    <row r="9784" spans="1:8" x14ac:dyDescent="0.35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H9784" s="1">
        <v>45219</v>
      </c>
    </row>
    <row r="9785" spans="1:8" x14ac:dyDescent="0.35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9805</v>
      </c>
      <c r="B9786" t="s">
        <v>26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9809</v>
      </c>
      <c r="C9790">
        <v>5</v>
      </c>
      <c r="D9790">
        <v>5</v>
      </c>
      <c r="E9790">
        <v>25</v>
      </c>
      <c r="F9790" t="s">
        <v>21</v>
      </c>
      <c r="H9790" s="1">
        <v>45186</v>
      </c>
    </row>
    <row r="9791" spans="1:8" x14ac:dyDescent="0.35">
      <c r="A9791" t="s">
        <v>9810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</row>
    <row r="9794" spans="1:8" x14ac:dyDescent="0.35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</row>
    <row r="9795" spans="1:8" x14ac:dyDescent="0.35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</row>
    <row r="9797" spans="1:8" x14ac:dyDescent="0.35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9817</v>
      </c>
      <c r="B9798" t="s">
        <v>17</v>
      </c>
      <c r="C9798">
        <v>2</v>
      </c>
      <c r="D9798">
        <v>1</v>
      </c>
      <c r="E9798">
        <v>2</v>
      </c>
      <c r="F9798" t="s">
        <v>21</v>
      </c>
      <c r="G9798" t="s">
        <v>15</v>
      </c>
      <c r="H9798" s="1">
        <v>44940</v>
      </c>
    </row>
    <row r="9799" spans="1:8" x14ac:dyDescent="0.35">
      <c r="A9799" t="s">
        <v>9818</v>
      </c>
      <c r="B9799" t="s">
        <v>63</v>
      </c>
      <c r="C9799">
        <v>5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9819</v>
      </c>
      <c r="B9800" t="s">
        <v>19</v>
      </c>
      <c r="C9800">
        <v>4</v>
      </c>
      <c r="D9800">
        <v>5</v>
      </c>
      <c r="E9800">
        <v>20</v>
      </c>
      <c r="G9800" t="s">
        <v>15</v>
      </c>
      <c r="H9800" s="1">
        <v>45063</v>
      </c>
    </row>
    <row r="9801" spans="1:8" x14ac:dyDescent="0.35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9821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H9804" s="1">
        <v>45176</v>
      </c>
    </row>
    <row r="9805" spans="1:8" x14ac:dyDescent="0.35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9826</v>
      </c>
      <c r="B9807" t="s">
        <v>19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9828</v>
      </c>
      <c r="B9809" t="s">
        <v>23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9830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</row>
    <row r="9813" spans="1:8" x14ac:dyDescent="0.35">
      <c r="A9813" t="s">
        <v>9832</v>
      </c>
      <c r="B9813" t="s">
        <v>63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9836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H9819" s="1">
        <v>45141</v>
      </c>
    </row>
    <row r="9820" spans="1:8" x14ac:dyDescent="0.35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</row>
    <row r="9821" spans="1:8" x14ac:dyDescent="0.35">
      <c r="A9821" t="s">
        <v>9840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9841</v>
      </c>
      <c r="C9822">
        <v>5</v>
      </c>
      <c r="D9822">
        <v>3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9843</v>
      </c>
      <c r="B9824" t="s">
        <v>17</v>
      </c>
      <c r="C9824">
        <v>1</v>
      </c>
      <c r="D9824">
        <v>1</v>
      </c>
      <c r="E9824">
        <v>1</v>
      </c>
      <c r="H9824" s="1">
        <v>44973</v>
      </c>
    </row>
    <row r="9825" spans="1:8" x14ac:dyDescent="0.35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</row>
    <row r="9826" spans="1:8" x14ac:dyDescent="0.35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H9828" s="1">
        <v>45178</v>
      </c>
    </row>
    <row r="9829" spans="1:8" x14ac:dyDescent="0.35">
      <c r="A9829" t="s">
        <v>9848</v>
      </c>
      <c r="B9829" t="s">
        <v>9</v>
      </c>
      <c r="C9829">
        <v>1</v>
      </c>
      <c r="D9829">
        <v>2</v>
      </c>
      <c r="E9829">
        <v>2</v>
      </c>
      <c r="F9829" t="s">
        <v>21</v>
      </c>
      <c r="G9829" t="s">
        <v>11</v>
      </c>
      <c r="H9829" s="1">
        <v>44932</v>
      </c>
    </row>
    <row r="9830" spans="1:8" x14ac:dyDescent="0.35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</row>
    <row r="9831" spans="1:8" x14ac:dyDescent="0.35">
      <c r="A9831" t="s">
        <v>9850</v>
      </c>
      <c r="B9831" t="s">
        <v>17</v>
      </c>
      <c r="C9831">
        <v>5</v>
      </c>
      <c r="D9831">
        <v>1</v>
      </c>
      <c r="E9831">
        <v>5</v>
      </c>
      <c r="H9831" s="1">
        <v>45040</v>
      </c>
    </row>
    <row r="9832" spans="1:8" x14ac:dyDescent="0.35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</row>
    <row r="9833" spans="1:8" x14ac:dyDescent="0.35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9853</v>
      </c>
      <c r="B9834" t="s">
        <v>63</v>
      </c>
      <c r="C9834">
        <v>1</v>
      </c>
      <c r="D9834">
        <v>1.5</v>
      </c>
      <c r="E9834">
        <v>1.5</v>
      </c>
      <c r="G9834" t="s">
        <v>15</v>
      </c>
      <c r="H9834" s="1">
        <v>45164</v>
      </c>
    </row>
    <row r="9835" spans="1:8" x14ac:dyDescent="0.35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H9836" s="1">
        <v>45140</v>
      </c>
    </row>
    <row r="9837" spans="1:8" x14ac:dyDescent="0.35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9857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</row>
    <row r="9840" spans="1:8" x14ac:dyDescent="0.35">
      <c r="A9840" t="s">
        <v>9859</v>
      </c>
      <c r="B9840" t="s">
        <v>26</v>
      </c>
      <c r="C9840">
        <v>1</v>
      </c>
      <c r="D9840">
        <v>4</v>
      </c>
      <c r="E9840">
        <v>4</v>
      </c>
      <c r="F9840" t="s">
        <v>14</v>
      </c>
      <c r="G9840" t="s">
        <v>11</v>
      </c>
    </row>
    <row r="9841" spans="1:8" x14ac:dyDescent="0.35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</row>
    <row r="9842" spans="1:8" x14ac:dyDescent="0.35">
      <c r="A9842" t="s">
        <v>9861</v>
      </c>
      <c r="B9842" t="s">
        <v>63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9862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9863</v>
      </c>
      <c r="B9844" t="s">
        <v>9</v>
      </c>
      <c r="C9844">
        <v>2</v>
      </c>
      <c r="D9844">
        <v>2</v>
      </c>
      <c r="E9844">
        <v>4</v>
      </c>
      <c r="G9844" t="s">
        <v>11</v>
      </c>
      <c r="H9844" s="1">
        <v>45055</v>
      </c>
    </row>
    <row r="9845" spans="1:8" x14ac:dyDescent="0.35">
      <c r="A9845" t="s">
        <v>9864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9865</v>
      </c>
      <c r="B9846" t="s">
        <v>19</v>
      </c>
      <c r="C9846">
        <v>1</v>
      </c>
      <c r="D9846">
        <v>5</v>
      </c>
      <c r="E9846">
        <v>5</v>
      </c>
      <c r="G9846" t="s">
        <v>15</v>
      </c>
      <c r="H9846" s="1">
        <v>45144</v>
      </c>
    </row>
    <row r="9847" spans="1:8" x14ac:dyDescent="0.35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</row>
    <row r="9848" spans="1:8" x14ac:dyDescent="0.35">
      <c r="A9848" t="s">
        <v>9867</v>
      </c>
      <c r="B9848" t="s">
        <v>9</v>
      </c>
      <c r="C9848">
        <v>3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9869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H9853" s="1">
        <v>45253</v>
      </c>
    </row>
    <row r="9854" spans="1:8" x14ac:dyDescent="0.35">
      <c r="A9854" t="s">
        <v>9873</v>
      </c>
      <c r="B9854" t="s">
        <v>19</v>
      </c>
      <c r="C9854">
        <v>3</v>
      </c>
      <c r="D9854">
        <v>5</v>
      </c>
      <c r="E9854">
        <v>15</v>
      </c>
      <c r="H9854" s="1">
        <v>45279</v>
      </c>
    </row>
    <row r="9855" spans="1:8" x14ac:dyDescent="0.35">
      <c r="A9855" t="s">
        <v>9874</v>
      </c>
      <c r="B9855" t="s">
        <v>13</v>
      </c>
      <c r="C9855">
        <v>1</v>
      </c>
      <c r="D9855">
        <v>3</v>
      </c>
      <c r="E9855">
        <v>3</v>
      </c>
      <c r="F9855" t="s">
        <v>21</v>
      </c>
      <c r="H9855" s="1">
        <v>44973</v>
      </c>
    </row>
    <row r="9856" spans="1:8" x14ac:dyDescent="0.35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9876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9878</v>
      </c>
      <c r="B9859" t="s">
        <v>63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H9861" s="1">
        <v>45022</v>
      </c>
    </row>
    <row r="9862" spans="1:8" x14ac:dyDescent="0.35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H9862" s="1">
        <v>45074</v>
      </c>
    </row>
    <row r="9863" spans="1:8" x14ac:dyDescent="0.35">
      <c r="A9863" t="s">
        <v>9882</v>
      </c>
      <c r="B9863" t="s">
        <v>19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9884</v>
      </c>
      <c r="B9865" t="s">
        <v>13</v>
      </c>
      <c r="C9865">
        <v>4</v>
      </c>
      <c r="D9865">
        <v>3</v>
      </c>
      <c r="E9865">
        <v>12</v>
      </c>
      <c r="H9865" s="1">
        <v>45205</v>
      </c>
    </row>
    <row r="9866" spans="1:8" x14ac:dyDescent="0.35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H9866" s="1">
        <v>45261</v>
      </c>
    </row>
    <row r="9867" spans="1:8" x14ac:dyDescent="0.35">
      <c r="A9867" t="s">
        <v>9886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</row>
    <row r="9870" spans="1:8" x14ac:dyDescent="0.35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9890</v>
      </c>
      <c r="B9871" t="s">
        <v>9</v>
      </c>
      <c r="D9871">
        <v>2</v>
      </c>
      <c r="F9871" t="s">
        <v>21</v>
      </c>
      <c r="H9871" s="1">
        <v>44941</v>
      </c>
    </row>
    <row r="9872" spans="1:8" x14ac:dyDescent="0.35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9893</v>
      </c>
      <c r="B9874" t="s">
        <v>13</v>
      </c>
      <c r="C9874">
        <v>5</v>
      </c>
      <c r="D9874">
        <v>3</v>
      </c>
      <c r="E9874">
        <v>15</v>
      </c>
      <c r="H9874" s="1">
        <v>45256</v>
      </c>
    </row>
    <row r="9875" spans="1:8" x14ac:dyDescent="0.35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</row>
    <row r="9876" spans="1:8" x14ac:dyDescent="0.35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9897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9898</v>
      </c>
      <c r="B9879" t="s">
        <v>23</v>
      </c>
      <c r="C9879">
        <v>1</v>
      </c>
      <c r="D9879">
        <v>4</v>
      </c>
      <c r="E9879">
        <v>4</v>
      </c>
    </row>
    <row r="9880" spans="1:8" x14ac:dyDescent="0.35">
      <c r="A9880" t="s">
        <v>9899</v>
      </c>
      <c r="B9880" t="s">
        <v>26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</row>
    <row r="9882" spans="1:8" x14ac:dyDescent="0.35">
      <c r="A9882" t="s">
        <v>9901</v>
      </c>
      <c r="B9882" t="s">
        <v>13</v>
      </c>
      <c r="C9882">
        <v>2</v>
      </c>
      <c r="D9882">
        <v>3</v>
      </c>
      <c r="E9882">
        <v>6</v>
      </c>
      <c r="G9882" t="s">
        <v>15</v>
      </c>
      <c r="H9882" s="1">
        <v>45268</v>
      </c>
    </row>
    <row r="9883" spans="1:8" x14ac:dyDescent="0.35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H9883" s="1">
        <v>45041</v>
      </c>
    </row>
    <row r="9884" spans="1:8" x14ac:dyDescent="0.35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</row>
    <row r="9886" spans="1:8" x14ac:dyDescent="0.35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9906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</row>
    <row r="9889" spans="1:8" x14ac:dyDescent="0.35">
      <c r="A9889" t="s">
        <v>9908</v>
      </c>
      <c r="B9889" t="s">
        <v>19</v>
      </c>
      <c r="C9889">
        <v>2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H9890" s="1">
        <v>45083</v>
      </c>
    </row>
    <row r="9891" spans="1:8" x14ac:dyDescent="0.35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H9891" s="1">
        <v>45112</v>
      </c>
    </row>
    <row r="9892" spans="1:8" x14ac:dyDescent="0.35">
      <c r="A9892" t="s">
        <v>9911</v>
      </c>
      <c r="B9892" t="s">
        <v>23</v>
      </c>
      <c r="C9892">
        <v>2</v>
      </c>
      <c r="D9892">
        <v>4</v>
      </c>
      <c r="E9892">
        <v>8</v>
      </c>
      <c r="F9892" t="s">
        <v>21</v>
      </c>
      <c r="G9892" t="s">
        <v>11</v>
      </c>
      <c r="H9892" s="1">
        <v>45051</v>
      </c>
    </row>
    <row r="9893" spans="1:8" x14ac:dyDescent="0.35">
      <c r="A9893" t="s">
        <v>9912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9913</v>
      </c>
      <c r="B9894" t="s">
        <v>37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9914</v>
      </c>
      <c r="B9895" t="s">
        <v>37</v>
      </c>
      <c r="C9895">
        <v>2</v>
      </c>
      <c r="D9895">
        <v>3</v>
      </c>
      <c r="E9895">
        <v>6</v>
      </c>
      <c r="F9895" t="s">
        <v>21</v>
      </c>
      <c r="G9895" t="s">
        <v>11</v>
      </c>
      <c r="H9895" s="1">
        <v>44959</v>
      </c>
    </row>
    <row r="9896" spans="1:8" x14ac:dyDescent="0.35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9916</v>
      </c>
      <c r="B9897" t="s">
        <v>23</v>
      </c>
      <c r="C9897">
        <v>5</v>
      </c>
      <c r="D9897">
        <v>4</v>
      </c>
      <c r="E9897">
        <v>20</v>
      </c>
      <c r="H9897" s="1">
        <v>45164</v>
      </c>
    </row>
    <row r="9898" spans="1:8" x14ac:dyDescent="0.35">
      <c r="A9898" t="s">
        <v>9917</v>
      </c>
      <c r="B9898" t="s">
        <v>9</v>
      </c>
      <c r="C9898">
        <v>5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H9899" s="1">
        <v>45190</v>
      </c>
    </row>
    <row r="9900" spans="1:8" x14ac:dyDescent="0.35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</row>
    <row r="9904" spans="1:8" x14ac:dyDescent="0.35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</row>
    <row r="9906" spans="1:8" x14ac:dyDescent="0.35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</row>
    <row r="9907" spans="1:8" x14ac:dyDescent="0.35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9928</v>
      </c>
      <c r="B9909" t="s">
        <v>17</v>
      </c>
      <c r="C9909">
        <v>1</v>
      </c>
      <c r="D9909">
        <v>1</v>
      </c>
      <c r="E9909">
        <v>1</v>
      </c>
      <c r="G9909" t="s">
        <v>11</v>
      </c>
    </row>
    <row r="9910" spans="1:8" x14ac:dyDescent="0.35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H9910" s="1">
        <v>45099</v>
      </c>
    </row>
    <row r="9911" spans="1:8" x14ac:dyDescent="0.35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</row>
    <row r="9912" spans="1:8" x14ac:dyDescent="0.35">
      <c r="A9912" t="s">
        <v>9931</v>
      </c>
      <c r="C9912">
        <v>2</v>
      </c>
      <c r="D9912">
        <v>3</v>
      </c>
      <c r="E9912">
        <v>6</v>
      </c>
      <c r="F9912" t="s">
        <v>21</v>
      </c>
      <c r="H9912" s="1">
        <v>44938</v>
      </c>
    </row>
    <row r="9913" spans="1:8" x14ac:dyDescent="0.35">
      <c r="A9913" t="s">
        <v>9932</v>
      </c>
      <c r="B9913" t="s">
        <v>9</v>
      </c>
      <c r="C9913">
        <v>5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9933</v>
      </c>
      <c r="B9914" t="s">
        <v>23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H9915" s="1">
        <v>45273</v>
      </c>
    </row>
    <row r="9916" spans="1:8" x14ac:dyDescent="0.35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9936</v>
      </c>
      <c r="B9917" t="s">
        <v>19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</row>
    <row r="9919" spans="1:8" x14ac:dyDescent="0.35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9939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</row>
    <row r="9921" spans="1:8" x14ac:dyDescent="0.35">
      <c r="A9921" t="s">
        <v>9940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9943</v>
      </c>
      <c r="B9924" t="s">
        <v>63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9944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9945</v>
      </c>
      <c r="B9926" t="s">
        <v>37</v>
      </c>
      <c r="C9926">
        <v>2</v>
      </c>
      <c r="D9926">
        <v>3</v>
      </c>
      <c r="E9926">
        <v>6</v>
      </c>
      <c r="F9926" t="s">
        <v>21</v>
      </c>
      <c r="H9926" s="1">
        <v>45284</v>
      </c>
    </row>
    <row r="9927" spans="1:8" x14ac:dyDescent="0.35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H9927" s="1">
        <v>45104</v>
      </c>
    </row>
    <row r="9928" spans="1:8" x14ac:dyDescent="0.35">
      <c r="A9928" t="s">
        <v>9947</v>
      </c>
      <c r="B9928" t="s">
        <v>13</v>
      </c>
      <c r="C9928">
        <v>4</v>
      </c>
      <c r="D9928">
        <v>3</v>
      </c>
      <c r="E9928">
        <v>12</v>
      </c>
      <c r="F9928" t="s">
        <v>21</v>
      </c>
      <c r="G9928" t="s">
        <v>11</v>
      </c>
      <c r="H9928" s="1">
        <v>45239</v>
      </c>
    </row>
    <row r="9929" spans="1:8" x14ac:dyDescent="0.35">
      <c r="A9929" t="s">
        <v>9948</v>
      </c>
      <c r="B9929" t="s">
        <v>26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9949</v>
      </c>
      <c r="B9930" t="s">
        <v>19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9951</v>
      </c>
      <c r="B9932" t="s">
        <v>26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9952</v>
      </c>
      <c r="B9933" t="s">
        <v>23</v>
      </c>
      <c r="C9933">
        <v>2</v>
      </c>
      <c r="D9933">
        <v>4</v>
      </c>
      <c r="E9933">
        <v>8</v>
      </c>
    </row>
    <row r="9934" spans="1:8" x14ac:dyDescent="0.35">
      <c r="A9934" t="s">
        <v>9953</v>
      </c>
      <c r="B9934" t="s">
        <v>63</v>
      </c>
      <c r="C9934">
        <v>2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9954</v>
      </c>
      <c r="B9935" t="s">
        <v>13</v>
      </c>
      <c r="C9935">
        <v>1</v>
      </c>
      <c r="D9935">
        <v>3</v>
      </c>
      <c r="E9935">
        <v>3</v>
      </c>
      <c r="G9935" t="s">
        <v>11</v>
      </c>
    </row>
    <row r="9936" spans="1:8" x14ac:dyDescent="0.35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</row>
    <row r="9937" spans="1:8" x14ac:dyDescent="0.35">
      <c r="A9937" t="s">
        <v>9956</v>
      </c>
      <c r="B9937" t="s">
        <v>63</v>
      </c>
      <c r="C9937">
        <v>4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9958</v>
      </c>
      <c r="B9939" t="s">
        <v>13</v>
      </c>
      <c r="C9939">
        <v>1</v>
      </c>
      <c r="D9939">
        <v>3</v>
      </c>
      <c r="E9939">
        <v>3</v>
      </c>
    </row>
    <row r="9940" spans="1:8" x14ac:dyDescent="0.35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H9941" s="1">
        <v>45161</v>
      </c>
    </row>
    <row r="9942" spans="1:8" x14ac:dyDescent="0.35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</row>
    <row r="9943" spans="1:8" x14ac:dyDescent="0.35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</row>
    <row r="9945" spans="1:8" x14ac:dyDescent="0.35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9965</v>
      </c>
      <c r="B9946" t="s">
        <v>13</v>
      </c>
      <c r="C9946">
        <v>5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9967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9969</v>
      </c>
      <c r="B9950" t="s">
        <v>63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9970</v>
      </c>
      <c r="B9951" t="s">
        <v>37</v>
      </c>
      <c r="C9951">
        <v>3</v>
      </c>
      <c r="D9951">
        <v>3</v>
      </c>
      <c r="E9951">
        <v>9</v>
      </c>
      <c r="G9951" t="s">
        <v>15</v>
      </c>
    </row>
    <row r="9952" spans="1:8" x14ac:dyDescent="0.35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H9952" s="1">
        <v>44994</v>
      </c>
    </row>
    <row r="9953" spans="1:8" x14ac:dyDescent="0.35">
      <c r="A9953" t="s">
        <v>9972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H9954" s="1">
        <v>44954</v>
      </c>
    </row>
    <row r="9955" spans="1:8" x14ac:dyDescent="0.35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9975</v>
      </c>
      <c r="B9956" t="s">
        <v>9</v>
      </c>
      <c r="C9956">
        <v>4</v>
      </c>
      <c r="D9956">
        <v>2</v>
      </c>
      <c r="E9956">
        <v>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9976</v>
      </c>
      <c r="B9957" t="s">
        <v>63</v>
      </c>
      <c r="C9957">
        <v>4</v>
      </c>
      <c r="D9957">
        <v>1.5</v>
      </c>
      <c r="E9957">
        <v>6</v>
      </c>
      <c r="H9957" s="1">
        <v>45185</v>
      </c>
    </row>
    <row r="9958" spans="1:8" x14ac:dyDescent="0.35">
      <c r="A9958" t="s">
        <v>9977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9978</v>
      </c>
      <c r="B9959" t="s">
        <v>9</v>
      </c>
      <c r="C9959">
        <v>4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9979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</row>
    <row r="9962" spans="1:8" x14ac:dyDescent="0.35">
      <c r="A9962" t="s">
        <v>9981</v>
      </c>
      <c r="B9962" t="s">
        <v>37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9982</v>
      </c>
      <c r="B9963" t="s">
        <v>63</v>
      </c>
      <c r="C9963">
        <v>2</v>
      </c>
      <c r="D9963">
        <v>1.5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9984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9985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H9967" s="1">
        <v>45280</v>
      </c>
    </row>
    <row r="9968" spans="1:8" x14ac:dyDescent="0.35">
      <c r="A9968" t="s">
        <v>9987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9988</v>
      </c>
      <c r="B9969" t="s">
        <v>37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</row>
    <row r="9971" spans="1:8" x14ac:dyDescent="0.35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9993</v>
      </c>
      <c r="B9974" t="s">
        <v>13</v>
      </c>
      <c r="C9974">
        <v>4</v>
      </c>
      <c r="D9974">
        <v>3</v>
      </c>
      <c r="E9974">
        <v>12</v>
      </c>
      <c r="G9974" t="s">
        <v>15</v>
      </c>
      <c r="H9974" s="1">
        <v>45144</v>
      </c>
    </row>
    <row r="9975" spans="1:8" x14ac:dyDescent="0.35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H9975" s="1">
        <v>44952</v>
      </c>
    </row>
    <row r="9976" spans="1:8" x14ac:dyDescent="0.35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9997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9998</v>
      </c>
      <c r="B9979" t="s">
        <v>37</v>
      </c>
      <c r="C9979">
        <v>2</v>
      </c>
      <c r="D9979">
        <v>3</v>
      </c>
      <c r="E9979">
        <v>6</v>
      </c>
      <c r="F9979" t="s">
        <v>21</v>
      </c>
      <c r="G9979" t="s">
        <v>15</v>
      </c>
      <c r="H9979" s="1">
        <v>45234</v>
      </c>
    </row>
    <row r="9980" spans="1:8" x14ac:dyDescent="0.35">
      <c r="A9980" t="s">
        <v>9999</v>
      </c>
      <c r="B9980" t="s">
        <v>63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10001</v>
      </c>
      <c r="B9982" t="s">
        <v>63</v>
      </c>
      <c r="C9982">
        <v>4</v>
      </c>
      <c r="D9982">
        <v>1.5</v>
      </c>
      <c r="E9982">
        <v>6</v>
      </c>
      <c r="H9982" s="1">
        <v>45162</v>
      </c>
    </row>
    <row r="9983" spans="1:8" x14ac:dyDescent="0.35">
      <c r="A9983" t="s">
        <v>10002</v>
      </c>
      <c r="C9983">
        <v>5</v>
      </c>
      <c r="D9983">
        <v>4</v>
      </c>
      <c r="E9983">
        <v>20</v>
      </c>
      <c r="F9983" t="s">
        <v>21</v>
      </c>
      <c r="H9983" s="1">
        <v>44984</v>
      </c>
    </row>
    <row r="9984" spans="1:8" x14ac:dyDescent="0.35">
      <c r="A9984" t="s">
        <v>10003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</row>
    <row r="9986" spans="1:8" x14ac:dyDescent="0.35">
      <c r="A9986" t="s">
        <v>10005</v>
      </c>
      <c r="B9986" t="s">
        <v>23</v>
      </c>
      <c r="C9986">
        <v>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10006</v>
      </c>
      <c r="B9987" t="s">
        <v>13</v>
      </c>
      <c r="C9987">
        <v>2</v>
      </c>
      <c r="D9987">
        <v>3</v>
      </c>
      <c r="E9987">
        <v>6</v>
      </c>
      <c r="H9987" s="1">
        <v>44929</v>
      </c>
    </row>
    <row r="9988" spans="1:8" x14ac:dyDescent="0.35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10009</v>
      </c>
      <c r="B9990" t="s">
        <v>13</v>
      </c>
      <c r="C9990">
        <v>5</v>
      </c>
      <c r="D9990">
        <v>3</v>
      </c>
      <c r="E9990">
        <v>15</v>
      </c>
    </row>
    <row r="9991" spans="1:8" x14ac:dyDescent="0.35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H9992" s="1">
        <v>45068</v>
      </c>
    </row>
    <row r="9993" spans="1:8" x14ac:dyDescent="0.35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10013</v>
      </c>
      <c r="B9994" t="s">
        <v>23</v>
      </c>
      <c r="C9994">
        <v>4</v>
      </c>
      <c r="D9994">
        <v>4</v>
      </c>
      <c r="E9994">
        <v>16</v>
      </c>
      <c r="G9994" t="s">
        <v>15</v>
      </c>
      <c r="H9994" s="1">
        <v>45112</v>
      </c>
    </row>
    <row r="9995" spans="1:8" x14ac:dyDescent="0.35">
      <c r="A9995" t="s">
        <v>10014</v>
      </c>
      <c r="B9995" t="s">
        <v>23</v>
      </c>
      <c r="C9995">
        <v>2</v>
      </c>
      <c r="D9995">
        <v>4</v>
      </c>
      <c r="E9995">
        <v>8</v>
      </c>
      <c r="F9995" t="s">
        <v>14</v>
      </c>
      <c r="H9995" s="1">
        <v>45219</v>
      </c>
    </row>
    <row r="9996" spans="1:8" x14ac:dyDescent="0.35">
      <c r="A9996" t="s">
        <v>10015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10016</v>
      </c>
      <c r="B9997" t="s">
        <v>9</v>
      </c>
      <c r="C9997">
        <v>2</v>
      </c>
      <c r="D9997">
        <v>2</v>
      </c>
      <c r="E9997">
        <v>4</v>
      </c>
      <c r="H9997" s="1">
        <v>45168</v>
      </c>
    </row>
    <row r="9998" spans="1:8" x14ac:dyDescent="0.35">
      <c r="A9998" t="s">
        <v>10017</v>
      </c>
      <c r="C9998">
        <v>3</v>
      </c>
      <c r="D9998">
        <v>1</v>
      </c>
      <c r="E9998">
        <v>3</v>
      </c>
      <c r="F9998" t="s">
        <v>21</v>
      </c>
      <c r="H9998" s="1">
        <v>45079</v>
      </c>
    </row>
    <row r="9999" spans="1:8" x14ac:dyDescent="0.35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H9999" s="1">
        <v>44987</v>
      </c>
    </row>
    <row r="10000" spans="1:8" x14ac:dyDescent="0.35">
      <c r="A10000" t="s">
        <v>10019</v>
      </c>
      <c r="B10000" t="s">
        <v>17</v>
      </c>
      <c r="C10000">
        <v>3</v>
      </c>
      <c r="D10000">
        <v>1</v>
      </c>
      <c r="E10000">
        <v>3</v>
      </c>
      <c r="F10000" t="s">
        <v>21</v>
      </c>
      <c r="H10000" s="1">
        <v>45262</v>
      </c>
    </row>
    <row r="10001" spans="1:8" x14ac:dyDescent="0.35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activeCell="C11" sqref="C11"/>
    </sheetView>
  </sheetViews>
  <sheetFormatPr defaultRowHeight="14.5" x14ac:dyDescent="0.35"/>
  <cols>
    <col min="1" max="1" width="29.08984375" bestFit="1" customWidth="1"/>
    <col min="2" max="2" width="23.26953125" bestFit="1" customWidth="1"/>
  </cols>
  <sheetData>
    <row r="1" spans="1:2" x14ac:dyDescent="0.35">
      <c r="A1" s="5" t="s">
        <v>10021</v>
      </c>
    </row>
    <row r="3" spans="1:2" x14ac:dyDescent="0.35">
      <c r="A3" s="15" t="s">
        <v>10022</v>
      </c>
      <c r="B3" s="15" t="s">
        <v>10023</v>
      </c>
    </row>
    <row r="4" spans="1:2" x14ac:dyDescent="0.35">
      <c r="A4" t="s">
        <v>10024</v>
      </c>
      <c r="B4" s="14">
        <f>SUM(Data!E:E)</f>
        <v>89096</v>
      </c>
    </row>
    <row r="5" spans="1:2" x14ac:dyDescent="0.35">
      <c r="A5" t="s">
        <v>10025</v>
      </c>
      <c r="B5" s="14">
        <f>SUM(Data!C:C)</f>
        <v>30180</v>
      </c>
    </row>
    <row r="6" spans="1:2" x14ac:dyDescent="0.35">
      <c r="A6" t="s">
        <v>10026</v>
      </c>
      <c r="B6" s="14">
        <f>COUNTA(Data!A:A)-1</f>
        <v>10000</v>
      </c>
    </row>
    <row r="7" spans="1:2" x14ac:dyDescent="0.35">
      <c r="A7" t="s">
        <v>10027</v>
      </c>
      <c r="B7" s="14">
        <f>AVERAGE(Data!E:E)</f>
        <v>8.9301393204370054</v>
      </c>
    </row>
    <row r="8" spans="1:2" x14ac:dyDescent="0.35">
      <c r="A8" t="s">
        <v>10028</v>
      </c>
      <c r="B8" s="14">
        <f>MAX(Data!E:E)</f>
        <v>25</v>
      </c>
    </row>
    <row r="9" spans="1:2" x14ac:dyDescent="0.35">
      <c r="A9" t="s">
        <v>10029</v>
      </c>
      <c r="B9" s="14">
        <f>MIN(Data!E:E)</f>
        <v>1</v>
      </c>
    </row>
    <row r="11" spans="1:2" x14ac:dyDescent="0.35">
      <c r="A11" s="16" t="s">
        <v>10030</v>
      </c>
    </row>
    <row r="12" spans="1:2" x14ac:dyDescent="0.35">
      <c r="A12" s="15" t="s">
        <v>1</v>
      </c>
      <c r="B12" s="15" t="s">
        <v>10031</v>
      </c>
    </row>
    <row r="13" spans="1:2" x14ac:dyDescent="0.35">
      <c r="A13" t="str" cm="1">
        <f t="array" ref="A13:A20">_xlfn.UNIQUE(_xlfn._xlws.FILTER(Data!B2:B10001,Data!B2:B10001&lt;&gt;""))</f>
        <v>Coffee</v>
      </c>
      <c r="B13" s="14">
        <f>SUMIF(Data!B:B,A13,Data!E:E)</f>
        <v>7072</v>
      </c>
    </row>
    <row r="14" spans="1:2" x14ac:dyDescent="0.35">
      <c r="A14" t="str">
        <v>Cake</v>
      </c>
      <c r="B14" s="14">
        <f>SUMIF(Data!B:B,A14,Data!E:E)</f>
        <v>10404</v>
      </c>
    </row>
    <row r="15" spans="1:2" x14ac:dyDescent="0.35">
      <c r="A15" t="str">
        <v>Cookie</v>
      </c>
      <c r="B15" s="14">
        <f>SUMIF(Data!B:B,A15,Data!E:E)</f>
        <v>3232</v>
      </c>
    </row>
    <row r="16" spans="1:2" x14ac:dyDescent="0.35">
      <c r="A16" t="str">
        <v>Salad</v>
      </c>
      <c r="B16" s="14">
        <f>SUMIF(Data!B:B,A16,Data!E:E)</f>
        <v>17345</v>
      </c>
    </row>
    <row r="17" spans="1:2" x14ac:dyDescent="0.35">
      <c r="A17" t="str">
        <v>Smoothie</v>
      </c>
      <c r="B17" s="14">
        <f>SUMIF(Data!B:B,A17,Data!E:E)</f>
        <v>13344</v>
      </c>
    </row>
    <row r="18" spans="1:2" x14ac:dyDescent="0.35">
      <c r="A18" t="str">
        <v>Sandwich</v>
      </c>
      <c r="B18" s="14">
        <f>SUMIF(Data!B:B,A18,Data!E:E)</f>
        <v>13716</v>
      </c>
    </row>
    <row r="19" spans="1:2" x14ac:dyDescent="0.35">
      <c r="A19" t="str">
        <v>Juice</v>
      </c>
      <c r="B19" s="14">
        <f>SUMIF(Data!B:B,A19,Data!E:E)</f>
        <v>10515</v>
      </c>
    </row>
    <row r="20" spans="1:2" x14ac:dyDescent="0.35">
      <c r="A20" t="str">
        <v>Tea</v>
      </c>
      <c r="B20" s="14">
        <f>SUMIF(Data!B:B,A20,Data!E:E)</f>
        <v>4960.5</v>
      </c>
    </row>
    <row r="23" spans="1:2" x14ac:dyDescent="0.35">
      <c r="A23" s="5" t="s">
        <v>10032</v>
      </c>
    </row>
    <row r="24" spans="1:2" x14ac:dyDescent="0.35">
      <c r="A24" s="15" t="s">
        <v>1</v>
      </c>
      <c r="B24" s="15" t="s">
        <v>10033</v>
      </c>
    </row>
    <row r="25" spans="1:2" x14ac:dyDescent="0.35">
      <c r="A25" t="str" cm="1">
        <f t="array" ref="A25:A32">_xlfn.UNIQUE(_xlfn._xlws.FILTER(Data!B2:B10001,Data!B2:B10001&lt;&gt;""))</f>
        <v>Coffee</v>
      </c>
      <c r="B25" s="4">
        <f>COUNTIF(Data!B:B,A25)</f>
        <v>1165</v>
      </c>
    </row>
    <row r="26" spans="1:2" x14ac:dyDescent="0.35">
      <c r="A26" t="str">
        <v>Cake</v>
      </c>
      <c r="B26" s="4">
        <f>COUNTIF(Data!B:B,A26)</f>
        <v>1139</v>
      </c>
    </row>
    <row r="27" spans="1:2" x14ac:dyDescent="0.35">
      <c r="A27" t="str">
        <v>Cookie</v>
      </c>
      <c r="B27" s="4">
        <f>COUNTIF(Data!B:B,A27)</f>
        <v>1092</v>
      </c>
    </row>
    <row r="28" spans="1:2" x14ac:dyDescent="0.35">
      <c r="A28" t="str">
        <v>Salad</v>
      </c>
      <c r="B28" s="4">
        <f>COUNTIF(Data!B:B,A28)</f>
        <v>1148</v>
      </c>
    </row>
    <row r="29" spans="1:2" x14ac:dyDescent="0.35">
      <c r="A29" t="str">
        <v>Smoothie</v>
      </c>
      <c r="B29" s="4">
        <f>COUNTIF(Data!B:B,A29)</f>
        <v>1096</v>
      </c>
    </row>
    <row r="30" spans="1:2" x14ac:dyDescent="0.35">
      <c r="A30" t="str">
        <v>Sandwich</v>
      </c>
      <c r="B30" s="4">
        <f>COUNTIF(Data!B:B,A30)</f>
        <v>1131</v>
      </c>
    </row>
    <row r="31" spans="1:2" x14ac:dyDescent="0.35">
      <c r="A31" t="str">
        <v>Juice</v>
      </c>
      <c r="B31" s="4">
        <f>COUNTIF(Data!B:B,A31)</f>
        <v>1171</v>
      </c>
    </row>
    <row r="32" spans="1:2" x14ac:dyDescent="0.35">
      <c r="A32" t="str">
        <v>Tea</v>
      </c>
      <c r="B32" s="4">
        <f>COUNTIF(Data!B:B,A32)</f>
        <v>1089</v>
      </c>
    </row>
    <row r="36" spans="1:2" x14ac:dyDescent="0.35">
      <c r="A36" s="5" t="s">
        <v>10034</v>
      </c>
    </row>
    <row r="37" spans="1:2" x14ac:dyDescent="0.35">
      <c r="A37" s="15" t="s">
        <v>1</v>
      </c>
      <c r="B37" s="15" t="s">
        <v>10035</v>
      </c>
    </row>
    <row r="38" spans="1:2" x14ac:dyDescent="0.35">
      <c r="A38" t="str" cm="1">
        <f t="array" ref="A38:A45">_xlfn.UNIQUE(_xlfn._xlws.FILTER(Data!B2:B10001,Data!B2:B10001&lt;&gt;""))</f>
        <v>Coffee</v>
      </c>
      <c r="B38" s="14">
        <f>AVERAGEIF(Data!B:B,A38,Data!E:E)</f>
        <v>6.0965517241379308</v>
      </c>
    </row>
    <row r="39" spans="1:2" x14ac:dyDescent="0.35">
      <c r="A39" t="str">
        <v>Cake</v>
      </c>
      <c r="B39" s="14">
        <f>AVERAGEIF(Data!B:B,A39,Data!E:E)</f>
        <v>9.1423550087873462</v>
      </c>
    </row>
    <row r="40" spans="1:2" x14ac:dyDescent="0.35">
      <c r="A40" t="str">
        <v>Cookie</v>
      </c>
      <c r="B40" s="14">
        <f>AVERAGEIF(Data!B:B,A40,Data!E:E)</f>
        <v>2.9651376146788992</v>
      </c>
    </row>
    <row r="41" spans="1:2" x14ac:dyDescent="0.35">
      <c r="A41" t="str">
        <v>Salad</v>
      </c>
      <c r="B41" s="14">
        <f>AVERAGEIF(Data!B:B,A41,Data!E:E)</f>
        <v>15.135253054101222</v>
      </c>
    </row>
    <row r="42" spans="1:2" x14ac:dyDescent="0.35">
      <c r="A42" t="str">
        <v>Smoothie</v>
      </c>
      <c r="B42" s="14">
        <f>AVERAGEIF(Data!B:B,A42,Data!E:E)</f>
        <v>12.19744058500914</v>
      </c>
    </row>
    <row r="43" spans="1:2" x14ac:dyDescent="0.35">
      <c r="A43" t="str">
        <v>Sandwich</v>
      </c>
      <c r="B43" s="14">
        <f>AVERAGEIF(Data!B:B,A43,Data!E:E)</f>
        <v>12.170363797692991</v>
      </c>
    </row>
    <row r="44" spans="1:2" x14ac:dyDescent="0.35">
      <c r="A44" t="str">
        <v>Juice</v>
      </c>
      <c r="B44" s="14">
        <f>AVERAGEIF(Data!B:B,A44,Data!E:E)</f>
        <v>9.0025684931506849</v>
      </c>
    </row>
    <row r="45" spans="1:2" x14ac:dyDescent="0.35">
      <c r="A45" t="str">
        <v>Tea</v>
      </c>
      <c r="B45" s="14">
        <f>AVERAGEIF(Data!B:B,A45,Data!E:E)</f>
        <v>4.5592830882352944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8" sqref="C8"/>
    </sheetView>
  </sheetViews>
  <sheetFormatPr defaultRowHeight="14.5" x14ac:dyDescent="0.35"/>
  <cols>
    <col min="1" max="1" width="10.7265625" bestFit="1" customWidth="1"/>
    <col min="2" max="2" width="8.36328125" style="14" bestFit="1" customWidth="1"/>
    <col min="4" max="4" width="17.81640625" customWidth="1"/>
    <col min="5" max="5" width="8.36328125" style="14" bestFit="1" customWidth="1"/>
  </cols>
  <sheetData>
    <row r="1" spans="1:5" x14ac:dyDescent="0.35">
      <c r="A1" s="17" t="s">
        <v>1</v>
      </c>
      <c r="B1" s="14" t="s">
        <v>10031</v>
      </c>
      <c r="D1" s="2" t="s">
        <v>5</v>
      </c>
      <c r="E1" s="14" t="s">
        <v>10031</v>
      </c>
    </row>
    <row r="2" spans="1:5" x14ac:dyDescent="0.35">
      <c r="A2" s="3" t="s">
        <v>13</v>
      </c>
      <c r="B2" s="14">
        <v>10404</v>
      </c>
      <c r="D2" s="3" t="s">
        <v>14</v>
      </c>
      <c r="E2" s="14">
        <v>20402.5</v>
      </c>
    </row>
    <row r="3" spans="1:5" x14ac:dyDescent="0.35">
      <c r="A3" s="3" t="s">
        <v>9</v>
      </c>
      <c r="B3" s="14">
        <v>7072</v>
      </c>
      <c r="D3" s="3" t="s">
        <v>10</v>
      </c>
      <c r="E3" s="14">
        <v>20466</v>
      </c>
    </row>
    <row r="4" spans="1:5" x14ac:dyDescent="0.35">
      <c r="A4" s="3" t="s">
        <v>17</v>
      </c>
      <c r="B4" s="14">
        <v>3232</v>
      </c>
      <c r="D4" s="3" t="s">
        <v>21</v>
      </c>
      <c r="E4" s="14">
        <v>20414</v>
      </c>
    </row>
    <row r="5" spans="1:5" x14ac:dyDescent="0.35">
      <c r="A5" s="3" t="s">
        <v>37</v>
      </c>
      <c r="B5" s="14">
        <v>10515</v>
      </c>
      <c r="D5" s="3" t="s">
        <v>10036</v>
      </c>
      <c r="E5" s="14">
        <v>61282.5</v>
      </c>
    </row>
    <row r="6" spans="1:5" x14ac:dyDescent="0.35">
      <c r="A6" s="3" t="s">
        <v>19</v>
      </c>
      <c r="B6" s="14">
        <v>17345</v>
      </c>
    </row>
    <row r="7" spans="1:5" x14ac:dyDescent="0.35">
      <c r="A7" s="3" t="s">
        <v>26</v>
      </c>
      <c r="B7" s="14">
        <v>13716</v>
      </c>
    </row>
    <row r="8" spans="1:5" x14ac:dyDescent="0.35">
      <c r="A8" s="3" t="s">
        <v>23</v>
      </c>
      <c r="B8" s="14">
        <v>13344</v>
      </c>
    </row>
    <row r="9" spans="1:5" x14ac:dyDescent="0.35">
      <c r="A9" s="3" t="s">
        <v>63</v>
      </c>
      <c r="B9" s="14">
        <v>4960.5</v>
      </c>
    </row>
    <row r="10" spans="1:5" x14ac:dyDescent="0.35">
      <c r="A10" s="3" t="s">
        <v>10036</v>
      </c>
      <c r="B10" s="14">
        <v>80588.5</v>
      </c>
    </row>
    <row r="15" spans="1:5" x14ac:dyDescent="0.35">
      <c r="A15" s="2" t="s">
        <v>6</v>
      </c>
      <c r="B15" s="14" t="s">
        <v>10031</v>
      </c>
    </row>
    <row r="16" spans="1:5" x14ac:dyDescent="0.35">
      <c r="A16" s="3" t="s">
        <v>15</v>
      </c>
      <c r="B16" s="14">
        <v>27174</v>
      </c>
    </row>
    <row r="17" spans="1:2" x14ac:dyDescent="0.35">
      <c r="A17" s="3" t="s">
        <v>11</v>
      </c>
      <c r="B17" s="14">
        <v>26552.5</v>
      </c>
    </row>
    <row r="18" spans="1:2" x14ac:dyDescent="0.35">
      <c r="A18" s="3" t="s">
        <v>10036</v>
      </c>
      <c r="B18" s="14">
        <v>53726.5</v>
      </c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zoomScale="67" workbookViewId="0">
      <selection activeCell="K26" sqref="K26"/>
    </sheetView>
  </sheetViews>
  <sheetFormatPr defaultRowHeight="14.5" x14ac:dyDescent="0.35"/>
  <cols>
    <col min="1" max="1" width="8.7265625" customWidth="1"/>
    <col min="4" max="4" width="8.7265625" customWidth="1"/>
    <col min="7" max="7" width="8.7265625" customWidth="1"/>
    <col min="11" max="12" width="8.7265625" customWidth="1"/>
  </cols>
  <sheetData>
    <row r="1" spans="1:13" ht="23.5" x14ac:dyDescent="0.55000000000000004">
      <c r="A1" s="13" t="s">
        <v>10037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3" ht="15.5" x14ac:dyDescent="0.35">
      <c r="A3" s="6" t="s">
        <v>10024</v>
      </c>
      <c r="B3" s="6"/>
      <c r="D3" s="6" t="s">
        <v>10025</v>
      </c>
      <c r="E3" s="6"/>
      <c r="G3" s="12" t="s">
        <v>10026</v>
      </c>
      <c r="H3" s="12"/>
      <c r="I3" s="12"/>
      <c r="J3" s="10"/>
      <c r="K3" s="6" t="s">
        <v>10027</v>
      </c>
      <c r="L3" s="6"/>
      <c r="M3" s="6"/>
    </row>
    <row r="4" spans="1:13" ht="21" x14ac:dyDescent="0.5">
      <c r="A4" s="7">
        <f>Analysis!B4</f>
        <v>89096</v>
      </c>
      <c r="B4" s="7"/>
      <c r="D4" s="8">
        <f>Analysis!B5</f>
        <v>30180</v>
      </c>
      <c r="E4" s="8"/>
      <c r="G4" s="9">
        <f>Analysis!B6</f>
        <v>10000</v>
      </c>
      <c r="H4" s="9"/>
      <c r="I4" s="9"/>
      <c r="J4" s="11"/>
      <c r="K4" s="7">
        <f>Analysis!B7</f>
        <v>8.9301393204370054</v>
      </c>
      <c r="L4" s="7"/>
      <c r="M4" s="7"/>
    </row>
    <row r="38" spans="1:1" x14ac:dyDescent="0.35">
      <c r="A38" t="s">
        <v>10038</v>
      </c>
    </row>
    <row r="39" spans="1:1" x14ac:dyDescent="0.35">
      <c r="A39" t="s">
        <v>10039</v>
      </c>
    </row>
    <row r="40" spans="1:1" x14ac:dyDescent="0.35">
      <c r="A40" t="s">
        <v>10040</v>
      </c>
    </row>
    <row r="41" spans="1:1" x14ac:dyDescent="0.35">
      <c r="A41" t="s">
        <v>10041</v>
      </c>
    </row>
    <row r="42" spans="1:1" x14ac:dyDescent="0.35">
      <c r="A42" t="s">
        <v>10042</v>
      </c>
    </row>
    <row r="43" spans="1:1" x14ac:dyDescent="0.35">
      <c r="A43" t="s">
        <v>10043</v>
      </c>
    </row>
  </sheetData>
  <mergeCells count="9">
    <mergeCell ref="G4:I4"/>
    <mergeCell ref="K4:M4"/>
    <mergeCell ref="A1:L1"/>
    <mergeCell ref="A3:B3"/>
    <mergeCell ref="D3:E3"/>
    <mergeCell ref="K3:M3"/>
    <mergeCell ref="A4:B4"/>
    <mergeCell ref="D4:E4"/>
    <mergeCell ref="G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Arunima</dc:creator>
  <cp:lastModifiedBy>arunima.k1234@gmail.com</cp:lastModifiedBy>
  <dcterms:created xsi:type="dcterms:W3CDTF">2026-10-04T09:59:14Z</dcterms:created>
  <dcterms:modified xsi:type="dcterms:W3CDTF">2026-10-04T16:37:44Z</dcterms:modified>
</cp:coreProperties>
</file>